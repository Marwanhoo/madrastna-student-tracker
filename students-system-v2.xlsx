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رئيسية" sheetId="1" state="visible" r:id="rId1"/>
    <sheet xmlns:r="http://schemas.openxmlformats.org/officeDocument/2006/relationships" name="المواعيد" sheetId="2" state="visible" r:id="rId2"/>
    <sheet xmlns:r="http://schemas.openxmlformats.org/officeDocument/2006/relationships" name="مجموعة 1" sheetId="3" state="visible" r:id="rId3"/>
    <sheet xmlns:r="http://schemas.openxmlformats.org/officeDocument/2006/relationships" name="مجموعة 2" sheetId="4" state="visible" r:id="rId4"/>
    <sheet xmlns:r="http://schemas.openxmlformats.org/officeDocument/2006/relationships" name="مجموعة 3" sheetId="5" state="visible" r:id="rId5"/>
    <sheet xmlns:r="http://schemas.openxmlformats.org/officeDocument/2006/relationships" name="مجموعة 4" sheetId="6" state="visible" r:id="rId6"/>
    <sheet xmlns:r="http://schemas.openxmlformats.org/officeDocument/2006/relationships" name="مجموعة 5" sheetId="7" state="visible" r:id="rId7"/>
    <sheet xmlns:r="http://schemas.openxmlformats.org/officeDocument/2006/relationships" name="مجموعة 6" sheetId="8" state="visible" r:id="rId8"/>
    <sheet xmlns:r="http://schemas.openxmlformats.org/officeDocument/2006/relationships" name="مجموعة 7" sheetId="9" state="visible" r:id="rId9"/>
    <sheet xmlns:r="http://schemas.openxmlformats.org/officeDocument/2006/relationships" name="مجموعة 8" sheetId="10" state="visible" r:id="rId10"/>
    <sheet xmlns:r="http://schemas.openxmlformats.org/officeDocument/2006/relationships" name="أونلاين" sheetId="11" state="visible" r:id="rId11"/>
    <sheet xmlns:r="http://schemas.openxmlformats.org/officeDocument/2006/relationships" name="برايفت" sheetId="12" state="visible" r:id="rId12"/>
    <sheet xmlns:r="http://schemas.openxmlformats.org/officeDocument/2006/relationships" name="طريقة الاستخدام" sheetId="13" state="visible" r:id="rId13"/>
    <sheet xmlns:r="http://schemas.openxmlformats.org/officeDocument/2006/relationships" name="حسابات" sheetId="14" state="hidden" r:id="rId14"/>
  </sheets>
  <definedNames/>
  <calcPr calcId="124519" fullCalcOnLoad="1"/>
</workbook>
</file>

<file path=xl/styles.xml><?xml version="1.0" encoding="utf-8"?>
<styleSheet xmlns="http://schemas.openxmlformats.org/spreadsheetml/2006/main">
  <numFmts count="2">
    <numFmt numFmtId="164" formatCode="d/m"/>
    <numFmt numFmtId="165" formatCode="0;-0;;@"/>
  </numFmts>
  <fonts count="20">
    <font>
      <name val="Arial"/>
      <family val="2"/>
      <sz val="10"/>
    </font>
    <font>
      <name val="Arial"/>
      <b val="1"/>
      <color rgb="003A3550"/>
      <sz val="12"/>
    </font>
    <font>
      <name val="Arial"/>
      <b val="1"/>
      <color rgb="008A85A0"/>
      <sz val="10"/>
    </font>
    <font>
      <name val="Arial"/>
      <color rgb="008A85A0"/>
      <sz val="9"/>
    </font>
    <font>
      <name val="Arial"/>
      <b val="1"/>
      <color rgb="003A3550"/>
      <sz val="9"/>
    </font>
    <font>
      <name val="Arial"/>
      <b val="1"/>
      <color rgb="003A3550"/>
      <sz val="10"/>
    </font>
    <font>
      <name val="Arial"/>
      <color rgb="003A3550"/>
      <sz val="10"/>
    </font>
    <font>
      <name val="Arial"/>
      <b val="1"/>
      <color rgb="003A3550"/>
      <sz val="11"/>
    </font>
    <font>
      <name val="Arial"/>
      <color rgb="008A85A0"/>
      <sz val="8"/>
    </font>
    <font>
      <name val="Arial"/>
      <b val="1"/>
      <color rgb="003A3550"/>
      <sz val="8"/>
    </font>
    <font>
      <name val="Arial"/>
      <color rgb="003A3550"/>
      <sz val="8"/>
    </font>
    <font>
      <name val="Arial"/>
      <b val="1"/>
      <color rgb="003A3550"/>
      <sz val="14"/>
    </font>
    <font>
      <name val="Arial"/>
      <color rgb="003A3550"/>
      <sz val="11"/>
    </font>
    <font>
      <name val="Arial"/>
      <b val="1"/>
      <color rgb="003A3550"/>
      <sz val="18"/>
    </font>
    <font>
      <name val="Arial"/>
      <b val="1"/>
      <color rgb="003A3550"/>
      <sz val="20"/>
    </font>
    <font>
      <name val="Arial"/>
      <color rgb="003A3550"/>
      <sz val="9"/>
    </font>
    <font>
      <name val="Arial"/>
      <b val="1"/>
      <color rgb="003A3550"/>
      <sz val="13"/>
    </font>
    <font>
      <name val="Arial"/>
      <b val="1"/>
      <color rgb="00C0143C"/>
      <sz val="11"/>
    </font>
    <font>
      <name val="Arial"/>
      <b val="1"/>
      <color rgb="00B45309"/>
      <sz val="8"/>
    </font>
    <font>
      <name val="Arial"/>
      <b val="1"/>
      <color rgb="003A3550"/>
      <sz val="16"/>
    </font>
  </fonts>
  <fills count="96">
    <fill>
      <patternFill/>
    </fill>
    <fill>
      <patternFill patternType="gray125"/>
    </fill>
    <fill>
      <patternFill patternType="solid">
        <fgColor rgb="00FFFFFF"/>
      </patternFill>
    </fill>
    <fill>
      <patternFill patternType="solid">
        <fgColor rgb="00F1F0F6"/>
      </patternFill>
    </fill>
    <fill>
      <patternFill patternType="solid">
        <fgColor rgb="00FF99C8"/>
      </patternFill>
    </fill>
    <fill>
      <patternFill patternType="solid">
        <fgColor rgb="00FFADD3"/>
      </patternFill>
    </fill>
    <fill>
      <patternFill patternType="solid">
        <fgColor rgb="00FCF6BD"/>
      </patternFill>
    </fill>
    <fill>
      <patternFill patternType="solid">
        <fgColor rgb="00FDF8CA"/>
      </patternFill>
    </fill>
    <fill>
      <patternFill patternType="solid">
        <fgColor rgb="00D0F4DE"/>
      </patternFill>
    </fill>
    <fill>
      <patternFill patternType="solid">
        <fgColor rgb="00D9F6E5"/>
      </patternFill>
    </fill>
    <fill>
      <patternFill patternType="solid">
        <fgColor rgb="00A9DEF9"/>
      </patternFill>
    </fill>
    <fill>
      <patternFill patternType="solid">
        <fgColor rgb="00BAE5FA"/>
      </patternFill>
    </fill>
    <fill>
      <patternFill patternType="solid">
        <fgColor rgb="00E4C1F9"/>
      </patternFill>
    </fill>
    <fill>
      <patternFill patternType="solid">
        <fgColor rgb="00E9CDFA"/>
      </patternFill>
    </fill>
    <fill>
      <patternFill patternType="solid">
        <fgColor rgb="00FEC89A"/>
      </patternFill>
    </fill>
    <fill>
      <patternFill patternType="solid">
        <fgColor rgb="00FED3AE"/>
      </patternFill>
    </fill>
    <fill>
      <patternFill patternType="solid">
        <fgColor rgb="00D8E2DC"/>
      </patternFill>
    </fill>
    <fill>
      <patternFill patternType="solid">
        <fgColor rgb="00E0E8E3"/>
      </patternFill>
    </fill>
    <fill>
      <patternFill patternType="solid">
        <fgColor rgb="00FEC5BB"/>
      </patternFill>
    </fill>
    <fill>
      <patternFill patternType="solid">
        <fgColor rgb="00FED1C9"/>
      </patternFill>
    </fill>
    <fill>
      <patternFill patternType="solid">
        <fgColor rgb="00C7CEEA"/>
      </patternFill>
    </fill>
    <fill>
      <patternFill patternType="solid">
        <fgColor rgb="00D2D8EE"/>
      </patternFill>
    </fill>
    <fill>
      <patternFill patternType="solid">
        <fgColor rgb="00FFD7BA"/>
      </patternFill>
    </fill>
    <fill>
      <patternFill patternType="solid">
        <fgColor rgb="00FFDFC8"/>
      </patternFill>
    </fill>
    <fill>
      <patternFill patternType="solid">
        <fgColor rgb="00E2F0CB"/>
      </patternFill>
    </fill>
    <fill>
      <patternFill patternType="solid">
        <fgColor rgb="00E8F3D5"/>
      </patternFill>
    </fill>
    <fill>
      <patternFill patternType="solid">
        <fgColor rgb="00E8E8E4"/>
      </patternFill>
    </fill>
    <fill>
      <patternFill patternType="solid">
        <fgColor rgb="00EDEDE9"/>
      </patternFill>
    </fill>
    <fill>
      <patternFill patternType="solid">
        <fgColor rgb="00ECD4FB"/>
      </patternFill>
    </fill>
    <fill>
      <patternFill patternType="solid">
        <fgColor rgb="00FFC7E1"/>
      </patternFill>
    </fill>
    <fill>
      <patternFill patternType="solid">
        <fgColor rgb="00FFB8D8"/>
      </patternFill>
    </fill>
    <fill>
      <patternFill patternType="solid">
        <fgColor rgb="00FFEDF5"/>
      </patternFill>
    </fill>
    <fill>
      <patternFill patternType="solid">
        <fgColor rgb="00FFD4E8"/>
      </patternFill>
    </fill>
    <fill>
      <patternFill patternType="solid">
        <fgColor rgb="00FDFADB"/>
      </patternFill>
    </fill>
    <fill>
      <patternFill patternType="solid">
        <fgColor rgb="00FDF9D1"/>
      </patternFill>
    </fill>
    <fill>
      <patternFill patternType="solid">
        <fgColor rgb="00FEFDF3"/>
      </patternFill>
    </fill>
    <fill>
      <patternFill patternType="solid">
        <fgColor rgb="00FEFBE3"/>
      </patternFill>
    </fill>
    <fill>
      <patternFill patternType="solid">
        <fgColor rgb="00E5F9ED"/>
      </patternFill>
    </fill>
    <fill>
      <patternFill patternType="solid">
        <fgColor rgb="00DEF7E8"/>
      </patternFill>
    </fill>
    <fill>
      <patternFill patternType="solid">
        <fgColor rgb="00F7FDF9"/>
      </patternFill>
    </fill>
    <fill>
      <patternFill patternType="solid">
        <fgColor rgb="00EBFAF1"/>
      </patternFill>
    </fill>
    <fill>
      <patternFill patternType="solid">
        <fgColor rgb="00D0EDFC"/>
      </patternFill>
    </fill>
    <fill>
      <patternFill patternType="solid">
        <fgColor rgb="00C3E8FB"/>
      </patternFill>
    </fill>
    <fill>
      <patternFill patternType="solid">
        <fgColor rgb="00F0F9FE"/>
      </patternFill>
    </fill>
    <fill>
      <patternFill patternType="solid">
        <fgColor rgb="00DBF1FC"/>
      </patternFill>
    </fill>
    <fill>
      <patternFill patternType="solid">
        <fgColor rgb="00F0DDFC"/>
      </patternFill>
    </fill>
    <fill>
      <patternFill patternType="solid">
        <fgColor rgb="00FAF4FE"/>
      </patternFill>
    </fill>
    <fill>
      <patternFill patternType="solid">
        <fgColor rgb="00F4E5FC"/>
      </patternFill>
    </fill>
    <fill>
      <patternFill patternType="solid">
        <fgColor rgb="00FEE1C7"/>
      </patternFill>
    </fill>
    <fill>
      <patternFill patternType="solid">
        <fgColor rgb="00FED8B8"/>
      </patternFill>
    </fill>
    <fill>
      <patternFill patternType="solid">
        <fgColor rgb="00FFF5ED"/>
      </patternFill>
    </fill>
    <fill>
      <patternFill patternType="solid">
        <fgColor rgb="00FFE8D5"/>
      </patternFill>
    </fill>
    <fill>
      <patternFill patternType="solid">
        <fgColor rgb="00EAEFEC"/>
      </patternFill>
    </fill>
    <fill>
      <patternFill patternType="solid">
        <fgColor rgb="00E4EBE6"/>
      </patternFill>
    </fill>
    <fill>
      <patternFill patternType="solid">
        <fgColor rgb="00F8FAF9"/>
      </patternFill>
    </fill>
    <fill>
      <patternFill patternType="solid">
        <fgColor rgb="00EFF3F0"/>
      </patternFill>
    </fill>
    <fill>
      <patternFill patternType="solid">
        <fgColor rgb="00FEDFDA"/>
      </patternFill>
    </fill>
    <fill>
      <patternFill patternType="solid">
        <fgColor rgb="00FED6CF"/>
      </patternFill>
    </fill>
    <fill>
      <patternFill patternType="solid">
        <fgColor rgb="00FFF5F3"/>
      </patternFill>
    </fill>
    <fill>
      <patternFill patternType="solid">
        <fgColor rgb="00FFE7E2"/>
      </patternFill>
    </fill>
    <fill>
      <patternFill patternType="solid">
        <fgColor rgb="00E0E4F3"/>
      </patternFill>
    </fill>
    <fill>
      <patternFill patternType="solid">
        <fgColor rgb="00D8DDF0"/>
      </patternFill>
    </fill>
    <fill>
      <patternFill patternType="solid">
        <fgColor rgb="00F5F6FB"/>
      </patternFill>
    </fill>
    <fill>
      <patternFill patternType="solid">
        <fgColor rgb="00E7EAF6"/>
      </patternFill>
    </fill>
    <fill>
      <patternFill patternType="solid">
        <fgColor rgb="00FFE9D9"/>
      </patternFill>
    </fill>
    <fill>
      <patternFill patternType="solid">
        <fgColor rgb="00FFE3CF"/>
      </patternFill>
    </fill>
    <fill>
      <patternFill patternType="solid">
        <fgColor rgb="00FFF8F3"/>
      </patternFill>
    </fill>
    <fill>
      <patternFill patternType="solid">
        <fgColor rgb="00FFEEE2"/>
      </patternFill>
    </fill>
    <fill>
      <patternFill patternType="solid">
        <fgColor rgb="00EFF7E2"/>
      </patternFill>
    </fill>
    <fill>
      <patternFill patternType="solid">
        <fgColor rgb="00EBF4DB"/>
      </patternFill>
    </fill>
    <fill>
      <patternFill patternType="solid">
        <fgColor rgb="00FAFCF6"/>
      </patternFill>
    </fill>
    <fill>
      <patternFill patternType="solid">
        <fgColor rgb="00F3F9E9"/>
      </patternFill>
    </fill>
    <fill>
      <patternFill patternType="solid">
        <fgColor rgb="00F2F2F0"/>
      </patternFill>
    </fill>
    <fill>
      <patternFill patternType="solid">
        <fgColor rgb="00EFEFEC"/>
      </patternFill>
    </fill>
    <fill>
      <patternFill patternType="solid">
        <fgColor rgb="00FBFBFA"/>
      </patternFill>
    </fill>
    <fill>
      <patternFill patternType="solid">
        <fgColor rgb="00F5F5F4"/>
      </patternFill>
    </fill>
    <fill>
      <patternFill patternType="solid">
        <fgColor rgb="00D5F5E1"/>
      </patternFill>
    </fill>
    <fill>
      <patternFill patternType="solid">
        <fgColor rgb="00FFF3F8"/>
      </patternFill>
    </fill>
    <fill>
      <patternFill patternType="solid">
        <fgColor rgb="00FFFEF7"/>
      </patternFill>
    </fill>
    <fill>
      <patternFill patternType="solid">
        <fgColor rgb="00F9FEFB"/>
      </patternFill>
    </fill>
    <fill>
      <patternFill patternType="solid">
        <fgColor rgb="00F5FBFE"/>
      </patternFill>
    </fill>
    <fill>
      <patternFill patternType="solid">
        <fgColor rgb="00FCF8FE"/>
      </patternFill>
    </fill>
    <fill>
      <patternFill patternType="solid">
        <fgColor rgb="00FAFCFB"/>
      </patternFill>
    </fill>
    <fill>
      <patternFill patternType="solid">
        <fgColor rgb="00FFF8F7"/>
      </patternFill>
    </fill>
    <fill>
      <patternFill patternType="solid">
        <fgColor rgb="00F8F9FC"/>
      </patternFill>
    </fill>
    <fill>
      <patternFill patternType="solid">
        <fgColor rgb="00FFFAF7"/>
      </patternFill>
    </fill>
    <fill>
      <patternFill patternType="solid">
        <fgColor rgb="00FCFDF9"/>
      </patternFill>
    </fill>
    <fill>
      <patternFill patternType="solid">
        <fgColor rgb="00FCFCFC"/>
      </patternFill>
    </fill>
    <fill>
      <patternFill patternType="solid">
        <fgColor rgb="00FEFADE"/>
      </patternFill>
    </fill>
    <fill>
      <patternFill patternType="solid">
        <fgColor rgb="00FCF7C4"/>
      </patternFill>
    </fill>
    <fill>
      <patternFill patternType="solid">
        <fgColor rgb="00FFD1E6"/>
      </patternFill>
    </fill>
    <fill>
      <patternFill patternType="solid">
        <fgColor rgb="00D4EEFC"/>
      </patternFill>
    </fill>
    <fill>
      <patternFill patternType="solid">
        <fgColor rgb="00E8FAEE"/>
      </patternFill>
    </fill>
    <fill>
      <patternFill patternType="solid">
        <fgColor rgb="00FFB2D6"/>
      </patternFill>
    </fill>
    <fill>
      <patternFill patternType="solid">
        <fgColor rgb="00FFCCE4"/>
      </patternFill>
    </fill>
    <fill>
      <patternFill patternType="solid">
        <fgColor rgb="00FEE4CC"/>
      </patternFill>
    </fill>
  </fills>
  <borders count="13">
    <border>
      <left/>
      <right/>
      <top/>
      <bottom/>
      <diagonal/>
    </border>
    <border>
      <left style="thin">
        <color rgb="00D5D1E0"/>
      </left>
      <right style="thin">
        <color rgb="00D5D1E0"/>
      </right>
      <top style="thin">
        <color rgb="00D5D1E0"/>
      </top>
      <bottom style="thin">
        <color rgb="00D5D1E0"/>
      </bottom>
    </border>
    <border>
      <left/>
      <right/>
      <top style="thin">
        <color rgb="00D5D1E0"/>
      </top>
      <bottom/>
      <diagonal/>
    </border>
    <border>
      <left/>
      <right style="thin">
        <color rgb="00D5D1E0"/>
      </right>
      <top style="thin">
        <color rgb="00D5D1E0"/>
      </top>
      <bottom/>
      <diagonal/>
    </border>
    <border>
      <left/>
      <right style="thin">
        <color rgb="00D5D1E0"/>
      </right>
      <top style="thin">
        <color rgb="00D5D1E0"/>
      </top>
      <bottom style="thin">
        <color rgb="00D5D1E0"/>
      </bottom>
      <diagonal/>
    </border>
    <border>
      <left style="thin">
        <color rgb="00D5D1E0"/>
      </left>
      <right/>
      <top/>
      <bottom/>
      <diagonal/>
    </border>
    <border>
      <left/>
      <right style="thin">
        <color rgb="00D5D1E0"/>
      </right>
      <top/>
      <bottom/>
      <diagonal/>
    </border>
    <border>
      <left style="thin">
        <color rgb="00D5D1E0"/>
      </left>
      <right/>
      <top/>
      <bottom style="thin">
        <color rgb="00D5D1E0"/>
      </bottom>
      <diagonal/>
    </border>
    <border>
      <left/>
      <right style="thin">
        <color rgb="00D5D1E0"/>
      </right>
      <top/>
      <bottom style="thin">
        <color rgb="00D5D1E0"/>
      </bottom>
      <diagonal/>
    </border>
    <border>
      <left/>
      <right/>
      <top/>
      <bottom style="thin">
        <color rgb="00D5D1E0"/>
      </bottom>
      <diagonal/>
    </border>
    <border>
      <left/>
      <right/>
      <top style="thin">
        <color rgb="00D5D1E0"/>
      </top>
      <bottom style="thin">
        <color rgb="00D5D1E0"/>
      </bottom>
      <diagonal/>
    </border>
    <border>
      <left style="thin">
        <color rgb="00D5D1E0"/>
      </left>
      <right style="thin">
        <color rgb="00D5D1E0"/>
      </right>
      <top/>
      <bottom/>
      <diagonal/>
    </border>
    <border>
      <left style="thin">
        <color rgb="00D5D1E0"/>
      </left>
      <right style="thin">
        <color rgb="00D5D1E0"/>
      </right>
      <top/>
      <bottom style="thin">
        <color rgb="00D5D1E0"/>
      </bottom>
      <diagonal/>
    </border>
  </borders>
  <cellStyleXfs count="1">
    <xf numFmtId="0" fontId="0" fillId="0" borderId="0"/>
  </cellStyleXfs>
  <cellXfs count="205">
    <xf numFmtId="0" fontId="0" fillId="0" borderId="0" pivotButton="0" quotePrefix="0" xfId="0"/>
    <xf numFmtId="0" fontId="13" fillId="4" borderId="0" applyAlignment="1" pivotButton="0" quotePrefix="0" xfId="0">
      <alignment horizontal="center" vertical="center" readingOrder="2"/>
    </xf>
    <xf numFmtId="0" fontId="7" fillId="90" borderId="0" applyAlignment="1" pivotButton="0" quotePrefix="0" xfId="0">
      <alignment horizontal="center" vertical="center" readingOrder="2"/>
    </xf>
    <xf numFmtId="1" fontId="14" fillId="4" borderId="1" applyAlignment="1" pivotButton="0" quotePrefix="0" xfId="0">
      <alignment horizontal="center" vertical="center" readingOrder="2"/>
    </xf>
    <xf numFmtId="0" fontId="0" fillId="0" borderId="4" pivotButton="0" quotePrefix="0" xfId="0"/>
    <xf numFmtId="1" fontId="14" fillId="6" borderId="1" applyAlignment="1" pivotButton="0" quotePrefix="0" xfId="0">
      <alignment horizontal="center" vertical="center" readingOrder="2"/>
    </xf>
    <xf numFmtId="1" fontId="14" fillId="8" borderId="1" applyAlignment="1" pivotButton="0" quotePrefix="0" xfId="0">
      <alignment horizontal="center" vertical="center" readingOrder="2"/>
    </xf>
    <xf numFmtId="1" fontId="14" fillId="10" borderId="1" applyAlignment="1" pivotButton="0" quotePrefix="0" xfId="0">
      <alignment horizontal="center" vertical="center" readingOrder="2"/>
    </xf>
    <xf numFmtId="0" fontId="5" fillId="29" borderId="1" applyAlignment="1" pivotButton="0" quotePrefix="0" xfId="0">
      <alignment horizontal="center" vertical="center" readingOrder="2"/>
    </xf>
    <xf numFmtId="0" fontId="5" fillId="33" borderId="1" applyAlignment="1" pivotButton="0" quotePrefix="0" xfId="0">
      <alignment horizontal="center" vertical="center" readingOrder="2"/>
    </xf>
    <xf numFmtId="0" fontId="5" fillId="37" borderId="1" applyAlignment="1" pivotButton="0" quotePrefix="0" xfId="0">
      <alignment horizontal="center" vertical="center" readingOrder="2"/>
    </xf>
    <xf numFmtId="0" fontId="5" fillId="41" borderId="1" applyAlignment="1" pivotButton="0" quotePrefix="0" xfId="0">
      <alignment horizontal="center" vertical="center" readingOrder="2"/>
    </xf>
    <xf numFmtId="0" fontId="1" fillId="10" borderId="1" applyAlignment="1" pivotButton="0" quotePrefix="0" xfId="0">
      <alignment horizontal="right" vertical="center" readingOrder="2"/>
    </xf>
    <xf numFmtId="0" fontId="0" fillId="0" borderId="10" pivotButton="0" quotePrefix="0" xfId="0"/>
    <xf numFmtId="0" fontId="4" fillId="91" borderId="1" applyAlignment="1" pivotButton="0" quotePrefix="0" xfId="0">
      <alignment horizontal="center" vertical="center" readingOrder="2"/>
    </xf>
    <xf numFmtId="0" fontId="5" fillId="2" borderId="1" applyAlignment="1" pivotButton="0" quotePrefix="0" xfId="0">
      <alignment horizontal="center" vertical="center" readingOrder="2"/>
    </xf>
    <xf numFmtId="0" fontId="5" fillId="2" borderId="1" applyAlignment="1" pivotButton="0" quotePrefix="0" xfId="0">
      <alignment horizontal="center" vertical="center" wrapText="1" readingOrder="2"/>
    </xf>
    <xf numFmtId="0" fontId="15" fillId="2" borderId="1" applyAlignment="1" pivotButton="0" quotePrefix="0" xfId="0">
      <alignment horizontal="center" vertical="center" wrapText="1" readingOrder="2"/>
    </xf>
    <xf numFmtId="0" fontId="15" fillId="2" borderId="1" applyAlignment="1" pivotButton="0" quotePrefix="0" xfId="0">
      <alignment horizontal="right" vertical="center" wrapText="1" readingOrder="2"/>
    </xf>
    <xf numFmtId="0" fontId="1" fillId="8" borderId="1" applyAlignment="1" pivotButton="0" quotePrefix="0" xfId="0">
      <alignment horizontal="right" vertical="center" readingOrder="2"/>
    </xf>
    <xf numFmtId="0" fontId="4" fillId="92" borderId="1" applyAlignment="1" pivotButton="0" quotePrefix="0" xfId="0">
      <alignment horizontal="center" vertical="center" readingOrder="2"/>
    </xf>
    <xf numFmtId="0" fontId="4" fillId="2" borderId="1" applyAlignment="1" pivotButton="0" quotePrefix="0" xfId="0">
      <alignment horizontal="center" vertical="center" wrapText="1" readingOrder="2"/>
    </xf>
    <xf numFmtId="0" fontId="1" fillId="93" borderId="1" applyAlignment="1" pivotButton="0" quotePrefix="0" xfId="0">
      <alignment horizontal="right" vertical="center" readingOrder="2"/>
    </xf>
    <xf numFmtId="0" fontId="4" fillId="93" borderId="1" applyAlignment="1" pivotButton="0" quotePrefix="0" xfId="0">
      <alignment horizontal="center" vertical="center" readingOrder="2"/>
    </xf>
    <xf numFmtId="1" fontId="16" fillId="2" borderId="1" applyAlignment="1" pivotButton="0" quotePrefix="0" xfId="0">
      <alignment horizontal="center" vertical="center" readingOrder="2"/>
    </xf>
    <xf numFmtId="0" fontId="4" fillId="94" borderId="1" applyAlignment="1" pivotButton="0" quotePrefix="0" xfId="0">
      <alignment horizontal="center" vertical="center" readingOrder="2"/>
    </xf>
    <xf numFmtId="0" fontId="5" fillId="2" borderId="1" applyAlignment="1" pivotButton="0" quotePrefix="0" xfId="0">
      <alignment horizontal="right" vertical="center" readingOrder="2"/>
    </xf>
    <xf numFmtId="0" fontId="17" fillId="2" borderId="1" applyAlignment="1" pivotButton="0" quotePrefix="0" xfId="0">
      <alignment horizontal="center" vertical="center" readingOrder="2"/>
    </xf>
    <xf numFmtId="49" fontId="6" fillId="2" borderId="1" applyAlignment="1" pivotButton="0" quotePrefix="0" xfId="0">
      <alignment horizontal="center" vertical="center" readingOrder="2"/>
    </xf>
    <xf numFmtId="0" fontId="3" fillId="0" borderId="0" applyAlignment="1" pivotButton="0" quotePrefix="0" xfId="0">
      <alignment horizontal="center" vertical="center" readingOrder="2"/>
    </xf>
    <xf numFmtId="0" fontId="1" fillId="14" borderId="1" applyAlignment="1" pivotButton="0" quotePrefix="0" xfId="0">
      <alignment horizontal="right" vertical="center" readingOrder="2"/>
    </xf>
    <xf numFmtId="0" fontId="4" fillId="95" borderId="1" applyAlignment="1" pivotButton="0" quotePrefix="0" xfId="0">
      <alignment horizontal="center" vertical="center" readingOrder="2"/>
    </xf>
    <xf numFmtId="0" fontId="18" fillId="2" borderId="1" applyAlignment="1" pivotButton="0" quotePrefix="0" xfId="0">
      <alignment horizontal="center" vertical="center" wrapText="1" readingOrder="2"/>
    </xf>
    <xf numFmtId="0" fontId="11" fillId="6" borderId="0" applyAlignment="1" pivotButton="0" quotePrefix="0" xfId="0">
      <alignment horizontal="center" vertical="center" readingOrder="2"/>
    </xf>
    <xf numFmtId="0" fontId="3" fillId="88" borderId="0" applyAlignment="1" pivotButton="0" quotePrefix="0" xfId="0">
      <alignment horizontal="center" vertical="center" readingOrder="2"/>
    </xf>
    <xf numFmtId="0" fontId="5" fillId="89" borderId="1" applyAlignment="1" pivotButton="0" quotePrefix="0" xfId="0">
      <alignment horizontal="center" vertical="center" readingOrder="2"/>
    </xf>
    <xf numFmtId="0" fontId="3" fillId="3" borderId="1" applyAlignment="1" pivotButton="0" quotePrefix="0" xfId="0">
      <alignment horizontal="center" vertical="center" readingOrder="2"/>
    </xf>
    <xf numFmtId="0" fontId="7" fillId="2" borderId="1" applyAlignment="1" pivotButton="0" quotePrefix="0" xfId="0">
      <alignment horizontal="center" vertical="center" readingOrder="2"/>
    </xf>
    <xf numFmtId="0" fontId="12" fillId="2" borderId="1" applyAlignment="1" pivotButton="0" quotePrefix="0" xfId="0">
      <alignment horizontal="center" vertical="center" readingOrder="2"/>
    </xf>
    <xf numFmtId="0" fontId="6" fillId="2" borderId="1" applyAlignment="1" pivotButton="0" quotePrefix="0" xfId="0">
      <alignment horizontal="center" vertical="center" wrapText="1" readingOrder="2"/>
    </xf>
    <xf numFmtId="0" fontId="1" fillId="2" borderId="1" applyAlignment="1" pivotButton="0" quotePrefix="0" xfId="0">
      <alignment horizontal="center" vertical="center" readingOrder="2"/>
    </xf>
    <xf numFmtId="0" fontId="3" fillId="3" borderId="1" applyAlignment="1" pivotButton="0" quotePrefix="0" xfId="0">
      <alignment horizontal="center" vertical="center" wrapText="1" readingOrder="2"/>
    </xf>
    <xf numFmtId="0" fontId="0" fillId="0" borderId="2" pivotButton="0" quotePrefix="0" xfId="0"/>
    <xf numFmtId="0" fontId="0" fillId="0" borderId="3" pivotButton="0" quotePrefix="0" xfId="0"/>
    <xf numFmtId="0" fontId="1" fillId="4" borderId="1" applyAlignment="1" pivotButton="0" quotePrefix="0" xfId="0">
      <alignment horizontal="center" vertical="center" readingOrder="2"/>
    </xf>
    <xf numFmtId="0" fontId="1" fillId="6" borderId="1" applyAlignment="1" pivotButton="0" quotePrefix="0" xfId="0">
      <alignment horizontal="center" vertical="center" readingOrder="2"/>
    </xf>
    <xf numFmtId="0" fontId="1" fillId="8" borderId="1" applyAlignment="1" pivotButton="0" quotePrefix="0" xfId="0">
      <alignment horizontal="center" vertical="center" readingOrder="2"/>
    </xf>
    <xf numFmtId="0" fontId="1" fillId="10" borderId="1" applyAlignment="1" pivotButton="0" quotePrefix="0" xfId="0">
      <alignment horizontal="center" vertical="center" readingOrder="2"/>
    </xf>
    <xf numFmtId="0" fontId="1" fillId="12" borderId="1" applyAlignment="1" pivotButton="0" quotePrefix="0" xfId="0">
      <alignment horizontal="center" vertical="center" readingOrder="2"/>
    </xf>
    <xf numFmtId="0" fontId="1" fillId="14" borderId="1" applyAlignment="1" pivotButton="0" quotePrefix="0" xfId="0">
      <alignment horizontal="center" vertical="center" readingOrder="2"/>
    </xf>
    <xf numFmtId="0" fontId="1" fillId="16" borderId="1" applyAlignment="1" pivotButton="0" quotePrefix="0" xfId="0">
      <alignment horizontal="center" vertical="center" readingOrder="2"/>
    </xf>
    <xf numFmtId="0" fontId="1" fillId="18" borderId="1" applyAlignment="1" pivotButton="0" quotePrefix="0" xfId="0">
      <alignment horizontal="center" vertical="center" readingOrder="2"/>
    </xf>
    <xf numFmtId="0" fontId="1" fillId="20" borderId="1" applyAlignment="1" pivotButton="0" quotePrefix="0" xfId="0">
      <alignment horizontal="center" vertical="center" readingOrder="2"/>
    </xf>
    <xf numFmtId="0" fontId="1" fillId="22" borderId="1" applyAlignment="1" pivotButton="0" quotePrefix="0" xfId="0">
      <alignment horizontal="center" vertical="center" readingOrder="2"/>
    </xf>
    <xf numFmtId="0" fontId="1" fillId="24" borderId="1" applyAlignment="1" pivotButton="0" quotePrefix="0" xfId="0">
      <alignment horizontal="center" vertical="center" readingOrder="2"/>
    </xf>
    <xf numFmtId="0" fontId="1" fillId="26" borderId="1" applyAlignment="1" pivotButton="0" quotePrefix="0" xfId="0">
      <alignment horizontal="center" vertical="center" readingOrder="2"/>
    </xf>
    <xf numFmtId="0" fontId="2" fillId="3" borderId="1" applyAlignment="1" pivotButton="0" quotePrefix="0" xfId="0">
      <alignment horizontal="center" vertical="center" readingOrder="2"/>
    </xf>
    <xf numFmtId="0" fontId="0" fillId="0" borderId="5" pivotButton="0" quotePrefix="0" xfId="0"/>
    <xf numFmtId="0" fontId="0" fillId="0" borderId="6" pivotButton="0" quotePrefix="0" xfId="0"/>
    <xf numFmtId="0" fontId="4" fillId="5" borderId="1" applyAlignment="1" pivotButton="0" quotePrefix="0" xfId="0">
      <alignment horizontal="center" vertical="center" readingOrder="2"/>
    </xf>
    <xf numFmtId="0" fontId="4" fillId="7" borderId="1" applyAlignment="1" pivotButton="0" quotePrefix="0" xfId="0">
      <alignment horizontal="center" vertical="center" readingOrder="2"/>
    </xf>
    <xf numFmtId="0" fontId="4" fillId="9" borderId="1" applyAlignment="1" pivotButton="0" quotePrefix="0" xfId="0">
      <alignment horizontal="center" vertical="center" readingOrder="2"/>
    </xf>
    <xf numFmtId="0" fontId="4" fillId="11" borderId="1" applyAlignment="1" pivotButton="0" quotePrefix="0" xfId="0">
      <alignment horizontal="center" vertical="center" readingOrder="2"/>
    </xf>
    <xf numFmtId="0" fontId="4" fillId="13" borderId="1" applyAlignment="1" pivotButton="0" quotePrefix="0" xfId="0">
      <alignment horizontal="center" vertical="center" readingOrder="2"/>
    </xf>
    <xf numFmtId="0" fontId="4" fillId="15" borderId="1" applyAlignment="1" pivotButton="0" quotePrefix="0" xfId="0">
      <alignment horizontal="center" vertical="center" readingOrder="2"/>
    </xf>
    <xf numFmtId="0" fontId="4" fillId="17" borderId="1" applyAlignment="1" pivotButton="0" quotePrefix="0" xfId="0">
      <alignment horizontal="center" vertical="center" readingOrder="2"/>
    </xf>
    <xf numFmtId="0" fontId="4" fillId="19" borderId="1" applyAlignment="1" pivotButton="0" quotePrefix="0" xfId="0">
      <alignment horizontal="center" vertical="center" readingOrder="2"/>
    </xf>
    <xf numFmtId="0" fontId="4" fillId="21" borderId="1" applyAlignment="1" pivotButton="0" quotePrefix="0" xfId="0">
      <alignment horizontal="center" vertical="center" readingOrder="2"/>
    </xf>
    <xf numFmtId="0" fontId="4" fillId="23" borderId="1" applyAlignment="1" pivotButton="0" quotePrefix="0" xfId="0">
      <alignment horizontal="center" vertical="center" readingOrder="2"/>
    </xf>
    <xf numFmtId="0" fontId="4" fillId="25" borderId="1" applyAlignment="1" pivotButton="0" quotePrefix="0" xfId="0">
      <alignment horizontal="center" vertical="center" readingOrder="2"/>
    </xf>
    <xf numFmtId="0" fontId="4" fillId="27" borderId="1" applyAlignment="1" pivotButton="0" quotePrefix="0" xfId="0">
      <alignment horizontal="center" vertical="center" readingOrder="2"/>
    </xf>
    <xf numFmtId="0" fontId="0" fillId="0" borderId="7" pivotButton="0" quotePrefix="0" xfId="0"/>
    <xf numFmtId="0" fontId="0" fillId="0" borderId="8" pivotButton="0" quotePrefix="0" xfId="0"/>
    <xf numFmtId="0" fontId="0" fillId="0" borderId="9" pivotButton="0" quotePrefix="0" xfId="0"/>
    <xf numFmtId="164" fontId="5" fillId="2" borderId="1" applyAlignment="1" pivotButton="0" quotePrefix="0" xfId="0">
      <alignment horizontal="center" vertical="center" readingOrder="2"/>
    </xf>
    <xf numFmtId="0" fontId="0" fillId="0" borderId="12" pivotButton="0" quotePrefix="0" xfId="0"/>
    <xf numFmtId="0" fontId="5" fillId="28" borderId="1" applyAlignment="1" pivotButton="0" quotePrefix="0" xfId="0">
      <alignment horizontal="center" vertical="center" readingOrder="2"/>
    </xf>
    <xf numFmtId="0" fontId="5" fillId="5" borderId="1" applyAlignment="1" pivotButton="0" quotePrefix="0" xfId="0">
      <alignment horizontal="center" vertical="center" readingOrder="2"/>
    </xf>
    <xf numFmtId="0" fontId="5" fillId="7" borderId="1" applyAlignment="1" pivotButton="0" quotePrefix="0" xfId="0">
      <alignment horizontal="center" vertical="center" readingOrder="2"/>
    </xf>
    <xf numFmtId="0" fontId="5" fillId="9" borderId="1" applyAlignment="1" pivotButton="0" quotePrefix="0" xfId="0">
      <alignment horizontal="center" vertical="center" readingOrder="2"/>
    </xf>
    <xf numFmtId="0" fontId="5" fillId="11" borderId="1" applyAlignment="1" pivotButton="0" quotePrefix="0" xfId="0">
      <alignment horizontal="center" vertical="center" readingOrder="2"/>
    </xf>
    <xf numFmtId="0" fontId="5" fillId="45" borderId="1" applyAlignment="1" pivotButton="0" quotePrefix="0" xfId="0">
      <alignment horizontal="center" vertical="center" readingOrder="2"/>
    </xf>
    <xf numFmtId="0" fontId="5" fillId="13" borderId="1" applyAlignment="1" pivotButton="0" quotePrefix="0" xfId="0">
      <alignment horizontal="center" vertical="center" readingOrder="2"/>
    </xf>
    <xf numFmtId="0" fontId="5" fillId="48" borderId="1" applyAlignment="1" pivotButton="0" quotePrefix="0" xfId="0">
      <alignment horizontal="center" vertical="center" readingOrder="2"/>
    </xf>
    <xf numFmtId="0" fontId="5" fillId="15" borderId="1" applyAlignment="1" pivotButton="0" quotePrefix="0" xfId="0">
      <alignment horizontal="center" vertical="center" readingOrder="2"/>
    </xf>
    <xf numFmtId="0" fontId="5" fillId="52" borderId="1" applyAlignment="1" pivotButton="0" quotePrefix="0" xfId="0">
      <alignment horizontal="center" vertical="center" readingOrder="2"/>
    </xf>
    <xf numFmtId="0" fontId="5" fillId="17" borderId="1" applyAlignment="1" pivotButton="0" quotePrefix="0" xfId="0">
      <alignment horizontal="center" vertical="center" readingOrder="2"/>
    </xf>
    <xf numFmtId="0" fontId="5" fillId="56" borderId="1" applyAlignment="1" pivotButton="0" quotePrefix="0" xfId="0">
      <alignment horizontal="center" vertical="center" readingOrder="2"/>
    </xf>
    <xf numFmtId="0" fontId="5" fillId="19" borderId="1" applyAlignment="1" pivotButton="0" quotePrefix="0" xfId="0">
      <alignment horizontal="center" vertical="center" readingOrder="2"/>
    </xf>
    <xf numFmtId="0" fontId="5" fillId="60" borderId="1" applyAlignment="1" pivotButton="0" quotePrefix="0" xfId="0">
      <alignment horizontal="center" vertical="center" readingOrder="2"/>
    </xf>
    <xf numFmtId="0" fontId="5" fillId="21" borderId="1" applyAlignment="1" pivotButton="0" quotePrefix="0" xfId="0">
      <alignment horizontal="center" vertical="center" readingOrder="2"/>
    </xf>
    <xf numFmtId="0" fontId="5" fillId="64" borderId="1" applyAlignment="1" pivotButton="0" quotePrefix="0" xfId="0">
      <alignment horizontal="center" vertical="center" readingOrder="2"/>
    </xf>
    <xf numFmtId="0" fontId="5" fillId="23" borderId="1" applyAlignment="1" pivotButton="0" quotePrefix="0" xfId="0">
      <alignment horizontal="center" vertical="center" readingOrder="2"/>
    </xf>
    <xf numFmtId="0" fontId="5" fillId="68" borderId="1" applyAlignment="1" pivotButton="0" quotePrefix="0" xfId="0">
      <alignment horizontal="center" vertical="center" readingOrder="2"/>
    </xf>
    <xf numFmtId="0" fontId="5" fillId="25" borderId="1" applyAlignment="1" pivotButton="0" quotePrefix="0" xfId="0">
      <alignment horizontal="center" vertical="center" readingOrder="2"/>
    </xf>
    <xf numFmtId="0" fontId="5" fillId="72" borderId="1" applyAlignment="1" pivotButton="0" quotePrefix="0" xfId="0">
      <alignment horizontal="center" vertical="center" readingOrder="2"/>
    </xf>
    <xf numFmtId="0" fontId="5" fillId="27" borderId="1" applyAlignment="1" pivotButton="0" quotePrefix="0" xfId="0">
      <alignment horizontal="center" vertical="center" readingOrder="2"/>
    </xf>
    <xf numFmtId="0" fontId="7" fillId="2" borderId="1" applyAlignment="1" pivotButton="0" quotePrefix="0" xfId="0">
      <alignment horizontal="right" vertical="center" readingOrder="2"/>
    </xf>
    <xf numFmtId="0" fontId="5" fillId="3" borderId="1" applyAlignment="1" pivotButton="0" quotePrefix="0" xfId="0">
      <alignment horizontal="center" vertical="center" readingOrder="2"/>
    </xf>
    <xf numFmtId="0" fontId="4" fillId="3" borderId="1" applyAlignment="1" pivotButton="0" quotePrefix="0" xfId="0">
      <alignment horizontal="center" vertical="center" readingOrder="2"/>
    </xf>
    <xf numFmtId="0" fontId="6" fillId="31" borderId="1" applyAlignment="1" pivotButton="0" quotePrefix="0" xfId="0">
      <alignment horizontal="center" vertical="center" readingOrder="2"/>
    </xf>
    <xf numFmtId="0" fontId="6" fillId="32" borderId="1" applyAlignment="1" pivotButton="0" quotePrefix="0" xfId="0">
      <alignment horizontal="center" vertical="center" readingOrder="2"/>
    </xf>
    <xf numFmtId="0" fontId="6" fillId="30" borderId="1" applyAlignment="1" pivotButton="0" quotePrefix="0" xfId="0">
      <alignment horizontal="center" vertical="center" readingOrder="2"/>
    </xf>
    <xf numFmtId="0" fontId="6" fillId="35" borderId="1" applyAlignment="1" pivotButton="0" quotePrefix="0" xfId="0">
      <alignment horizontal="center" vertical="center" readingOrder="2"/>
    </xf>
    <xf numFmtId="0" fontId="6" fillId="36" borderId="1" applyAlignment="1" pivotButton="0" quotePrefix="0" xfId="0">
      <alignment horizontal="center" vertical="center" readingOrder="2"/>
    </xf>
    <xf numFmtId="0" fontId="6" fillId="34" borderId="1" applyAlignment="1" pivotButton="0" quotePrefix="0" xfId="0">
      <alignment horizontal="center" vertical="center" readingOrder="2"/>
    </xf>
    <xf numFmtId="0" fontId="6" fillId="39" borderId="1" applyAlignment="1" pivotButton="0" quotePrefix="0" xfId="0">
      <alignment horizontal="center" vertical="center" readingOrder="2"/>
    </xf>
    <xf numFmtId="0" fontId="6" fillId="40" borderId="1" applyAlignment="1" pivotButton="0" quotePrefix="0" xfId="0">
      <alignment horizontal="center" vertical="center" readingOrder="2"/>
    </xf>
    <xf numFmtId="0" fontId="6" fillId="38" borderId="1" applyAlignment="1" pivotButton="0" quotePrefix="0" xfId="0">
      <alignment horizontal="center" vertical="center" readingOrder="2"/>
    </xf>
    <xf numFmtId="0" fontId="6" fillId="43" borderId="1" applyAlignment="1" pivotButton="0" quotePrefix="0" xfId="0">
      <alignment horizontal="center" vertical="center" readingOrder="2"/>
    </xf>
    <xf numFmtId="0" fontId="6" fillId="44" borderId="1" applyAlignment="1" pivotButton="0" quotePrefix="0" xfId="0">
      <alignment horizontal="center" vertical="center" readingOrder="2"/>
    </xf>
    <xf numFmtId="0" fontId="6" fillId="42" borderId="1" applyAlignment="1" pivotButton="0" quotePrefix="0" xfId="0">
      <alignment horizontal="center" vertical="center" readingOrder="2"/>
    </xf>
    <xf numFmtId="0" fontId="6" fillId="46" borderId="1" applyAlignment="1" pivotButton="0" quotePrefix="0" xfId="0">
      <alignment horizontal="center" vertical="center" readingOrder="2"/>
    </xf>
    <xf numFmtId="0" fontId="6" fillId="47" borderId="1" applyAlignment="1" pivotButton="0" quotePrefix="0" xfId="0">
      <alignment horizontal="center" vertical="center" readingOrder="2"/>
    </xf>
    <xf numFmtId="0" fontId="6" fillId="28" borderId="1" applyAlignment="1" pivotButton="0" quotePrefix="0" xfId="0">
      <alignment horizontal="center" vertical="center" readingOrder="2"/>
    </xf>
    <xf numFmtId="0" fontId="6" fillId="50" borderId="1" applyAlignment="1" pivotButton="0" quotePrefix="0" xfId="0">
      <alignment horizontal="center" vertical="center" readingOrder="2"/>
    </xf>
    <xf numFmtId="0" fontId="6" fillId="51" borderId="1" applyAlignment="1" pivotButton="0" quotePrefix="0" xfId="0">
      <alignment horizontal="center" vertical="center" readingOrder="2"/>
    </xf>
    <xf numFmtId="0" fontId="6" fillId="49" borderId="1" applyAlignment="1" pivotButton="0" quotePrefix="0" xfId="0">
      <alignment horizontal="center" vertical="center" readingOrder="2"/>
    </xf>
    <xf numFmtId="0" fontId="6" fillId="54" borderId="1" applyAlignment="1" pivotButton="0" quotePrefix="0" xfId="0">
      <alignment horizontal="center" vertical="center" readingOrder="2"/>
    </xf>
    <xf numFmtId="0" fontId="6" fillId="55" borderId="1" applyAlignment="1" pivotButton="0" quotePrefix="0" xfId="0">
      <alignment horizontal="center" vertical="center" readingOrder="2"/>
    </xf>
    <xf numFmtId="0" fontId="6" fillId="53" borderId="1" applyAlignment="1" pivotButton="0" quotePrefix="0" xfId="0">
      <alignment horizontal="center" vertical="center" readingOrder="2"/>
    </xf>
    <xf numFmtId="0" fontId="6" fillId="58" borderId="1" applyAlignment="1" pivotButton="0" quotePrefix="0" xfId="0">
      <alignment horizontal="center" vertical="center" readingOrder="2"/>
    </xf>
    <xf numFmtId="0" fontId="6" fillId="59" borderId="1" applyAlignment="1" pivotButton="0" quotePrefix="0" xfId="0">
      <alignment horizontal="center" vertical="center" readingOrder="2"/>
    </xf>
    <xf numFmtId="0" fontId="6" fillId="57" borderId="1" applyAlignment="1" pivotButton="0" quotePrefix="0" xfId="0">
      <alignment horizontal="center" vertical="center" readingOrder="2"/>
    </xf>
    <xf numFmtId="0" fontId="6" fillId="62" borderId="1" applyAlignment="1" pivotButton="0" quotePrefix="0" xfId="0">
      <alignment horizontal="center" vertical="center" readingOrder="2"/>
    </xf>
    <xf numFmtId="0" fontId="6" fillId="63" borderId="1" applyAlignment="1" pivotButton="0" quotePrefix="0" xfId="0">
      <alignment horizontal="center" vertical="center" readingOrder="2"/>
    </xf>
    <xf numFmtId="0" fontId="6" fillId="61" borderId="1" applyAlignment="1" pivotButton="0" quotePrefix="0" xfId="0">
      <alignment horizontal="center" vertical="center" readingOrder="2"/>
    </xf>
    <xf numFmtId="0" fontId="6" fillId="66" borderId="1" applyAlignment="1" pivotButton="0" quotePrefix="0" xfId="0">
      <alignment horizontal="center" vertical="center" readingOrder="2"/>
    </xf>
    <xf numFmtId="0" fontId="6" fillId="67" borderId="1" applyAlignment="1" pivotButton="0" quotePrefix="0" xfId="0">
      <alignment horizontal="center" vertical="center" readingOrder="2"/>
    </xf>
    <xf numFmtId="0" fontId="6" fillId="65" borderId="1" applyAlignment="1" pivotButton="0" quotePrefix="0" xfId="0">
      <alignment horizontal="center" vertical="center" readingOrder="2"/>
    </xf>
    <xf numFmtId="0" fontId="6" fillId="70" borderId="1" applyAlignment="1" pivotButton="0" quotePrefix="0" xfId="0">
      <alignment horizontal="center" vertical="center" readingOrder="2"/>
    </xf>
    <xf numFmtId="0" fontId="6" fillId="71" borderId="1" applyAlignment="1" pivotButton="0" quotePrefix="0" xfId="0">
      <alignment horizontal="center" vertical="center" readingOrder="2"/>
    </xf>
    <xf numFmtId="0" fontId="6" fillId="69" borderId="1" applyAlignment="1" pivotButton="0" quotePrefix="0" xfId="0">
      <alignment horizontal="center" vertical="center" readingOrder="2"/>
    </xf>
    <xf numFmtId="0" fontId="6" fillId="74" borderId="1" applyAlignment="1" pivotButton="0" quotePrefix="0" xfId="0">
      <alignment horizontal="center" vertical="center" readingOrder="2"/>
    </xf>
    <xf numFmtId="0" fontId="6" fillId="75" borderId="1" applyAlignment="1" pivotButton="0" quotePrefix="0" xfId="0">
      <alignment horizontal="center" vertical="center" readingOrder="2"/>
    </xf>
    <xf numFmtId="0" fontId="6" fillId="73" borderId="1" applyAlignment="1" pivotButton="0" quotePrefix="0" xfId="0">
      <alignment horizontal="center" vertical="center" readingOrder="2"/>
    </xf>
    <xf numFmtId="0" fontId="6" fillId="3" borderId="1" applyAlignment="1" pivotButton="0" quotePrefix="0" xfId="0">
      <alignment horizontal="center" vertical="center" readingOrder="2"/>
    </xf>
    <xf numFmtId="165" fontId="3" fillId="3" borderId="1" applyAlignment="1" pivotButton="0" quotePrefix="0" xfId="0">
      <alignment horizontal="center" vertical="center" readingOrder="2"/>
    </xf>
    <xf numFmtId="0" fontId="4" fillId="76" borderId="1" applyAlignment="1" pivotButton="0" quotePrefix="0" xfId="0">
      <alignment horizontal="center" vertical="center" readingOrder="2"/>
    </xf>
    <xf numFmtId="49" fontId="6" fillId="2" borderId="1" applyAlignment="1" pivotButton="0" quotePrefix="0" xfId="0">
      <alignment horizontal="right" vertical="center" wrapText="1" readingOrder="2"/>
    </xf>
    <xf numFmtId="0" fontId="5" fillId="3" borderId="1" applyAlignment="1" pivotButton="0" quotePrefix="0" xfId="0">
      <alignment horizontal="center" vertical="center" wrapText="1" readingOrder="2"/>
    </xf>
    <xf numFmtId="0" fontId="8" fillId="3" borderId="1" applyAlignment="1" pivotButton="0" quotePrefix="0" xfId="0">
      <alignment horizontal="center" vertical="center" wrapText="1" readingOrder="2"/>
    </xf>
    <xf numFmtId="0" fontId="4" fillId="28" borderId="1" applyAlignment="1" pivotButton="0" quotePrefix="0" xfId="0">
      <alignment horizontal="center" vertical="center" readingOrder="2"/>
    </xf>
    <xf numFmtId="0" fontId="4" fillId="2" borderId="1" applyAlignment="1" pivotButton="0" quotePrefix="0" xfId="0">
      <alignment horizontal="center" vertical="center" readingOrder="2"/>
    </xf>
    <xf numFmtId="0" fontId="9" fillId="5" borderId="1" applyAlignment="1" pivotButton="0" quotePrefix="0" xfId="0">
      <alignment horizontal="center" vertical="center" wrapText="1" readingOrder="2"/>
    </xf>
    <xf numFmtId="0" fontId="9" fillId="7" borderId="1" applyAlignment="1" pivotButton="0" quotePrefix="0" xfId="0">
      <alignment horizontal="center" vertical="center" wrapText="1" readingOrder="2"/>
    </xf>
    <xf numFmtId="0" fontId="9" fillId="9" borderId="1" applyAlignment="1" pivotButton="0" quotePrefix="0" xfId="0">
      <alignment horizontal="center" vertical="center" wrapText="1" readingOrder="2"/>
    </xf>
    <xf numFmtId="0" fontId="9" fillId="11" borderId="1" applyAlignment="1" pivotButton="0" quotePrefix="0" xfId="0">
      <alignment horizontal="center" vertical="center" wrapText="1" readingOrder="2"/>
    </xf>
    <xf numFmtId="0" fontId="9" fillId="13" borderId="1" applyAlignment="1" pivotButton="0" quotePrefix="0" xfId="0">
      <alignment horizontal="center" vertical="center" wrapText="1" readingOrder="2"/>
    </xf>
    <xf numFmtId="0" fontId="9" fillId="15" borderId="1" applyAlignment="1" pivotButton="0" quotePrefix="0" xfId="0">
      <alignment horizontal="center" vertical="center" wrapText="1" readingOrder="2"/>
    </xf>
    <xf numFmtId="0" fontId="9" fillId="17" borderId="1" applyAlignment="1" pivotButton="0" quotePrefix="0" xfId="0">
      <alignment horizontal="center" vertical="center" wrapText="1" readingOrder="2"/>
    </xf>
    <xf numFmtId="0" fontId="9" fillId="19" borderId="1" applyAlignment="1" pivotButton="0" quotePrefix="0" xfId="0">
      <alignment horizontal="center" vertical="center" wrapText="1" readingOrder="2"/>
    </xf>
    <xf numFmtId="0" fontId="9" fillId="21" borderId="1" applyAlignment="1" pivotButton="0" quotePrefix="0" xfId="0">
      <alignment horizontal="center" vertical="center" wrapText="1" readingOrder="2"/>
    </xf>
    <xf numFmtId="0" fontId="9" fillId="23" borderId="1" applyAlignment="1" pivotButton="0" quotePrefix="0" xfId="0">
      <alignment horizontal="center" vertical="center" wrapText="1" readingOrder="2"/>
    </xf>
    <xf numFmtId="0" fontId="9" fillId="25" borderId="1" applyAlignment="1" pivotButton="0" quotePrefix="0" xfId="0">
      <alignment horizontal="center" vertical="center" wrapText="1" readingOrder="2"/>
    </xf>
    <xf numFmtId="0" fontId="9" fillId="27" borderId="1" applyAlignment="1" pivotButton="0" quotePrefix="0" xfId="0">
      <alignment horizontal="center" vertical="center" wrapText="1" readingOrder="2"/>
    </xf>
    <xf numFmtId="0" fontId="8" fillId="3" borderId="1" applyAlignment="1" pivotButton="0" quotePrefix="0" xfId="0">
      <alignment horizontal="center" vertical="center" readingOrder="2"/>
    </xf>
    <xf numFmtId="0" fontId="9" fillId="29" borderId="1" applyAlignment="1" pivotButton="0" quotePrefix="0" xfId="0">
      <alignment horizontal="center" vertical="center" readingOrder="2"/>
    </xf>
    <xf numFmtId="0" fontId="9" fillId="5" borderId="1" applyAlignment="1" pivotButton="0" quotePrefix="0" xfId="0">
      <alignment horizontal="center" vertical="center" readingOrder="2"/>
    </xf>
    <xf numFmtId="0" fontId="9" fillId="33" borderId="1" applyAlignment="1" pivotButton="0" quotePrefix="0" xfId="0">
      <alignment horizontal="center" vertical="center" readingOrder="2"/>
    </xf>
    <xf numFmtId="0" fontId="9" fillId="7" borderId="1" applyAlignment="1" pivotButton="0" quotePrefix="0" xfId="0">
      <alignment horizontal="center" vertical="center" readingOrder="2"/>
    </xf>
    <xf numFmtId="0" fontId="9" fillId="37" borderId="1" applyAlignment="1" pivotButton="0" quotePrefix="0" xfId="0">
      <alignment horizontal="center" vertical="center" readingOrder="2"/>
    </xf>
    <xf numFmtId="0" fontId="9" fillId="9" borderId="1" applyAlignment="1" pivotButton="0" quotePrefix="0" xfId="0">
      <alignment horizontal="center" vertical="center" readingOrder="2"/>
    </xf>
    <xf numFmtId="0" fontId="9" fillId="41" borderId="1" applyAlignment="1" pivotButton="0" quotePrefix="0" xfId="0">
      <alignment horizontal="center" vertical="center" readingOrder="2"/>
    </xf>
    <xf numFmtId="0" fontId="9" fillId="11" borderId="1" applyAlignment="1" pivotButton="0" quotePrefix="0" xfId="0">
      <alignment horizontal="center" vertical="center" readingOrder="2"/>
    </xf>
    <xf numFmtId="0" fontId="9" fillId="45" borderId="1" applyAlignment="1" pivotButton="0" quotePrefix="0" xfId="0">
      <alignment horizontal="center" vertical="center" readingOrder="2"/>
    </xf>
    <xf numFmtId="0" fontId="9" fillId="13" borderId="1" applyAlignment="1" pivotButton="0" quotePrefix="0" xfId="0">
      <alignment horizontal="center" vertical="center" readingOrder="2"/>
    </xf>
    <xf numFmtId="0" fontId="9" fillId="48" borderId="1" applyAlignment="1" pivotButton="0" quotePrefix="0" xfId="0">
      <alignment horizontal="center" vertical="center" readingOrder="2"/>
    </xf>
    <xf numFmtId="0" fontId="9" fillId="15" borderId="1" applyAlignment="1" pivotButton="0" quotePrefix="0" xfId="0">
      <alignment horizontal="center" vertical="center" readingOrder="2"/>
    </xf>
    <xf numFmtId="0" fontId="9" fillId="52" borderId="1" applyAlignment="1" pivotButton="0" quotePrefix="0" xfId="0">
      <alignment horizontal="center" vertical="center" readingOrder="2"/>
    </xf>
    <xf numFmtId="0" fontId="9" fillId="17" borderId="1" applyAlignment="1" pivotButton="0" quotePrefix="0" xfId="0">
      <alignment horizontal="center" vertical="center" readingOrder="2"/>
    </xf>
    <xf numFmtId="0" fontId="9" fillId="56" borderId="1" applyAlignment="1" pivotButton="0" quotePrefix="0" xfId="0">
      <alignment horizontal="center" vertical="center" readingOrder="2"/>
    </xf>
    <xf numFmtId="0" fontId="9" fillId="19" borderId="1" applyAlignment="1" pivotButton="0" quotePrefix="0" xfId="0">
      <alignment horizontal="center" vertical="center" readingOrder="2"/>
    </xf>
    <xf numFmtId="0" fontId="9" fillId="60" borderId="1" applyAlignment="1" pivotButton="0" quotePrefix="0" xfId="0">
      <alignment horizontal="center" vertical="center" readingOrder="2"/>
    </xf>
    <xf numFmtId="0" fontId="9" fillId="21" borderId="1" applyAlignment="1" pivotButton="0" quotePrefix="0" xfId="0">
      <alignment horizontal="center" vertical="center" readingOrder="2"/>
    </xf>
    <xf numFmtId="0" fontId="9" fillId="64" borderId="1" applyAlignment="1" pivotButton="0" quotePrefix="0" xfId="0">
      <alignment horizontal="center" vertical="center" readingOrder="2"/>
    </xf>
    <xf numFmtId="0" fontId="9" fillId="23" borderId="1" applyAlignment="1" pivotButton="0" quotePrefix="0" xfId="0">
      <alignment horizontal="center" vertical="center" readingOrder="2"/>
    </xf>
    <xf numFmtId="0" fontId="9" fillId="68" borderId="1" applyAlignment="1" pivotButton="0" quotePrefix="0" xfId="0">
      <alignment horizontal="center" vertical="center" readingOrder="2"/>
    </xf>
    <xf numFmtId="0" fontId="9" fillId="25" borderId="1" applyAlignment="1" pivotButton="0" quotePrefix="0" xfId="0">
      <alignment horizontal="center" vertical="center" readingOrder="2"/>
    </xf>
    <xf numFmtId="0" fontId="9" fillId="72" borderId="1" applyAlignment="1" pivotButton="0" quotePrefix="0" xfId="0">
      <alignment horizontal="center" vertical="center" readingOrder="2"/>
    </xf>
    <xf numFmtId="0" fontId="9" fillId="27" borderId="1" applyAlignment="1" pivotButton="0" quotePrefix="0" xfId="0">
      <alignment horizontal="center" vertical="center" readingOrder="2"/>
    </xf>
    <xf numFmtId="0" fontId="7" fillId="3" borderId="1" applyAlignment="1" pivotButton="0" quotePrefix="0" xfId="0">
      <alignment horizontal="right" vertical="center" readingOrder="2"/>
    </xf>
    <xf numFmtId="9" fontId="5" fillId="3" borderId="1" applyAlignment="1" pivotButton="0" quotePrefix="0" xfId="0">
      <alignment horizontal="center" vertical="center" readingOrder="2"/>
    </xf>
    <xf numFmtId="49" fontId="10" fillId="77" borderId="1" applyAlignment="1" pivotButton="0" quotePrefix="0" xfId="0">
      <alignment horizontal="right" vertical="center" wrapText="1" readingOrder="2"/>
    </xf>
    <xf numFmtId="49" fontId="10" fillId="78" borderId="1" applyAlignment="1" pivotButton="0" quotePrefix="0" xfId="0">
      <alignment horizontal="right" vertical="center" wrapText="1" readingOrder="2"/>
    </xf>
    <xf numFmtId="49" fontId="10" fillId="79" borderId="1" applyAlignment="1" pivotButton="0" quotePrefix="0" xfId="0">
      <alignment horizontal="right" vertical="center" wrapText="1" readingOrder="2"/>
    </xf>
    <xf numFmtId="49" fontId="10" fillId="80" borderId="1" applyAlignment="1" pivotButton="0" quotePrefix="0" xfId="0">
      <alignment horizontal="right" vertical="center" wrapText="1" readingOrder="2"/>
    </xf>
    <xf numFmtId="49" fontId="10" fillId="81" borderId="1" applyAlignment="1" pivotButton="0" quotePrefix="0" xfId="0">
      <alignment horizontal="right" vertical="center" wrapText="1" readingOrder="2"/>
    </xf>
    <xf numFmtId="49" fontId="10" fillId="66" borderId="1" applyAlignment="1" pivotButton="0" quotePrefix="0" xfId="0">
      <alignment horizontal="right" vertical="center" wrapText="1" readingOrder="2"/>
    </xf>
    <xf numFmtId="49" fontId="10" fillId="82" borderId="1" applyAlignment="1" pivotButton="0" quotePrefix="0" xfId="0">
      <alignment horizontal="right" vertical="center" wrapText="1" readingOrder="2"/>
    </xf>
    <xf numFmtId="49" fontId="10" fillId="83" borderId="1" applyAlignment="1" pivotButton="0" quotePrefix="0" xfId="0">
      <alignment horizontal="right" vertical="center" wrapText="1" readingOrder="2"/>
    </xf>
    <xf numFmtId="49" fontId="10" fillId="84" borderId="1" applyAlignment="1" pivotButton="0" quotePrefix="0" xfId="0">
      <alignment horizontal="right" vertical="center" wrapText="1" readingOrder="2"/>
    </xf>
    <xf numFmtId="49" fontId="10" fillId="85" borderId="1" applyAlignment="1" pivotButton="0" quotePrefix="0" xfId="0">
      <alignment horizontal="right" vertical="center" wrapText="1" readingOrder="2"/>
    </xf>
    <xf numFmtId="49" fontId="10" fillId="86" borderId="1" applyAlignment="1" pivotButton="0" quotePrefix="0" xfId="0">
      <alignment horizontal="right" vertical="center" wrapText="1" readingOrder="2"/>
    </xf>
    <xf numFmtId="49" fontId="10" fillId="87" borderId="1" applyAlignment="1" pivotButton="0" quotePrefix="0" xfId="0">
      <alignment horizontal="right" vertical="center" wrapText="1" readingOrder="2"/>
    </xf>
    <xf numFmtId="0" fontId="19" fillId="4" borderId="0" applyAlignment="1" pivotButton="0" quotePrefix="0" xfId="0">
      <alignment horizontal="center" vertical="center" readingOrder="2"/>
    </xf>
    <xf numFmtId="0" fontId="7" fillId="13" borderId="0" applyAlignment="1" pivotButton="0" quotePrefix="0" xfId="0">
      <alignment horizontal="right" vertical="center" readingOrder="2"/>
    </xf>
    <xf numFmtId="0" fontId="6" fillId="0" borderId="0" applyAlignment="1" pivotButton="0" quotePrefix="0" xfId="0">
      <alignment horizontal="right" vertical="center" wrapText="1" readingOrder="2"/>
    </xf>
    <xf numFmtId="0" fontId="7" fillId="11" borderId="0" applyAlignment="1" pivotButton="0" quotePrefix="0" xfId="0">
      <alignment horizontal="right" vertical="center" readingOrder="2"/>
    </xf>
    <xf numFmtId="0" fontId="7" fillId="15" borderId="0" applyAlignment="1" pivotButton="0" quotePrefix="0" xfId="0">
      <alignment horizontal="right" vertical="center" readingOrder="2"/>
    </xf>
    <xf numFmtId="0" fontId="7" fillId="9" borderId="0" applyAlignment="1" pivotButton="0" quotePrefix="0" xfId="0">
      <alignment horizontal="right" vertical="center" readingOrder="2"/>
    </xf>
    <xf numFmtId="0" fontId="7" fillId="7" borderId="0" applyAlignment="1" pivotButton="0" quotePrefix="0" xfId="0">
      <alignment horizontal="right" vertical="center" readingOrder="2"/>
    </xf>
    <xf numFmtId="0" fontId="7" fillId="19" borderId="0" applyAlignment="1" pivotButton="0" quotePrefix="0" xfId="0">
      <alignment horizontal="right" vertical="center" readingOrder="2"/>
    </xf>
    <xf numFmtId="0" fontId="7" fillId="27" borderId="0" applyAlignment="1" pivotButton="0" quotePrefix="0" xfId="0">
      <alignment horizontal="right" vertical="center" readingOrder="2"/>
    </xf>
    <xf numFmtId="0" fontId="7" fillId="5" borderId="0" applyAlignment="1" pivotButton="0" quotePrefix="0" xfId="0">
      <alignment horizontal="right" vertical="center" readingOrder="2"/>
    </xf>
  </cellXfs>
  <cellStyles count="1">
    <cellStyle name="Normal" xfId="0" builtinId="0" hidden="0"/>
  </cellStyles>
  <dxfs count="4">
    <dxf>
      <fill>
        <patternFill patternType="solid">
          <fgColor rgb="00FFE08A"/>
          <bgColor rgb="00FFE08A"/>
        </patternFill>
      </fill>
    </dxf>
    <dxf>
      <fill>
        <patternFill patternType="solid">
          <fgColor rgb="00FF8A8A"/>
          <bgColor rgb="00FF8A8A"/>
        </patternFill>
      </fill>
    </dxf>
    <dxf>
      <fill>
        <patternFill patternType="solid">
          <fgColor rgb="00FFB86B"/>
          <bgColor rgb="00FFB86B"/>
        </patternFill>
      </fill>
    </dxf>
    <dxf>
      <font>
        <b val="1"/>
        <color rgb="00C0143C"/>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99C8"/>
    <outlinePr summaryBelow="1" summaryRight="1"/>
    <pageSetUpPr/>
  </sheetPr>
  <dimension ref="B1:K55"/>
  <sheetViews>
    <sheetView showGridLines="0" rightToLeft="1" workbookViewId="0">
      <selection activeCell="A1" sqref="A1"/>
    </sheetView>
  </sheetViews>
  <sheetFormatPr baseColWidth="8" defaultRowHeight="15"/>
  <cols>
    <col width="1" customWidth="1" min="1" max="1"/>
    <col width="9.43" customWidth="1" min="2" max="2"/>
    <col width="9.43" customWidth="1" min="3" max="3"/>
    <col width="9.43" customWidth="1" min="4" max="4"/>
    <col width="9.43" customWidth="1" min="5" max="5"/>
    <col width="9.43" customWidth="1" min="6" max="6"/>
    <col width="9.43" customWidth="1" min="7" max="7"/>
    <col width="9.43" customWidth="1" min="8" max="8"/>
    <col width="9.43" customWidth="1" min="9" max="9"/>
    <col width="1" customWidth="1" min="10" max="10"/>
    <col hidden="1" width="13" customWidth="1" min="11" max="11"/>
  </cols>
  <sheetData>
    <row r="1" ht="34.5" customHeight="1">
      <c r="B1" s="1" t="inlineStr">
        <is>
          <t>لوحة التحكم</t>
        </is>
      </c>
    </row>
    <row r="2" ht="21" customHeight="1">
      <c r="B2" s="2" t="str">
        <f>"النهارده: "&amp;INDEX('حسابات'!$A$2:$A$8,MATCH(WEEKDAY(TODAY()),'حسابات'!$B$2:$B$8,0))&amp;" "&amp;DAY(TODAY())&amp;"/"&amp;MONTH(TODAY())&amp;"/"&amp;YEAR(TODAY())</f>
        <v>النهارده: الجمعة 2/10/2026</v>
      </c>
    </row>
    <row r="3" ht="7.5" customHeight="1"/>
    <row r="4" ht="33" customHeight="1">
      <c r="B4" s="3">
        <f>SUM('حسابات'!$AG$2:$AG$181)</f>
        <v>1</v>
      </c>
      <c r="C4" s="4" t="n"/>
      <c r="D4" s="5">
        <f>MAX('المواعيد'!$J$5:$J$34)</f>
        <v>0</v>
      </c>
      <c r="E4" s="4" t="n"/>
      <c r="F4" s="6">
        <f>'حسابات'!$AC$181</f>
        <v>0</v>
      </c>
      <c r="G4" s="4" t="n"/>
      <c r="H4" s="7">
        <f>'حسابات'!$AF$181</f>
        <v>0</v>
      </c>
      <c r="I4" s="4" t="n"/>
    </row>
    <row r="5" ht="18" customHeight="1">
      <c r="B5" s="8" t="inlineStr">
        <is>
          <t>طالب</t>
        </is>
      </c>
      <c r="C5" s="4" t="n"/>
      <c r="D5" s="9" t="inlineStr">
        <is>
          <t>حصص النهارده</t>
        </is>
      </c>
      <c r="E5" s="4" t="n"/>
      <c r="F5" s="10" t="inlineStr">
        <is>
          <t>تنبيه غياب</t>
        </is>
      </c>
      <c r="G5" s="4" t="n"/>
      <c r="H5" s="11" t="inlineStr">
        <is>
          <t>مصاريف متأخرة</t>
        </is>
      </c>
      <c r="I5" s="4" t="n"/>
    </row>
    <row r="6" ht="10.5" customHeight="1"/>
    <row r="7" ht="22.5" customHeight="1">
      <c r="B7" s="12" t="inlineStr">
        <is>
          <t>حصص النهارده</t>
        </is>
      </c>
      <c r="C7" s="13" t="n"/>
      <c r="D7" s="13" t="n"/>
      <c r="E7" s="13" t="n"/>
      <c r="F7" s="13" t="n"/>
      <c r="G7" s="13" t="n"/>
      <c r="H7" s="13" t="n"/>
      <c r="I7" s="4" t="n"/>
    </row>
    <row r="8" ht="18" customHeight="1">
      <c r="B8" s="14" t="inlineStr">
        <is>
          <t>الساعة</t>
        </is>
      </c>
      <c r="C8" s="14" t="inlineStr">
        <is>
          <t>المجموعة / الطالب</t>
        </is>
      </c>
      <c r="D8" s="4" t="n"/>
      <c r="E8" s="14" t="inlineStr">
        <is>
          <t>المكان</t>
        </is>
      </c>
      <c r="F8" s="4" t="n"/>
      <c r="G8" s="14" t="inlineStr">
        <is>
          <t>هنعمل إيه</t>
        </is>
      </c>
      <c r="H8" s="13" t="n"/>
      <c r="I8" s="4" t="n"/>
    </row>
    <row r="9" ht="25.5" customHeight="1">
      <c r="B9" s="15" t="str">
        <f>IF($K9="","",INDEX('المواعيد'!$C$5:$C$34,$K9))</f>
        <v/>
      </c>
      <c r="C9" s="16" t="str">
        <f>IF($K9="","مفيش حصص متسجلة النهارده",INDEX('المواعيد'!$D$5:$D$34,$K9))</f>
        <v>مفيش حصص متسجلة النهارده</v>
      </c>
      <c r="D9" s="4" t="n"/>
      <c r="E9" s="17" t="str">
        <f>IF($K9="","",IF(INDEX('المواعيد'!$E$5:$E$34,$K9)="","",INDEX('المواعيد'!$E$5:$E$34,$K9)))</f>
        <v/>
      </c>
      <c r="F9" s="4" t="n"/>
      <c r="G9" s="18" t="str">
        <f>IF($K9="","",IFERROR(INDEX('حسابات'!$P$2:$P$9,MATCH(INDEX('المواعيد'!$D$5:$D$34,$K9),'حسابات'!$J$2:$J$9,0)),""))</f>
        <v/>
      </c>
      <c r="H9" s="13" t="n"/>
      <c r="I9" s="4" t="n"/>
      <c r="K9" t="str">
        <f>IFERROR(MATCH(1,'المواعيد'!$J$5:$J$34,0),"")</f>
        <v/>
      </c>
    </row>
    <row r="10" ht="25.5" customHeight="1">
      <c r="B10" s="15" t="str">
        <f>IF($K10="","",INDEX('المواعيد'!$C$5:$C$34,$K10))</f>
        <v/>
      </c>
      <c r="C10" s="16" t="str">
        <f>IF($K10="","",INDEX('المواعيد'!$D$5:$D$34,$K10))</f>
        <v/>
      </c>
      <c r="D10" s="4" t="n"/>
      <c r="E10" s="17" t="str">
        <f>IF($K10="","",IF(INDEX('المواعيد'!$E$5:$E$34,$K10)="","",INDEX('المواعيد'!$E$5:$E$34,$K10)))</f>
        <v/>
      </c>
      <c r="F10" s="4" t="n"/>
      <c r="G10" s="18" t="str">
        <f>IF($K10="","",IFERROR(INDEX('حسابات'!$P$2:$P$9,MATCH(INDEX('المواعيد'!$D$5:$D$34,$K10),'حسابات'!$J$2:$J$9,0)),""))</f>
        <v/>
      </c>
      <c r="H10" s="13" t="n"/>
      <c r="I10" s="4" t="n"/>
      <c r="K10" t="str">
        <f>IFERROR(MATCH(2,'المواعيد'!$J$5:$J$34,0),"")</f>
        <v/>
      </c>
    </row>
    <row r="11" ht="25.5" customHeight="1">
      <c r="B11" s="15" t="str">
        <f>IF($K11="","",INDEX('المواعيد'!$C$5:$C$34,$K11))</f>
        <v/>
      </c>
      <c r="C11" s="16" t="str">
        <f>IF($K11="","",INDEX('المواعيد'!$D$5:$D$34,$K11))</f>
        <v/>
      </c>
      <c r="D11" s="4" t="n"/>
      <c r="E11" s="17" t="str">
        <f>IF($K11="","",IF(INDEX('المواعيد'!$E$5:$E$34,$K11)="","",INDEX('المواعيد'!$E$5:$E$34,$K11)))</f>
        <v/>
      </c>
      <c r="F11" s="4" t="n"/>
      <c r="G11" s="18" t="str">
        <f>IF($K11="","",IFERROR(INDEX('حسابات'!$P$2:$P$9,MATCH(INDEX('المواعيد'!$D$5:$D$34,$K11),'حسابات'!$J$2:$J$9,0)),""))</f>
        <v/>
      </c>
      <c r="H11" s="13" t="n"/>
      <c r="I11" s="4" t="n"/>
      <c r="K11" t="str">
        <f>IFERROR(MATCH(3,'المواعيد'!$J$5:$J$34,0),"")</f>
        <v/>
      </c>
    </row>
    <row r="12" ht="25.5" customHeight="1">
      <c r="B12" s="15" t="str">
        <f>IF($K12="","",INDEX('المواعيد'!$C$5:$C$34,$K12))</f>
        <v/>
      </c>
      <c r="C12" s="16" t="str">
        <f>IF($K12="","",INDEX('المواعيد'!$D$5:$D$34,$K12))</f>
        <v/>
      </c>
      <c r="D12" s="4" t="n"/>
      <c r="E12" s="17" t="str">
        <f>IF($K12="","",IF(INDEX('المواعيد'!$E$5:$E$34,$K12)="","",INDEX('المواعيد'!$E$5:$E$34,$K12)))</f>
        <v/>
      </c>
      <c r="F12" s="4" t="n"/>
      <c r="G12" s="18" t="str">
        <f>IF($K12="","",IFERROR(INDEX('حسابات'!$P$2:$P$9,MATCH(INDEX('المواعيد'!$D$5:$D$34,$K12),'حسابات'!$J$2:$J$9,0)),""))</f>
        <v/>
      </c>
      <c r="H12" s="13" t="n"/>
      <c r="I12" s="4" t="n"/>
      <c r="K12" t="str">
        <f>IFERROR(MATCH(4,'المواعيد'!$J$5:$J$34,0),"")</f>
        <v/>
      </c>
    </row>
    <row r="13" ht="25.5" customHeight="1">
      <c r="B13" s="15" t="str">
        <f>IF($K13="","",INDEX('المواعيد'!$C$5:$C$34,$K13))</f>
        <v/>
      </c>
      <c r="C13" s="16" t="str">
        <f>IF($K13="","",INDEX('المواعيد'!$D$5:$D$34,$K13))</f>
        <v/>
      </c>
      <c r="D13" s="4" t="n"/>
      <c r="E13" s="17" t="str">
        <f>IF($K13="","",IF(INDEX('المواعيد'!$E$5:$E$34,$K13)="","",INDEX('المواعيد'!$E$5:$E$34,$K13)))</f>
        <v/>
      </c>
      <c r="F13" s="4" t="n"/>
      <c r="G13" s="18" t="str">
        <f>IF($K13="","",IFERROR(INDEX('حسابات'!$P$2:$P$9,MATCH(INDEX('المواعيد'!$D$5:$D$34,$K13),'حسابات'!$J$2:$J$9,0)),""))</f>
        <v/>
      </c>
      <c r="H13" s="13" t="n"/>
      <c r="I13" s="4" t="n"/>
      <c r="K13" t="str">
        <f>IFERROR(MATCH(5,'المواعيد'!$J$5:$J$34,0),"")</f>
        <v/>
      </c>
    </row>
    <row r="14" ht="25.5" customHeight="1">
      <c r="B14" s="15" t="str">
        <f>IF($K14="","",INDEX('المواعيد'!$C$5:$C$34,$K14))</f>
        <v/>
      </c>
      <c r="C14" s="16" t="str">
        <f>IF($K14="","",INDEX('المواعيد'!$D$5:$D$34,$K14))</f>
        <v/>
      </c>
      <c r="D14" s="4" t="n"/>
      <c r="E14" s="17" t="str">
        <f>IF($K14="","",IF(INDEX('المواعيد'!$E$5:$E$34,$K14)="","",INDEX('المواعيد'!$E$5:$E$34,$K14)))</f>
        <v/>
      </c>
      <c r="F14" s="4" t="n"/>
      <c r="G14" s="18" t="str">
        <f>IF($K14="","",IFERROR(INDEX('حسابات'!$P$2:$P$9,MATCH(INDEX('المواعيد'!$D$5:$D$34,$K14),'حسابات'!$J$2:$J$9,0)),""))</f>
        <v/>
      </c>
      <c r="H14" s="13" t="n"/>
      <c r="I14" s="4" t="n"/>
      <c r="K14" t="str">
        <f>IFERROR(MATCH(6,'المواعيد'!$J$5:$J$34,0),"")</f>
        <v/>
      </c>
    </row>
    <row r="15" ht="10.5" customHeight="1"/>
    <row r="16" ht="22.5" customHeight="1">
      <c r="B16" s="19" t="inlineStr">
        <is>
          <t>الحصة الجاية لكل مجموعة</t>
        </is>
      </c>
      <c r="C16" s="13" t="n"/>
      <c r="D16" s="13" t="n"/>
      <c r="E16" s="13" t="n"/>
      <c r="F16" s="13" t="n"/>
      <c r="G16" s="13" t="n"/>
      <c r="H16" s="13" t="n"/>
      <c r="I16" s="4" t="n"/>
    </row>
    <row r="17" ht="18" customHeight="1">
      <c r="B17" s="20" t="inlineStr">
        <is>
          <t>المجموعة</t>
        </is>
      </c>
      <c r="C17" s="4" t="n"/>
      <c r="D17" s="20" t="inlineStr">
        <is>
          <t>الميعاد</t>
        </is>
      </c>
      <c r="E17" s="4" t="n"/>
      <c r="F17" s="20" t="inlineStr">
        <is>
          <t>هنعمل إيه</t>
        </is>
      </c>
      <c r="G17" s="13" t="n"/>
      <c r="H17" s="13" t="n"/>
      <c r="I17" s="4" t="n"/>
    </row>
    <row r="18" ht="30" customHeight="1">
      <c r="B18" s="21" t="str">
        <f>IF($K18="","",INDEX('حسابات'!$J$2:$J$9,$K18)&amp;CHAR(10)&amp;INDEX('حسابات'!$O$2:$O$9,$K18))</f>
        <v>مجموعة 1
لسه ما بدأتش</v>
      </c>
      <c r="C18" s="4" t="n"/>
      <c r="D18" s="21" t="str">
        <f>IF($K18="","",IF(INDEX('حسابات'!$S$2:$S$9,$K18)="","—",INDEX('حسابات'!$S$2:$S$9,$K18)))</f>
        <v>بكرة 3/10 – 5:00 م</v>
      </c>
      <c r="E18" s="4" t="n"/>
      <c r="F18" s="18" t="str">
        <f>IF($K18="","",INDEX('حسابات'!$P$2:$P$9,$K18))</f>
        <v/>
      </c>
      <c r="G18" s="13" t="n"/>
      <c r="H18" s="13" t="n"/>
      <c r="I18" s="4" t="n"/>
      <c r="K18">
        <f>IFERROR(MATCH(1,'حسابات'!$U$2:$U$9,0),"")</f>
        <v>1</v>
      </c>
    </row>
    <row r="19" ht="30" customHeight="1">
      <c r="B19" s="21" t="str">
        <f>IF($K19="","",INDEX('حسابات'!$J$2:$J$9,$K19)&amp;CHAR(10)&amp;INDEX('حسابات'!$O$2:$O$9,$K19))</f>
        <v/>
      </c>
      <c r="C19" s="4" t="n"/>
      <c r="D19" s="21" t="str">
        <f>IF($K19="","",IF(INDEX('حسابات'!$S$2:$S$9,$K19)="","—",INDEX('حسابات'!$S$2:$S$9,$K19)))</f>
        <v/>
      </c>
      <c r="E19" s="4" t="n"/>
      <c r="F19" s="18" t="str">
        <f>IF($K19="","",INDEX('حسابات'!$P$2:$P$9,$K19))</f>
        <v/>
      </c>
      <c r="G19" s="13" t="n"/>
      <c r="H19" s="13" t="n"/>
      <c r="I19" s="4" t="n"/>
      <c r="K19" t="str">
        <f>IFERROR(MATCH(2,'حسابات'!$U$2:$U$9,0),"")</f>
        <v/>
      </c>
    </row>
    <row r="20" ht="30" customHeight="1">
      <c r="B20" s="21" t="str">
        <f>IF($K20="","",INDEX('حسابات'!$J$2:$J$9,$K20)&amp;CHAR(10)&amp;INDEX('حسابات'!$O$2:$O$9,$K20))</f>
        <v/>
      </c>
      <c r="C20" s="4" t="n"/>
      <c r="D20" s="21" t="str">
        <f>IF($K20="","",IF(INDEX('حسابات'!$S$2:$S$9,$K20)="","—",INDEX('حسابات'!$S$2:$S$9,$K20)))</f>
        <v/>
      </c>
      <c r="E20" s="4" t="n"/>
      <c r="F20" s="18" t="str">
        <f>IF($K20="","",INDEX('حسابات'!$P$2:$P$9,$K20))</f>
        <v/>
      </c>
      <c r="G20" s="13" t="n"/>
      <c r="H20" s="13" t="n"/>
      <c r="I20" s="4" t="n"/>
      <c r="K20" t="str">
        <f>IFERROR(MATCH(3,'حسابات'!$U$2:$U$9,0),"")</f>
        <v/>
      </c>
    </row>
    <row r="21" ht="30" customHeight="1">
      <c r="B21" s="21" t="str">
        <f>IF($K21="","",INDEX('حسابات'!$J$2:$J$9,$K21)&amp;CHAR(10)&amp;INDEX('حسابات'!$O$2:$O$9,$K21))</f>
        <v/>
      </c>
      <c r="C21" s="4" t="n"/>
      <c r="D21" s="21" t="str">
        <f>IF($K21="","",IF(INDEX('حسابات'!$S$2:$S$9,$K21)="","—",INDEX('حسابات'!$S$2:$S$9,$K21)))</f>
        <v/>
      </c>
      <c r="E21" s="4" t="n"/>
      <c r="F21" s="18" t="str">
        <f>IF($K21="","",INDEX('حسابات'!$P$2:$P$9,$K21))</f>
        <v/>
      </c>
      <c r="G21" s="13" t="n"/>
      <c r="H21" s="13" t="n"/>
      <c r="I21" s="4" t="n"/>
      <c r="K21" t="str">
        <f>IFERROR(MATCH(4,'حسابات'!$U$2:$U$9,0),"")</f>
        <v/>
      </c>
    </row>
    <row r="22" ht="30" customHeight="1">
      <c r="B22" s="21" t="str">
        <f>IF($K22="","",INDEX('حسابات'!$J$2:$J$9,$K22)&amp;CHAR(10)&amp;INDEX('حسابات'!$O$2:$O$9,$K22))</f>
        <v/>
      </c>
      <c r="C22" s="4" t="n"/>
      <c r="D22" s="21" t="str">
        <f>IF($K22="","",IF(INDEX('حسابات'!$S$2:$S$9,$K22)="","—",INDEX('حسابات'!$S$2:$S$9,$K22)))</f>
        <v/>
      </c>
      <c r="E22" s="4" t="n"/>
      <c r="F22" s="18" t="str">
        <f>IF($K22="","",INDEX('حسابات'!$P$2:$P$9,$K22))</f>
        <v/>
      </c>
      <c r="G22" s="13" t="n"/>
      <c r="H22" s="13" t="n"/>
      <c r="I22" s="4" t="n"/>
      <c r="K22" t="str">
        <f>IFERROR(MATCH(5,'حسابات'!$U$2:$U$9,0),"")</f>
        <v/>
      </c>
    </row>
    <row r="23" ht="30" customHeight="1">
      <c r="B23" s="21" t="str">
        <f>IF($K23="","",INDEX('حسابات'!$J$2:$J$9,$K23)&amp;CHAR(10)&amp;INDEX('حسابات'!$O$2:$O$9,$K23))</f>
        <v/>
      </c>
      <c r="C23" s="4" t="n"/>
      <c r="D23" s="21" t="str">
        <f>IF($K23="","",IF(INDEX('حسابات'!$S$2:$S$9,$K23)="","—",INDEX('حسابات'!$S$2:$S$9,$K23)))</f>
        <v/>
      </c>
      <c r="E23" s="4" t="n"/>
      <c r="F23" s="18" t="str">
        <f>IF($K23="","",INDEX('حسابات'!$P$2:$P$9,$K23))</f>
        <v/>
      </c>
      <c r="G23" s="13" t="n"/>
      <c r="H23" s="13" t="n"/>
      <c r="I23" s="4" t="n"/>
      <c r="K23" t="str">
        <f>IFERROR(MATCH(6,'حسابات'!$U$2:$U$9,0),"")</f>
        <v/>
      </c>
    </row>
    <row r="24" ht="30" customHeight="1">
      <c r="B24" s="21" t="str">
        <f>IF($K24="","",INDEX('حسابات'!$J$2:$J$9,$K24)&amp;CHAR(10)&amp;INDEX('حسابات'!$O$2:$O$9,$K24))</f>
        <v/>
      </c>
      <c r="C24" s="4" t="n"/>
      <c r="D24" s="21" t="str">
        <f>IF($K24="","",IF(INDEX('حسابات'!$S$2:$S$9,$K24)="","—",INDEX('حسابات'!$S$2:$S$9,$K24)))</f>
        <v/>
      </c>
      <c r="E24" s="4" t="n"/>
      <c r="F24" s="18" t="str">
        <f>IF($K24="","",INDEX('حسابات'!$P$2:$P$9,$K24))</f>
        <v/>
      </c>
      <c r="G24" s="13" t="n"/>
      <c r="H24" s="13" t="n"/>
      <c r="I24" s="4" t="n"/>
      <c r="K24" t="str">
        <f>IFERROR(MATCH(7,'حسابات'!$U$2:$U$9,0),"")</f>
        <v/>
      </c>
    </row>
    <row r="25" ht="30" customHeight="1">
      <c r="B25" s="21" t="str">
        <f>IF($K25="","",INDEX('حسابات'!$J$2:$J$9,$K25)&amp;CHAR(10)&amp;INDEX('حسابات'!$O$2:$O$9,$K25))</f>
        <v/>
      </c>
      <c r="C25" s="4" t="n"/>
      <c r="D25" s="21" t="str">
        <f>IF($K25="","",IF(INDEX('حسابات'!$S$2:$S$9,$K25)="","—",INDEX('حسابات'!$S$2:$S$9,$K25)))</f>
        <v/>
      </c>
      <c r="E25" s="4" t="n"/>
      <c r="F25" s="18" t="str">
        <f>IF($K25="","",INDEX('حسابات'!$P$2:$P$9,$K25))</f>
        <v/>
      </c>
      <c r="G25" s="13" t="n"/>
      <c r="H25" s="13" t="n"/>
      <c r="I25" s="4" t="n"/>
      <c r="K25" t="str">
        <f>IFERROR(MATCH(8,'حسابات'!$U$2:$U$9,0),"")</f>
        <v/>
      </c>
    </row>
    <row r="26" ht="10.5" customHeight="1"/>
    <row r="27" ht="22.5" customHeight="1">
      <c r="B27" s="22" t="inlineStr">
        <is>
          <t>تنبيه الغياب (آخر 8 حصص)</t>
        </is>
      </c>
      <c r="C27" s="13" t="n"/>
      <c r="D27" s="13" t="n"/>
      <c r="E27" s="4" t="n"/>
      <c r="F27" s="23" t="inlineStr">
        <is>
          <t>التنبيه من كام مرة؟</t>
        </is>
      </c>
      <c r="G27" s="4" t="n"/>
      <c r="H27" s="24" t="n">
        <v>2</v>
      </c>
      <c r="I27" s="4" t="n"/>
    </row>
    <row r="28" ht="18" customHeight="1">
      <c r="B28" s="25" t="inlineStr">
        <is>
          <t>الطالب</t>
        </is>
      </c>
      <c r="C28" s="13" t="n"/>
      <c r="D28" s="4" t="n"/>
      <c r="E28" s="25" t="inlineStr">
        <is>
          <t>غياب</t>
        </is>
      </c>
      <c r="F28" s="25" t="inlineStr">
        <is>
          <t>المجموعة</t>
        </is>
      </c>
      <c r="G28" s="4" t="n"/>
      <c r="H28" s="25" t="inlineStr">
        <is>
          <t>ولي الأمر</t>
        </is>
      </c>
      <c r="I28" s="4" t="n"/>
    </row>
    <row r="29" ht="22.5" customHeight="1">
      <c r="B29" s="26" t="str">
        <f>IF($K29="","",INDEX('حسابات'!$Y$2:$Y$181,$K29))</f>
        <v/>
      </c>
      <c r="C29" s="13" t="n"/>
      <c r="D29" s="4" t="n"/>
      <c r="E29" s="27" t="str">
        <f>IF($K29="","",INDEX('حسابات'!$AA$2:$AA$181,$K29))</f>
        <v/>
      </c>
      <c r="F29" s="17" t="str">
        <f>IF($K29="","",INDEX('حسابات'!$X$2:$X$181,$K29))</f>
        <v/>
      </c>
      <c r="G29" s="4" t="n"/>
      <c r="H29" s="28" t="str">
        <f>IF($K29="","",INDEX('حسابات'!$Z$2:$Z$181,$K29))</f>
        <v/>
      </c>
      <c r="I29" s="4" t="n"/>
      <c r="K29" t="str">
        <f>IFERROR(MATCH(1,'حسابات'!$AC$2:$AC$181,0),"")</f>
        <v/>
      </c>
    </row>
    <row r="30" ht="22.5" customHeight="1">
      <c r="B30" s="26" t="str">
        <f>IF($K30="","",INDEX('حسابات'!$Y$2:$Y$181,$K30))</f>
        <v/>
      </c>
      <c r="C30" s="13" t="n"/>
      <c r="D30" s="4" t="n"/>
      <c r="E30" s="27" t="str">
        <f>IF($K30="","",INDEX('حسابات'!$AA$2:$AA$181,$K30))</f>
        <v/>
      </c>
      <c r="F30" s="17" t="str">
        <f>IF($K30="","",INDEX('حسابات'!$X$2:$X$181,$K30))</f>
        <v/>
      </c>
      <c r="G30" s="4" t="n"/>
      <c r="H30" s="28" t="str">
        <f>IF($K30="","",INDEX('حسابات'!$Z$2:$Z$181,$K30))</f>
        <v/>
      </c>
      <c r="I30" s="4" t="n"/>
      <c r="K30" t="str">
        <f>IFERROR(MATCH(2,'حسابات'!$AC$2:$AC$181,0),"")</f>
        <v/>
      </c>
    </row>
    <row r="31" ht="22.5" customHeight="1">
      <c r="B31" s="26" t="str">
        <f>IF($K31="","",INDEX('حسابات'!$Y$2:$Y$181,$K31))</f>
        <v/>
      </c>
      <c r="C31" s="13" t="n"/>
      <c r="D31" s="4" t="n"/>
      <c r="E31" s="27" t="str">
        <f>IF($K31="","",INDEX('حسابات'!$AA$2:$AA$181,$K31))</f>
        <v/>
      </c>
      <c r="F31" s="17" t="str">
        <f>IF($K31="","",INDEX('حسابات'!$X$2:$X$181,$K31))</f>
        <v/>
      </c>
      <c r="G31" s="4" t="n"/>
      <c r="H31" s="28" t="str">
        <f>IF($K31="","",INDEX('حسابات'!$Z$2:$Z$181,$K31))</f>
        <v/>
      </c>
      <c r="I31" s="4" t="n"/>
      <c r="K31" t="str">
        <f>IFERROR(MATCH(3,'حسابات'!$AC$2:$AC$181,0),"")</f>
        <v/>
      </c>
    </row>
    <row r="32" ht="22.5" customHeight="1">
      <c r="B32" s="26" t="str">
        <f>IF($K32="","",INDEX('حسابات'!$Y$2:$Y$181,$K32))</f>
        <v/>
      </c>
      <c r="C32" s="13" t="n"/>
      <c r="D32" s="4" t="n"/>
      <c r="E32" s="27" t="str">
        <f>IF($K32="","",INDEX('حسابات'!$AA$2:$AA$181,$K32))</f>
        <v/>
      </c>
      <c r="F32" s="17" t="str">
        <f>IF($K32="","",INDEX('حسابات'!$X$2:$X$181,$K32))</f>
        <v/>
      </c>
      <c r="G32" s="4" t="n"/>
      <c r="H32" s="28" t="str">
        <f>IF($K32="","",INDEX('حسابات'!$Z$2:$Z$181,$K32))</f>
        <v/>
      </c>
      <c r="I32" s="4" t="n"/>
      <c r="K32" t="str">
        <f>IFERROR(MATCH(4,'حسابات'!$AC$2:$AC$181,0),"")</f>
        <v/>
      </c>
    </row>
    <row r="33" ht="22.5" customHeight="1">
      <c r="B33" s="26" t="str">
        <f>IF($K33="","",INDEX('حسابات'!$Y$2:$Y$181,$K33))</f>
        <v/>
      </c>
      <c r="C33" s="13" t="n"/>
      <c r="D33" s="4" t="n"/>
      <c r="E33" s="27" t="str">
        <f>IF($K33="","",INDEX('حسابات'!$AA$2:$AA$181,$K33))</f>
        <v/>
      </c>
      <c r="F33" s="17" t="str">
        <f>IF($K33="","",INDEX('حسابات'!$X$2:$X$181,$K33))</f>
        <v/>
      </c>
      <c r="G33" s="4" t="n"/>
      <c r="H33" s="28" t="str">
        <f>IF($K33="","",INDEX('حسابات'!$Z$2:$Z$181,$K33))</f>
        <v/>
      </c>
      <c r="I33" s="4" t="n"/>
      <c r="K33" t="str">
        <f>IFERROR(MATCH(5,'حسابات'!$AC$2:$AC$181,0),"")</f>
        <v/>
      </c>
    </row>
    <row r="34" ht="22.5" customHeight="1">
      <c r="B34" s="26" t="str">
        <f>IF($K34="","",INDEX('حسابات'!$Y$2:$Y$181,$K34))</f>
        <v/>
      </c>
      <c r="C34" s="13" t="n"/>
      <c r="D34" s="4" t="n"/>
      <c r="E34" s="27" t="str">
        <f>IF($K34="","",INDEX('حسابات'!$AA$2:$AA$181,$K34))</f>
        <v/>
      </c>
      <c r="F34" s="17" t="str">
        <f>IF($K34="","",INDEX('حسابات'!$X$2:$X$181,$K34))</f>
        <v/>
      </c>
      <c r="G34" s="4" t="n"/>
      <c r="H34" s="28" t="str">
        <f>IF($K34="","",INDEX('حسابات'!$Z$2:$Z$181,$K34))</f>
        <v/>
      </c>
      <c r="I34" s="4" t="n"/>
      <c r="K34" t="str">
        <f>IFERROR(MATCH(6,'حسابات'!$AC$2:$AC$181,0),"")</f>
        <v/>
      </c>
    </row>
    <row r="35" ht="22.5" customHeight="1">
      <c r="B35" s="26" t="str">
        <f>IF($K35="","",INDEX('حسابات'!$Y$2:$Y$181,$K35))</f>
        <v/>
      </c>
      <c r="C35" s="13" t="n"/>
      <c r="D35" s="4" t="n"/>
      <c r="E35" s="27" t="str">
        <f>IF($K35="","",INDEX('حسابات'!$AA$2:$AA$181,$K35))</f>
        <v/>
      </c>
      <c r="F35" s="17" t="str">
        <f>IF($K35="","",INDEX('حسابات'!$X$2:$X$181,$K35))</f>
        <v/>
      </c>
      <c r="G35" s="4" t="n"/>
      <c r="H35" s="28" t="str">
        <f>IF($K35="","",INDEX('حسابات'!$Z$2:$Z$181,$K35))</f>
        <v/>
      </c>
      <c r="I35" s="4" t="n"/>
      <c r="K35" t="str">
        <f>IFERROR(MATCH(7,'حسابات'!$AC$2:$AC$181,0),"")</f>
        <v/>
      </c>
    </row>
    <row r="36" ht="22.5" customHeight="1">
      <c r="B36" s="26" t="str">
        <f>IF($K36="","",INDEX('حسابات'!$Y$2:$Y$181,$K36))</f>
        <v/>
      </c>
      <c r="C36" s="13" t="n"/>
      <c r="D36" s="4" t="n"/>
      <c r="E36" s="27" t="str">
        <f>IF($K36="","",INDEX('حسابات'!$AA$2:$AA$181,$K36))</f>
        <v/>
      </c>
      <c r="F36" s="17" t="str">
        <f>IF($K36="","",INDEX('حسابات'!$X$2:$X$181,$K36))</f>
        <v/>
      </c>
      <c r="G36" s="4" t="n"/>
      <c r="H36" s="28" t="str">
        <f>IF($K36="","",INDEX('حسابات'!$Z$2:$Z$181,$K36))</f>
        <v/>
      </c>
      <c r="I36" s="4" t="n"/>
      <c r="K36" t="str">
        <f>IFERROR(MATCH(8,'حسابات'!$AC$2:$AC$181,0),"")</f>
        <v/>
      </c>
    </row>
    <row r="37" ht="22.5" customHeight="1">
      <c r="B37" s="26" t="str">
        <f>IF($K37="","",INDEX('حسابات'!$Y$2:$Y$181,$K37))</f>
        <v/>
      </c>
      <c r="C37" s="13" t="n"/>
      <c r="D37" s="4" t="n"/>
      <c r="E37" s="27" t="str">
        <f>IF($K37="","",INDEX('حسابات'!$AA$2:$AA$181,$K37))</f>
        <v/>
      </c>
      <c r="F37" s="17" t="str">
        <f>IF($K37="","",INDEX('حسابات'!$X$2:$X$181,$K37))</f>
        <v/>
      </c>
      <c r="G37" s="4" t="n"/>
      <c r="H37" s="28" t="str">
        <f>IF($K37="","",INDEX('حسابات'!$Z$2:$Z$181,$K37))</f>
        <v/>
      </c>
      <c r="I37" s="4" t="n"/>
      <c r="K37" t="str">
        <f>IFERROR(MATCH(9,'حسابات'!$AC$2:$AC$181,0),"")</f>
        <v/>
      </c>
    </row>
    <row r="38" ht="22.5" customHeight="1">
      <c r="B38" s="26" t="str">
        <f>IF($K38="","",INDEX('حسابات'!$Y$2:$Y$181,$K38))</f>
        <v/>
      </c>
      <c r="C38" s="13" t="n"/>
      <c r="D38" s="4" t="n"/>
      <c r="E38" s="27" t="str">
        <f>IF($K38="","",INDEX('حسابات'!$AA$2:$AA$181,$K38))</f>
        <v/>
      </c>
      <c r="F38" s="17" t="str">
        <f>IF($K38="","",INDEX('حسابات'!$X$2:$X$181,$K38))</f>
        <v/>
      </c>
      <c r="G38" s="4" t="n"/>
      <c r="H38" s="28" t="str">
        <f>IF($K38="","",INDEX('حسابات'!$Z$2:$Z$181,$K38))</f>
        <v/>
      </c>
      <c r="I38" s="4" t="n"/>
      <c r="K38" t="str">
        <f>IFERROR(MATCH(10,'حسابات'!$AC$2:$AC$181,0),"")</f>
        <v/>
      </c>
    </row>
    <row r="39" ht="16.5" customHeight="1">
      <c r="B39" s="29" t="str">
        <f>IF('حسابات'!$AC$181&gt;10,"+ "&amp;('حسابات'!$AC$181-10)&amp;" كمان · عمود «غياب» في صفحات المجموعات",IF('حسابات'!$AC$181=0,"مفيش تنبيهات غياب",""))</f>
        <v>مفيش تنبيهات غياب</v>
      </c>
    </row>
    <row r="40" ht="10.5" customHeight="1"/>
    <row r="41" ht="22.5" customHeight="1">
      <c r="B41" s="30" t="inlineStr">
        <is>
          <t>مصاريف متأخرة</t>
        </is>
      </c>
      <c r="C41" s="13" t="n"/>
      <c r="D41" s="13" t="n"/>
      <c r="E41" s="13" t="n"/>
      <c r="F41" s="13" t="n"/>
      <c r="G41" s="13" t="n"/>
      <c r="H41" s="13" t="n"/>
      <c r="I41" s="4" t="n"/>
    </row>
    <row r="42" ht="18" customHeight="1">
      <c r="B42" s="31" t="inlineStr">
        <is>
          <t>الطالب</t>
        </is>
      </c>
      <c r="C42" s="13" t="n"/>
      <c r="D42" s="4" t="n"/>
      <c r="E42" s="31" t="inlineStr">
        <is>
          <t>المطلوب</t>
        </is>
      </c>
      <c r="F42" s="31" t="inlineStr">
        <is>
          <t>المجموعة</t>
        </is>
      </c>
      <c r="G42" s="4" t="n"/>
      <c r="H42" s="31" t="inlineStr">
        <is>
          <t>ولي الأمر</t>
        </is>
      </c>
      <c r="I42" s="4" t="n"/>
    </row>
    <row r="43" ht="22.5" customHeight="1">
      <c r="B43" s="26" t="str">
        <f>IF($K43="","",INDEX('حسابات'!$Y$2:$Y$181,$K43))</f>
        <v/>
      </c>
      <c r="C43" s="13" t="n"/>
      <c r="D43" s="4" t="n"/>
      <c r="E43" s="32" t="str">
        <f>IF($K43="","",INDEX('حسابات'!$AD$2:$AD$181,$K43))</f>
        <v/>
      </c>
      <c r="F43" s="17" t="str">
        <f>IF($K43="","",INDEX('حسابات'!$X$2:$X$181,$K43))</f>
        <v/>
      </c>
      <c r="G43" s="4" t="n"/>
      <c r="H43" s="28" t="str">
        <f>IF($K43="","",INDEX('حسابات'!$Z$2:$Z$181,$K43))</f>
        <v/>
      </c>
      <c r="I43" s="4" t="n"/>
      <c r="K43" t="str">
        <f>IFERROR(MATCH(1,'حسابات'!$AF$2:$AF$181,0),"")</f>
        <v/>
      </c>
    </row>
    <row r="44" ht="22.5" customHeight="1">
      <c r="B44" s="26" t="str">
        <f>IF($K44="","",INDEX('حسابات'!$Y$2:$Y$181,$K44))</f>
        <v/>
      </c>
      <c r="C44" s="13" t="n"/>
      <c r="D44" s="4" t="n"/>
      <c r="E44" s="32" t="str">
        <f>IF($K44="","",INDEX('حسابات'!$AD$2:$AD$181,$K44))</f>
        <v/>
      </c>
      <c r="F44" s="17" t="str">
        <f>IF($K44="","",INDEX('حسابات'!$X$2:$X$181,$K44))</f>
        <v/>
      </c>
      <c r="G44" s="4" t="n"/>
      <c r="H44" s="28" t="str">
        <f>IF($K44="","",INDEX('حسابات'!$Z$2:$Z$181,$K44))</f>
        <v/>
      </c>
      <c r="I44" s="4" t="n"/>
      <c r="K44" t="str">
        <f>IFERROR(MATCH(2,'حسابات'!$AF$2:$AF$181,0),"")</f>
        <v/>
      </c>
    </row>
    <row r="45" ht="22.5" customHeight="1">
      <c r="B45" s="26" t="str">
        <f>IF($K45="","",INDEX('حسابات'!$Y$2:$Y$181,$K45))</f>
        <v/>
      </c>
      <c r="C45" s="13" t="n"/>
      <c r="D45" s="4" t="n"/>
      <c r="E45" s="32" t="str">
        <f>IF($K45="","",INDEX('حسابات'!$AD$2:$AD$181,$K45))</f>
        <v/>
      </c>
      <c r="F45" s="17" t="str">
        <f>IF($K45="","",INDEX('حسابات'!$X$2:$X$181,$K45))</f>
        <v/>
      </c>
      <c r="G45" s="4" t="n"/>
      <c r="H45" s="28" t="str">
        <f>IF($K45="","",INDEX('حسابات'!$Z$2:$Z$181,$K45))</f>
        <v/>
      </c>
      <c r="I45" s="4" t="n"/>
      <c r="K45" t="str">
        <f>IFERROR(MATCH(3,'حسابات'!$AF$2:$AF$181,0),"")</f>
        <v/>
      </c>
    </row>
    <row r="46" ht="22.5" customHeight="1">
      <c r="B46" s="26" t="str">
        <f>IF($K46="","",INDEX('حسابات'!$Y$2:$Y$181,$K46))</f>
        <v/>
      </c>
      <c r="C46" s="13" t="n"/>
      <c r="D46" s="4" t="n"/>
      <c r="E46" s="32" t="str">
        <f>IF($K46="","",INDEX('حسابات'!$AD$2:$AD$181,$K46))</f>
        <v/>
      </c>
      <c r="F46" s="17" t="str">
        <f>IF($K46="","",INDEX('حسابات'!$X$2:$X$181,$K46))</f>
        <v/>
      </c>
      <c r="G46" s="4" t="n"/>
      <c r="H46" s="28" t="str">
        <f>IF($K46="","",INDEX('حسابات'!$Z$2:$Z$181,$K46))</f>
        <v/>
      </c>
      <c r="I46" s="4" t="n"/>
      <c r="K46" t="str">
        <f>IFERROR(MATCH(4,'حسابات'!$AF$2:$AF$181,0),"")</f>
        <v/>
      </c>
    </row>
    <row r="47" ht="22.5" customHeight="1">
      <c r="B47" s="26" t="str">
        <f>IF($K47="","",INDEX('حسابات'!$Y$2:$Y$181,$K47))</f>
        <v/>
      </c>
      <c r="C47" s="13" t="n"/>
      <c r="D47" s="4" t="n"/>
      <c r="E47" s="32" t="str">
        <f>IF($K47="","",INDEX('حسابات'!$AD$2:$AD$181,$K47))</f>
        <v/>
      </c>
      <c r="F47" s="17" t="str">
        <f>IF($K47="","",INDEX('حسابات'!$X$2:$X$181,$K47))</f>
        <v/>
      </c>
      <c r="G47" s="4" t="n"/>
      <c r="H47" s="28" t="str">
        <f>IF($K47="","",INDEX('حسابات'!$Z$2:$Z$181,$K47))</f>
        <v/>
      </c>
      <c r="I47" s="4" t="n"/>
      <c r="K47" t="str">
        <f>IFERROR(MATCH(5,'حسابات'!$AF$2:$AF$181,0),"")</f>
        <v/>
      </c>
    </row>
    <row r="48" ht="22.5" customHeight="1">
      <c r="B48" s="26" t="str">
        <f>IF($K48="","",INDEX('حسابات'!$Y$2:$Y$181,$K48))</f>
        <v/>
      </c>
      <c r="C48" s="13" t="n"/>
      <c r="D48" s="4" t="n"/>
      <c r="E48" s="32" t="str">
        <f>IF($K48="","",INDEX('حسابات'!$AD$2:$AD$181,$K48))</f>
        <v/>
      </c>
      <c r="F48" s="17" t="str">
        <f>IF($K48="","",INDEX('حسابات'!$X$2:$X$181,$K48))</f>
        <v/>
      </c>
      <c r="G48" s="4" t="n"/>
      <c r="H48" s="28" t="str">
        <f>IF($K48="","",INDEX('حسابات'!$Z$2:$Z$181,$K48))</f>
        <v/>
      </c>
      <c r="I48" s="4" t="n"/>
      <c r="K48" t="str">
        <f>IFERROR(MATCH(6,'حسابات'!$AF$2:$AF$181,0),"")</f>
        <v/>
      </c>
    </row>
    <row r="49" ht="22.5" customHeight="1">
      <c r="B49" s="26" t="str">
        <f>IF($K49="","",INDEX('حسابات'!$Y$2:$Y$181,$K49))</f>
        <v/>
      </c>
      <c r="C49" s="13" t="n"/>
      <c r="D49" s="4" t="n"/>
      <c r="E49" s="32" t="str">
        <f>IF($K49="","",INDEX('حسابات'!$AD$2:$AD$181,$K49))</f>
        <v/>
      </c>
      <c r="F49" s="17" t="str">
        <f>IF($K49="","",INDEX('حسابات'!$X$2:$X$181,$K49))</f>
        <v/>
      </c>
      <c r="G49" s="4" t="n"/>
      <c r="H49" s="28" t="str">
        <f>IF($K49="","",INDEX('حسابات'!$Z$2:$Z$181,$K49))</f>
        <v/>
      </c>
      <c r="I49" s="4" t="n"/>
      <c r="K49" t="str">
        <f>IFERROR(MATCH(7,'حسابات'!$AF$2:$AF$181,0),"")</f>
        <v/>
      </c>
    </row>
    <row r="50" ht="22.5" customHeight="1">
      <c r="B50" s="26" t="str">
        <f>IF($K50="","",INDEX('حسابات'!$Y$2:$Y$181,$K50))</f>
        <v/>
      </c>
      <c r="C50" s="13" t="n"/>
      <c r="D50" s="4" t="n"/>
      <c r="E50" s="32" t="str">
        <f>IF($K50="","",INDEX('حسابات'!$AD$2:$AD$181,$K50))</f>
        <v/>
      </c>
      <c r="F50" s="17" t="str">
        <f>IF($K50="","",INDEX('حسابات'!$X$2:$X$181,$K50))</f>
        <v/>
      </c>
      <c r="G50" s="4" t="n"/>
      <c r="H50" s="28" t="str">
        <f>IF($K50="","",INDEX('حسابات'!$Z$2:$Z$181,$K50))</f>
        <v/>
      </c>
      <c r="I50" s="4" t="n"/>
      <c r="K50" t="str">
        <f>IFERROR(MATCH(8,'حسابات'!$AF$2:$AF$181,0),"")</f>
        <v/>
      </c>
    </row>
    <row r="51" ht="22.5" customHeight="1">
      <c r="B51" s="26" t="str">
        <f>IF($K51="","",INDEX('حسابات'!$Y$2:$Y$181,$K51))</f>
        <v/>
      </c>
      <c r="C51" s="13" t="n"/>
      <c r="D51" s="4" t="n"/>
      <c r="E51" s="32" t="str">
        <f>IF($K51="","",INDEX('حسابات'!$AD$2:$AD$181,$K51))</f>
        <v/>
      </c>
      <c r="F51" s="17" t="str">
        <f>IF($K51="","",INDEX('حسابات'!$X$2:$X$181,$K51))</f>
        <v/>
      </c>
      <c r="G51" s="4" t="n"/>
      <c r="H51" s="28" t="str">
        <f>IF($K51="","",INDEX('حسابات'!$Z$2:$Z$181,$K51))</f>
        <v/>
      </c>
      <c r="I51" s="4" t="n"/>
      <c r="K51" t="str">
        <f>IFERROR(MATCH(9,'حسابات'!$AF$2:$AF$181,0),"")</f>
        <v/>
      </c>
    </row>
    <row r="52" ht="22.5" customHeight="1">
      <c r="B52" s="26" t="str">
        <f>IF($K52="","",INDEX('حسابات'!$Y$2:$Y$181,$K52))</f>
        <v/>
      </c>
      <c r="C52" s="13" t="n"/>
      <c r="D52" s="4" t="n"/>
      <c r="E52" s="32" t="str">
        <f>IF($K52="","",INDEX('حسابات'!$AD$2:$AD$181,$K52))</f>
        <v/>
      </c>
      <c r="F52" s="17" t="str">
        <f>IF($K52="","",INDEX('حسابات'!$X$2:$X$181,$K52))</f>
        <v/>
      </c>
      <c r="G52" s="4" t="n"/>
      <c r="H52" s="28" t="str">
        <f>IF($K52="","",INDEX('حسابات'!$Z$2:$Z$181,$K52))</f>
        <v/>
      </c>
      <c r="I52" s="4" t="n"/>
      <c r="K52" t="str">
        <f>IFERROR(MATCH(10,'حسابات'!$AF$2:$AF$181,0),"")</f>
        <v/>
      </c>
    </row>
    <row r="53" ht="22.5" customHeight="1">
      <c r="B53" s="26" t="str">
        <f>IF($K53="","",INDEX('حسابات'!$Y$2:$Y$181,$K53))</f>
        <v/>
      </c>
      <c r="C53" s="13" t="n"/>
      <c r="D53" s="4" t="n"/>
      <c r="E53" s="32" t="str">
        <f>IF($K53="","",INDEX('حسابات'!$AD$2:$AD$181,$K53))</f>
        <v/>
      </c>
      <c r="F53" s="17" t="str">
        <f>IF($K53="","",INDEX('حسابات'!$X$2:$X$181,$K53))</f>
        <v/>
      </c>
      <c r="G53" s="4" t="n"/>
      <c r="H53" s="28" t="str">
        <f>IF($K53="","",INDEX('حسابات'!$Z$2:$Z$181,$K53))</f>
        <v/>
      </c>
      <c r="I53" s="4" t="n"/>
      <c r="K53" t="str">
        <f>IFERROR(MATCH(11,'حسابات'!$AF$2:$AF$181,0),"")</f>
        <v/>
      </c>
    </row>
    <row r="54" ht="22.5" customHeight="1">
      <c r="B54" s="26" t="str">
        <f>IF($K54="","",INDEX('حسابات'!$Y$2:$Y$181,$K54))</f>
        <v/>
      </c>
      <c r="C54" s="13" t="n"/>
      <c r="D54" s="4" t="n"/>
      <c r="E54" s="32" t="str">
        <f>IF($K54="","",INDEX('حسابات'!$AD$2:$AD$181,$K54))</f>
        <v/>
      </c>
      <c r="F54" s="17" t="str">
        <f>IF($K54="","",INDEX('حسابات'!$X$2:$X$181,$K54))</f>
        <v/>
      </c>
      <c r="G54" s="4" t="n"/>
      <c r="H54" s="28" t="str">
        <f>IF($K54="","",INDEX('حسابات'!$Z$2:$Z$181,$K54))</f>
        <v/>
      </c>
      <c r="I54" s="4" t="n"/>
      <c r="K54" t="str">
        <f>IFERROR(MATCH(12,'حسابات'!$AF$2:$AF$181,0),"")</f>
        <v/>
      </c>
    </row>
    <row r="55" ht="16.5" customHeight="1">
      <c r="B55" s="29" t="str">
        <f>IF('حسابات'!$AF$181&gt;12,"+ "&amp;('حسابات'!$AF$181-12)&amp;" كمان · عمود «المصاريف» في صفحات المجموعات",IF('حسابات'!$AF$181=0,"كله دافع",""))</f>
        <v>كله دافع</v>
      </c>
    </row>
  </sheetData>
  <mergeCells count="138">
    <mergeCell ref="D20:E20"/>
    <mergeCell ref="B42:D42"/>
    <mergeCell ref="H35:I35"/>
    <mergeCell ref="H53:I53"/>
    <mergeCell ref="F29:G29"/>
    <mergeCell ref="G13:I13"/>
    <mergeCell ref="B22:C22"/>
    <mergeCell ref="D22:E22"/>
    <mergeCell ref="B44:D44"/>
    <mergeCell ref="B53:D53"/>
    <mergeCell ref="E8:F8"/>
    <mergeCell ref="B34:D34"/>
    <mergeCell ref="B28:D28"/>
    <mergeCell ref="B21:C21"/>
    <mergeCell ref="B37:D37"/>
    <mergeCell ref="B30:D30"/>
    <mergeCell ref="F25:I25"/>
    <mergeCell ref="H52:I52"/>
    <mergeCell ref="H45:I45"/>
    <mergeCell ref="G9:I9"/>
    <mergeCell ref="D4:E4"/>
    <mergeCell ref="H37:I37"/>
    <mergeCell ref="B54:D54"/>
    <mergeCell ref="F43:G43"/>
    <mergeCell ref="B24:C24"/>
    <mergeCell ref="D24:E24"/>
    <mergeCell ref="B43:D43"/>
    <mergeCell ref="F23:I23"/>
    <mergeCell ref="E12:F12"/>
    <mergeCell ref="B25:C25"/>
    <mergeCell ref="F54:G54"/>
    <mergeCell ref="D19:E19"/>
    <mergeCell ref="H54:I54"/>
    <mergeCell ref="F34:G34"/>
    <mergeCell ref="C14:D14"/>
    <mergeCell ref="E14:F14"/>
    <mergeCell ref="H50:I50"/>
    <mergeCell ref="B18:C18"/>
    <mergeCell ref="H34:I34"/>
    <mergeCell ref="F30:G30"/>
    <mergeCell ref="G14:I14"/>
    <mergeCell ref="B39:I39"/>
    <mergeCell ref="F5:G5"/>
    <mergeCell ref="F33:G33"/>
    <mergeCell ref="F45:G45"/>
    <mergeCell ref="H49:I49"/>
    <mergeCell ref="F42:G42"/>
    <mergeCell ref="H36:I36"/>
    <mergeCell ref="F19:I19"/>
    <mergeCell ref="B1:I1"/>
    <mergeCell ref="B27:E27"/>
    <mergeCell ref="B36:D36"/>
    <mergeCell ref="F47:G47"/>
    <mergeCell ref="B45:D45"/>
    <mergeCell ref="F31:G31"/>
    <mergeCell ref="F46:G46"/>
    <mergeCell ref="F28:G28"/>
    <mergeCell ref="H28:I28"/>
    <mergeCell ref="F20:I20"/>
    <mergeCell ref="B47:D47"/>
    <mergeCell ref="C8:D8"/>
    <mergeCell ref="F48:G48"/>
    <mergeCell ref="F17:I17"/>
    <mergeCell ref="B31:D31"/>
    <mergeCell ref="B46:D46"/>
    <mergeCell ref="H48:I48"/>
    <mergeCell ref="D23:E23"/>
    <mergeCell ref="G8:I8"/>
    <mergeCell ref="H5:I5"/>
    <mergeCell ref="B41:I41"/>
    <mergeCell ref="B48:D48"/>
    <mergeCell ref="F4:G4"/>
    <mergeCell ref="G10:I10"/>
    <mergeCell ref="H38:I38"/>
    <mergeCell ref="H43:I43"/>
    <mergeCell ref="H31:I31"/>
    <mergeCell ref="F53:G53"/>
    <mergeCell ref="B49:D49"/>
    <mergeCell ref="E13:F13"/>
    <mergeCell ref="F36:G36"/>
    <mergeCell ref="B17:C17"/>
    <mergeCell ref="F50:G50"/>
    <mergeCell ref="D17:E17"/>
    <mergeCell ref="B51:D51"/>
    <mergeCell ref="C12:D12"/>
    <mergeCell ref="B19:C19"/>
    <mergeCell ref="B35:D35"/>
    <mergeCell ref="B50:D50"/>
    <mergeCell ref="G12:I12"/>
    <mergeCell ref="D25:E25"/>
    <mergeCell ref="F18:I18"/>
    <mergeCell ref="B55:I55"/>
    <mergeCell ref="B5:C5"/>
    <mergeCell ref="B20:C20"/>
    <mergeCell ref="H42:I42"/>
    <mergeCell ref="D5:E5"/>
    <mergeCell ref="F49:G49"/>
    <mergeCell ref="B4:C4"/>
    <mergeCell ref="H30:I30"/>
    <mergeCell ref="F22:I22"/>
    <mergeCell ref="B7:I7"/>
    <mergeCell ref="H29:I29"/>
    <mergeCell ref="B16:I16"/>
    <mergeCell ref="H4:I4"/>
    <mergeCell ref="B29:D29"/>
    <mergeCell ref="H44:I44"/>
    <mergeCell ref="B38:D38"/>
    <mergeCell ref="D21:E21"/>
    <mergeCell ref="C10:D10"/>
    <mergeCell ref="E10:F10"/>
    <mergeCell ref="H46:I46"/>
    <mergeCell ref="B2:I2"/>
    <mergeCell ref="F51:G51"/>
    <mergeCell ref="B23:C23"/>
    <mergeCell ref="H51:I51"/>
    <mergeCell ref="F32:G32"/>
    <mergeCell ref="C9:D9"/>
    <mergeCell ref="E9:F9"/>
    <mergeCell ref="F35:G35"/>
    <mergeCell ref="B33:D33"/>
    <mergeCell ref="F38:G38"/>
    <mergeCell ref="H32:I32"/>
    <mergeCell ref="C11:D11"/>
    <mergeCell ref="B32:D32"/>
    <mergeCell ref="E11:F11"/>
    <mergeCell ref="F24:I24"/>
    <mergeCell ref="F21:I21"/>
    <mergeCell ref="D18:E18"/>
    <mergeCell ref="H47:I47"/>
    <mergeCell ref="F27:G27"/>
    <mergeCell ref="H27:I27"/>
    <mergeCell ref="F52:G52"/>
    <mergeCell ref="G11:I11"/>
    <mergeCell ref="F37:G37"/>
    <mergeCell ref="H33:I33"/>
    <mergeCell ref="B52:D52"/>
    <mergeCell ref="C13:D13"/>
    <mergeCell ref="F44:G44"/>
  </mergeCells>
  <conditionalFormatting sqref="B18:I25">
    <cfRule type="expression" priority="1" dxfId="0">
      <formula>LEFT($D18,8)="النهارده"</formula>
    </cfRule>
  </conditionalFormatting>
  <pageMargins left="0.75" right="0.75" top="1" bottom="1" header="0.5" footer="0.5"/>
</worksheet>
</file>

<file path=xl/worksheets/sheet2.xml><?xml version="1.0" encoding="utf-8"?>
<worksheet xmlns="http://schemas.openxmlformats.org/spreadsheetml/2006/main">
  <sheetPr>
    <tabColor rgb="00FCF6BD"/>
    <outlinePr summaryBelow="1" summaryRight="1"/>
    <pageSetUpPr/>
  </sheetPr>
  <dimension ref="A1:L34"/>
  <sheetViews>
    <sheetView showGridLines="0" rightToLeft="1" workbookViewId="0">
      <pane ySplit="4" topLeftCell="A5" activePane="bottomLeft" state="frozen"/>
      <selection pane="bottomLeft" activeCell="A1" sqref="A1"/>
    </sheetView>
  </sheetViews>
  <sheetFormatPr baseColWidth="8" defaultRowHeight="15"/>
  <cols>
    <col width="3.57" customWidth="1" min="1" max="1"/>
    <col width="13.57" customWidth="1" min="2" max="2"/>
    <col width="13.57" customWidth="1" min="3" max="3"/>
    <col width="24.29" customWidth="1" min="4" max="4"/>
    <col width="23.57" customWidth="1" min="5" max="5"/>
    <col width="1"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s>
  <sheetData>
    <row r="1" ht="30" customHeight="1">
      <c r="A1" s="33" t="inlineStr">
        <is>
          <t>جدول المواعيد الأسبوعي</t>
        </is>
      </c>
    </row>
    <row r="2" ht="18" customHeight="1">
      <c r="A2" s="34" t="inlineStr">
        <is>
          <t>صف لكل ميعاد ثابت. المجموعة اللي بتيجي مرتين في الأسبوع تتكتب في صفين.</t>
        </is>
      </c>
    </row>
    <row r="3" ht="6" customHeight="1"/>
    <row r="4" ht="19.5" customHeight="1">
      <c r="A4" s="35" t="inlineStr">
        <is>
          <t>م</t>
        </is>
      </c>
      <c r="B4" s="35" t="inlineStr">
        <is>
          <t>اليوم</t>
        </is>
      </c>
      <c r="C4" s="35" t="inlineStr">
        <is>
          <t>الساعة</t>
        </is>
      </c>
      <c r="D4" s="35" t="inlineStr">
        <is>
          <t>المجموعة / الطالب</t>
        </is>
      </c>
      <c r="E4" s="35" t="inlineStr">
        <is>
          <t>المكان / ملاحظات</t>
        </is>
      </c>
    </row>
    <row r="5" ht="22.5" customHeight="1">
      <c r="A5" s="36" t="n">
        <v>1</v>
      </c>
      <c r="B5" s="37" t="inlineStr">
        <is>
          <t>السبت</t>
        </is>
      </c>
      <c r="C5" s="38" t="inlineStr">
        <is>
          <t>5:00 م</t>
        </is>
      </c>
      <c r="D5" s="37" t="inlineStr">
        <is>
          <t>مجموعة 1</t>
        </is>
      </c>
      <c r="E5" s="39" t="inlineStr">
        <is>
          <t>مثال، عدّليه</t>
        </is>
      </c>
      <c r="G5">
        <f>IF($B5="",0,IFERROR(INDEX('حسابات'!$B$2:$B$8,MATCH($B5,'حسابات'!$A$2:$A$8,0)),0))</f>
        <v>7</v>
      </c>
      <c r="H5">
        <f>IF($C5="",99,IFERROR(MATCH($C5,'حسابات'!$D$2:$D$35,0),99))</f>
        <v>21</v>
      </c>
      <c r="I5">
        <f>IF(AND($G5&gt;0,$G5=WEEKDAY(TODAY())),1,0)</f>
        <v>0</v>
      </c>
      <c r="J5" t="str">
        <f>IF($I5=1,COUNTIFS($I$5:$I$34,1,$H$5:$H$34,"&lt;"&amp;$H5)+COUNTIFS($I$5:$I5,1,$H$5:$H5,$H5),"")</f>
        <v/>
      </c>
      <c r="K5">
        <f>IF($G5=0,7,MOD($G5-WEEKDAY(TODAY()),7))</f>
        <v>1</v>
      </c>
      <c r="L5">
        <f>IF($K5=0,7,$K5)</f>
        <v>1</v>
      </c>
    </row>
    <row r="6" ht="22.5" customHeight="1">
      <c r="A6" s="36" t="n">
        <v>2</v>
      </c>
      <c r="B6" s="37" t="n"/>
      <c r="C6" s="38" t="n"/>
      <c r="D6" s="37" t="n"/>
      <c r="E6" s="39" t="n"/>
      <c r="G6">
        <f>IF($B6="",0,IFERROR(INDEX('حسابات'!$B$2:$B$8,MATCH($B6,'حسابات'!$A$2:$A$8,0)),0))</f>
        <v>0</v>
      </c>
      <c r="H6">
        <f>IF($C6="",99,IFERROR(MATCH($C6,'حسابات'!$D$2:$D$35,0),99))</f>
        <v>99</v>
      </c>
      <c r="I6">
        <f>IF(AND($G6&gt;0,$G6=WEEKDAY(TODAY())),1,0)</f>
        <v>0</v>
      </c>
      <c r="J6" t="str">
        <f>IF($I6=1,COUNTIFS($I$5:$I$34,1,$H$5:$H$34,"&lt;"&amp;$H6)+COUNTIFS($I$5:$I6,1,$H$5:$H6,$H6),"")</f>
        <v/>
      </c>
      <c r="K6">
        <f>IF($G6=0,7,MOD($G6-WEEKDAY(TODAY()),7))</f>
        <v>7</v>
      </c>
      <c r="L6">
        <f>IF($K6=0,7,$K6)</f>
        <v>7</v>
      </c>
    </row>
    <row r="7" ht="22.5" customHeight="1">
      <c r="A7" s="36" t="n">
        <v>3</v>
      </c>
      <c r="B7" s="37" t="n"/>
      <c r="C7" s="38" t="n"/>
      <c r="D7" s="37" t="n"/>
      <c r="E7" s="39" t="n"/>
      <c r="G7">
        <f>IF($B7="",0,IFERROR(INDEX('حسابات'!$B$2:$B$8,MATCH($B7,'حسابات'!$A$2:$A$8,0)),0))</f>
        <v>0</v>
      </c>
      <c r="H7">
        <f>IF($C7="",99,IFERROR(MATCH($C7,'حسابات'!$D$2:$D$35,0),99))</f>
        <v>99</v>
      </c>
      <c r="I7">
        <f>IF(AND($G7&gt;0,$G7=WEEKDAY(TODAY())),1,0)</f>
        <v>0</v>
      </c>
      <c r="J7" t="str">
        <f>IF($I7=1,COUNTIFS($I$5:$I$34,1,$H$5:$H$34,"&lt;"&amp;$H7)+COUNTIFS($I$5:$I7,1,$H$5:$H7,$H7),"")</f>
        <v/>
      </c>
      <c r="K7">
        <f>IF($G7=0,7,MOD($G7-WEEKDAY(TODAY()),7))</f>
        <v>7</v>
      </c>
      <c r="L7">
        <f>IF($K7=0,7,$K7)</f>
        <v>7</v>
      </c>
    </row>
    <row r="8" ht="22.5" customHeight="1">
      <c r="A8" s="36" t="n">
        <v>4</v>
      </c>
      <c r="B8" s="37" t="n"/>
      <c r="C8" s="38" t="n"/>
      <c r="D8" s="37" t="n"/>
      <c r="E8" s="39" t="n"/>
      <c r="G8">
        <f>IF($B8="",0,IFERROR(INDEX('حسابات'!$B$2:$B$8,MATCH($B8,'حسابات'!$A$2:$A$8,0)),0))</f>
        <v>0</v>
      </c>
      <c r="H8">
        <f>IF($C8="",99,IFERROR(MATCH($C8,'حسابات'!$D$2:$D$35,0),99))</f>
        <v>99</v>
      </c>
      <c r="I8">
        <f>IF(AND($G8&gt;0,$G8=WEEKDAY(TODAY())),1,0)</f>
        <v>0</v>
      </c>
      <c r="J8" t="str">
        <f>IF($I8=1,COUNTIFS($I$5:$I$34,1,$H$5:$H$34,"&lt;"&amp;$H8)+COUNTIFS($I$5:$I8,1,$H$5:$H8,$H8),"")</f>
        <v/>
      </c>
      <c r="K8">
        <f>IF($G8=0,7,MOD($G8-WEEKDAY(TODAY()),7))</f>
        <v>7</v>
      </c>
      <c r="L8">
        <f>IF($K8=0,7,$K8)</f>
        <v>7</v>
      </c>
    </row>
    <row r="9" ht="22.5" customHeight="1">
      <c r="A9" s="36" t="n">
        <v>5</v>
      </c>
      <c r="B9" s="37" t="n"/>
      <c r="C9" s="38" t="n"/>
      <c r="D9" s="37" t="n"/>
      <c r="E9" s="39" t="n"/>
      <c r="G9">
        <f>IF($B9="",0,IFERROR(INDEX('حسابات'!$B$2:$B$8,MATCH($B9,'حسابات'!$A$2:$A$8,0)),0))</f>
        <v>0</v>
      </c>
      <c r="H9">
        <f>IF($C9="",99,IFERROR(MATCH($C9,'حسابات'!$D$2:$D$35,0),99))</f>
        <v>99</v>
      </c>
      <c r="I9">
        <f>IF(AND($G9&gt;0,$G9=WEEKDAY(TODAY())),1,0)</f>
        <v>0</v>
      </c>
      <c r="J9" t="str">
        <f>IF($I9=1,COUNTIFS($I$5:$I$34,1,$H$5:$H$34,"&lt;"&amp;$H9)+COUNTIFS($I$5:$I9,1,$H$5:$H9,$H9),"")</f>
        <v/>
      </c>
      <c r="K9">
        <f>IF($G9=0,7,MOD($G9-WEEKDAY(TODAY()),7))</f>
        <v>7</v>
      </c>
      <c r="L9">
        <f>IF($K9=0,7,$K9)</f>
        <v>7</v>
      </c>
    </row>
    <row r="10" ht="22.5" customHeight="1">
      <c r="A10" s="36" t="n">
        <v>6</v>
      </c>
      <c r="B10" s="37" t="n"/>
      <c r="C10" s="38" t="n"/>
      <c r="D10" s="37" t="n"/>
      <c r="E10" s="39" t="n"/>
      <c r="G10">
        <f>IF($B10="",0,IFERROR(INDEX('حسابات'!$B$2:$B$8,MATCH($B10,'حسابات'!$A$2:$A$8,0)),0))</f>
        <v>0</v>
      </c>
      <c r="H10">
        <f>IF($C10="",99,IFERROR(MATCH($C10,'حسابات'!$D$2:$D$35,0),99))</f>
        <v>99</v>
      </c>
      <c r="I10">
        <f>IF(AND($G10&gt;0,$G10=WEEKDAY(TODAY())),1,0)</f>
        <v>0</v>
      </c>
      <c r="J10" t="str">
        <f>IF($I10=1,COUNTIFS($I$5:$I$34,1,$H$5:$H$34,"&lt;"&amp;$H10)+COUNTIFS($I$5:$I10,1,$H$5:$H10,$H10),"")</f>
        <v/>
      </c>
      <c r="K10">
        <f>IF($G10=0,7,MOD($G10-WEEKDAY(TODAY()),7))</f>
        <v>7</v>
      </c>
      <c r="L10">
        <f>IF($K10=0,7,$K10)</f>
        <v>7</v>
      </c>
    </row>
    <row r="11" ht="22.5" customHeight="1">
      <c r="A11" s="36" t="n">
        <v>7</v>
      </c>
      <c r="B11" s="37" t="n"/>
      <c r="C11" s="38" t="n"/>
      <c r="D11" s="37" t="n"/>
      <c r="E11" s="39" t="n"/>
      <c r="G11">
        <f>IF($B11="",0,IFERROR(INDEX('حسابات'!$B$2:$B$8,MATCH($B11,'حسابات'!$A$2:$A$8,0)),0))</f>
        <v>0</v>
      </c>
      <c r="H11">
        <f>IF($C11="",99,IFERROR(MATCH($C11,'حسابات'!$D$2:$D$35,0),99))</f>
        <v>99</v>
      </c>
      <c r="I11">
        <f>IF(AND($G11&gt;0,$G11=WEEKDAY(TODAY())),1,0)</f>
        <v>0</v>
      </c>
      <c r="J11" t="str">
        <f>IF($I11=1,COUNTIFS($I$5:$I$34,1,$H$5:$H$34,"&lt;"&amp;$H11)+COUNTIFS($I$5:$I11,1,$H$5:$H11,$H11),"")</f>
        <v/>
      </c>
      <c r="K11">
        <f>IF($G11=0,7,MOD($G11-WEEKDAY(TODAY()),7))</f>
        <v>7</v>
      </c>
      <c r="L11">
        <f>IF($K11=0,7,$K11)</f>
        <v>7</v>
      </c>
    </row>
    <row r="12" ht="22.5" customHeight="1">
      <c r="A12" s="36" t="n">
        <v>8</v>
      </c>
      <c r="B12" s="37" t="n"/>
      <c r="C12" s="38" t="n"/>
      <c r="D12" s="37" t="n"/>
      <c r="E12" s="39" t="n"/>
      <c r="G12">
        <f>IF($B12="",0,IFERROR(INDEX('حسابات'!$B$2:$B$8,MATCH($B12,'حسابات'!$A$2:$A$8,0)),0))</f>
        <v>0</v>
      </c>
      <c r="H12">
        <f>IF($C12="",99,IFERROR(MATCH($C12,'حسابات'!$D$2:$D$35,0),99))</f>
        <v>99</v>
      </c>
      <c r="I12">
        <f>IF(AND($G12&gt;0,$G12=WEEKDAY(TODAY())),1,0)</f>
        <v>0</v>
      </c>
      <c r="J12" t="str">
        <f>IF($I12=1,COUNTIFS($I$5:$I$34,1,$H$5:$H$34,"&lt;"&amp;$H12)+COUNTIFS($I$5:$I12,1,$H$5:$H12,$H12),"")</f>
        <v/>
      </c>
      <c r="K12">
        <f>IF($G12=0,7,MOD($G12-WEEKDAY(TODAY()),7))</f>
        <v>7</v>
      </c>
      <c r="L12">
        <f>IF($K12=0,7,$K12)</f>
        <v>7</v>
      </c>
    </row>
    <row r="13" ht="22.5" customHeight="1">
      <c r="A13" s="36" t="n">
        <v>9</v>
      </c>
      <c r="B13" s="37" t="n"/>
      <c r="C13" s="38" t="n"/>
      <c r="D13" s="37" t="n"/>
      <c r="E13" s="39" t="n"/>
      <c r="G13">
        <f>IF($B13="",0,IFERROR(INDEX('حسابات'!$B$2:$B$8,MATCH($B13,'حسابات'!$A$2:$A$8,0)),0))</f>
        <v>0</v>
      </c>
      <c r="H13">
        <f>IF($C13="",99,IFERROR(MATCH($C13,'حسابات'!$D$2:$D$35,0),99))</f>
        <v>99</v>
      </c>
      <c r="I13">
        <f>IF(AND($G13&gt;0,$G13=WEEKDAY(TODAY())),1,0)</f>
        <v>0</v>
      </c>
      <c r="J13" t="str">
        <f>IF($I13=1,COUNTIFS($I$5:$I$34,1,$H$5:$H$34,"&lt;"&amp;$H13)+COUNTIFS($I$5:$I13,1,$H$5:$H13,$H13),"")</f>
        <v/>
      </c>
      <c r="K13">
        <f>IF($G13=0,7,MOD($G13-WEEKDAY(TODAY()),7))</f>
        <v>7</v>
      </c>
      <c r="L13">
        <f>IF($K13=0,7,$K13)</f>
        <v>7</v>
      </c>
    </row>
    <row r="14" ht="22.5" customHeight="1">
      <c r="A14" s="36" t="n">
        <v>10</v>
      </c>
      <c r="B14" s="37" t="n"/>
      <c r="C14" s="38" t="n"/>
      <c r="D14" s="37" t="n"/>
      <c r="E14" s="39" t="n"/>
      <c r="G14">
        <f>IF($B14="",0,IFERROR(INDEX('حسابات'!$B$2:$B$8,MATCH($B14,'حسابات'!$A$2:$A$8,0)),0))</f>
        <v>0</v>
      </c>
      <c r="H14">
        <f>IF($C14="",99,IFERROR(MATCH($C14,'حسابات'!$D$2:$D$35,0),99))</f>
        <v>99</v>
      </c>
      <c r="I14">
        <f>IF(AND($G14&gt;0,$G14=WEEKDAY(TODAY())),1,0)</f>
        <v>0</v>
      </c>
      <c r="J14" t="str">
        <f>IF($I14=1,COUNTIFS($I$5:$I$34,1,$H$5:$H$34,"&lt;"&amp;$H14)+COUNTIFS($I$5:$I14,1,$H$5:$H14,$H14),"")</f>
        <v/>
      </c>
      <c r="K14">
        <f>IF($G14=0,7,MOD($G14-WEEKDAY(TODAY()),7))</f>
        <v>7</v>
      </c>
      <c r="L14">
        <f>IF($K14=0,7,$K14)</f>
        <v>7</v>
      </c>
    </row>
    <row r="15" ht="22.5" customHeight="1">
      <c r="A15" s="36" t="n">
        <v>11</v>
      </c>
      <c r="B15" s="37" t="n"/>
      <c r="C15" s="38" t="n"/>
      <c r="D15" s="37" t="n"/>
      <c r="E15" s="39" t="n"/>
      <c r="G15">
        <f>IF($B15="",0,IFERROR(INDEX('حسابات'!$B$2:$B$8,MATCH($B15,'حسابات'!$A$2:$A$8,0)),0))</f>
        <v>0</v>
      </c>
      <c r="H15">
        <f>IF($C15="",99,IFERROR(MATCH($C15,'حسابات'!$D$2:$D$35,0),99))</f>
        <v>99</v>
      </c>
      <c r="I15">
        <f>IF(AND($G15&gt;0,$G15=WEEKDAY(TODAY())),1,0)</f>
        <v>0</v>
      </c>
      <c r="J15" t="str">
        <f>IF($I15=1,COUNTIFS($I$5:$I$34,1,$H$5:$H$34,"&lt;"&amp;$H15)+COUNTIFS($I$5:$I15,1,$H$5:$H15,$H15),"")</f>
        <v/>
      </c>
      <c r="K15">
        <f>IF($G15=0,7,MOD($G15-WEEKDAY(TODAY()),7))</f>
        <v>7</v>
      </c>
      <c r="L15">
        <f>IF($K15=0,7,$K15)</f>
        <v>7</v>
      </c>
    </row>
    <row r="16" ht="22.5" customHeight="1">
      <c r="A16" s="36" t="n">
        <v>12</v>
      </c>
      <c r="B16" s="37" t="n"/>
      <c r="C16" s="38" t="n"/>
      <c r="D16" s="37" t="n"/>
      <c r="E16" s="39" t="n"/>
      <c r="G16">
        <f>IF($B16="",0,IFERROR(INDEX('حسابات'!$B$2:$B$8,MATCH($B16,'حسابات'!$A$2:$A$8,0)),0))</f>
        <v>0</v>
      </c>
      <c r="H16">
        <f>IF($C16="",99,IFERROR(MATCH($C16,'حسابات'!$D$2:$D$35,0),99))</f>
        <v>99</v>
      </c>
      <c r="I16">
        <f>IF(AND($G16&gt;0,$G16=WEEKDAY(TODAY())),1,0)</f>
        <v>0</v>
      </c>
      <c r="J16" t="str">
        <f>IF($I16=1,COUNTIFS($I$5:$I$34,1,$H$5:$H$34,"&lt;"&amp;$H16)+COUNTIFS($I$5:$I16,1,$H$5:$H16,$H16),"")</f>
        <v/>
      </c>
      <c r="K16">
        <f>IF($G16=0,7,MOD($G16-WEEKDAY(TODAY()),7))</f>
        <v>7</v>
      </c>
      <c r="L16">
        <f>IF($K16=0,7,$K16)</f>
        <v>7</v>
      </c>
    </row>
    <row r="17" ht="22.5" customHeight="1">
      <c r="A17" s="36" t="n">
        <v>13</v>
      </c>
      <c r="B17" s="37" t="n"/>
      <c r="C17" s="38" t="n"/>
      <c r="D17" s="37" t="n"/>
      <c r="E17" s="39" t="n"/>
      <c r="G17">
        <f>IF($B17="",0,IFERROR(INDEX('حسابات'!$B$2:$B$8,MATCH($B17,'حسابات'!$A$2:$A$8,0)),0))</f>
        <v>0</v>
      </c>
      <c r="H17">
        <f>IF($C17="",99,IFERROR(MATCH($C17,'حسابات'!$D$2:$D$35,0),99))</f>
        <v>99</v>
      </c>
      <c r="I17">
        <f>IF(AND($G17&gt;0,$G17=WEEKDAY(TODAY())),1,0)</f>
        <v>0</v>
      </c>
      <c r="J17" t="str">
        <f>IF($I17=1,COUNTIFS($I$5:$I$34,1,$H$5:$H$34,"&lt;"&amp;$H17)+COUNTIFS($I$5:$I17,1,$H$5:$H17,$H17),"")</f>
        <v/>
      </c>
      <c r="K17">
        <f>IF($G17=0,7,MOD($G17-WEEKDAY(TODAY()),7))</f>
        <v>7</v>
      </c>
      <c r="L17">
        <f>IF($K17=0,7,$K17)</f>
        <v>7</v>
      </c>
    </row>
    <row r="18" ht="22.5" customHeight="1">
      <c r="A18" s="36" t="n">
        <v>14</v>
      </c>
      <c r="B18" s="37" t="n"/>
      <c r="C18" s="38" t="n"/>
      <c r="D18" s="37" t="n"/>
      <c r="E18" s="39" t="n"/>
      <c r="G18">
        <f>IF($B18="",0,IFERROR(INDEX('حسابات'!$B$2:$B$8,MATCH($B18,'حسابات'!$A$2:$A$8,0)),0))</f>
        <v>0</v>
      </c>
      <c r="H18">
        <f>IF($C18="",99,IFERROR(MATCH($C18,'حسابات'!$D$2:$D$35,0),99))</f>
        <v>99</v>
      </c>
      <c r="I18">
        <f>IF(AND($G18&gt;0,$G18=WEEKDAY(TODAY())),1,0)</f>
        <v>0</v>
      </c>
      <c r="J18" t="str">
        <f>IF($I18=1,COUNTIFS($I$5:$I$34,1,$H$5:$H$34,"&lt;"&amp;$H18)+COUNTIFS($I$5:$I18,1,$H$5:$H18,$H18),"")</f>
        <v/>
      </c>
      <c r="K18">
        <f>IF($G18=0,7,MOD($G18-WEEKDAY(TODAY()),7))</f>
        <v>7</v>
      </c>
      <c r="L18">
        <f>IF($K18=0,7,$K18)</f>
        <v>7</v>
      </c>
    </row>
    <row r="19" ht="22.5" customHeight="1">
      <c r="A19" s="36" t="n">
        <v>15</v>
      </c>
      <c r="B19" s="37" t="n"/>
      <c r="C19" s="38" t="n"/>
      <c r="D19" s="37" t="n"/>
      <c r="E19" s="39" t="n"/>
      <c r="G19">
        <f>IF($B19="",0,IFERROR(INDEX('حسابات'!$B$2:$B$8,MATCH($B19,'حسابات'!$A$2:$A$8,0)),0))</f>
        <v>0</v>
      </c>
      <c r="H19">
        <f>IF($C19="",99,IFERROR(MATCH($C19,'حسابات'!$D$2:$D$35,0),99))</f>
        <v>99</v>
      </c>
      <c r="I19">
        <f>IF(AND($G19&gt;0,$G19=WEEKDAY(TODAY())),1,0)</f>
        <v>0</v>
      </c>
      <c r="J19" t="str">
        <f>IF($I19=1,COUNTIFS($I$5:$I$34,1,$H$5:$H$34,"&lt;"&amp;$H19)+COUNTIFS($I$5:$I19,1,$H$5:$H19,$H19),"")</f>
        <v/>
      </c>
      <c r="K19">
        <f>IF($G19=0,7,MOD($G19-WEEKDAY(TODAY()),7))</f>
        <v>7</v>
      </c>
      <c r="L19">
        <f>IF($K19=0,7,$K19)</f>
        <v>7</v>
      </c>
    </row>
    <row r="20" ht="22.5" customHeight="1">
      <c r="A20" s="36" t="n">
        <v>16</v>
      </c>
      <c r="B20" s="37" t="n"/>
      <c r="C20" s="38" t="n"/>
      <c r="D20" s="37" t="n"/>
      <c r="E20" s="39" t="n"/>
      <c r="G20">
        <f>IF($B20="",0,IFERROR(INDEX('حسابات'!$B$2:$B$8,MATCH($B20,'حسابات'!$A$2:$A$8,0)),0))</f>
        <v>0</v>
      </c>
      <c r="H20">
        <f>IF($C20="",99,IFERROR(MATCH($C20,'حسابات'!$D$2:$D$35,0),99))</f>
        <v>99</v>
      </c>
      <c r="I20">
        <f>IF(AND($G20&gt;0,$G20=WEEKDAY(TODAY())),1,0)</f>
        <v>0</v>
      </c>
      <c r="J20" t="str">
        <f>IF($I20=1,COUNTIFS($I$5:$I$34,1,$H$5:$H$34,"&lt;"&amp;$H20)+COUNTIFS($I$5:$I20,1,$H$5:$H20,$H20),"")</f>
        <v/>
      </c>
      <c r="K20">
        <f>IF($G20=0,7,MOD($G20-WEEKDAY(TODAY()),7))</f>
        <v>7</v>
      </c>
      <c r="L20">
        <f>IF($K20=0,7,$K20)</f>
        <v>7</v>
      </c>
    </row>
    <row r="21" ht="22.5" customHeight="1">
      <c r="A21" s="36" t="n">
        <v>17</v>
      </c>
      <c r="B21" s="37" t="n"/>
      <c r="C21" s="38" t="n"/>
      <c r="D21" s="37" t="n"/>
      <c r="E21" s="39" t="n"/>
      <c r="G21">
        <f>IF($B21="",0,IFERROR(INDEX('حسابات'!$B$2:$B$8,MATCH($B21,'حسابات'!$A$2:$A$8,0)),0))</f>
        <v>0</v>
      </c>
      <c r="H21">
        <f>IF($C21="",99,IFERROR(MATCH($C21,'حسابات'!$D$2:$D$35,0),99))</f>
        <v>99</v>
      </c>
      <c r="I21">
        <f>IF(AND($G21&gt;0,$G21=WEEKDAY(TODAY())),1,0)</f>
        <v>0</v>
      </c>
      <c r="J21" t="str">
        <f>IF($I21=1,COUNTIFS($I$5:$I$34,1,$H$5:$H$34,"&lt;"&amp;$H21)+COUNTIFS($I$5:$I21,1,$H$5:$H21,$H21),"")</f>
        <v/>
      </c>
      <c r="K21">
        <f>IF($G21=0,7,MOD($G21-WEEKDAY(TODAY()),7))</f>
        <v>7</v>
      </c>
      <c r="L21">
        <f>IF($K21=0,7,$K21)</f>
        <v>7</v>
      </c>
    </row>
    <row r="22" ht="22.5" customHeight="1">
      <c r="A22" s="36" t="n">
        <v>18</v>
      </c>
      <c r="B22" s="37" t="n"/>
      <c r="C22" s="38" t="n"/>
      <c r="D22" s="37" t="n"/>
      <c r="E22" s="39" t="n"/>
      <c r="G22">
        <f>IF($B22="",0,IFERROR(INDEX('حسابات'!$B$2:$B$8,MATCH($B22,'حسابات'!$A$2:$A$8,0)),0))</f>
        <v>0</v>
      </c>
      <c r="H22">
        <f>IF($C22="",99,IFERROR(MATCH($C22,'حسابات'!$D$2:$D$35,0),99))</f>
        <v>99</v>
      </c>
      <c r="I22">
        <f>IF(AND($G22&gt;0,$G22=WEEKDAY(TODAY())),1,0)</f>
        <v>0</v>
      </c>
      <c r="J22" t="str">
        <f>IF($I22=1,COUNTIFS($I$5:$I$34,1,$H$5:$H$34,"&lt;"&amp;$H22)+COUNTIFS($I$5:$I22,1,$H$5:$H22,$H22),"")</f>
        <v/>
      </c>
      <c r="K22">
        <f>IF($G22=0,7,MOD($G22-WEEKDAY(TODAY()),7))</f>
        <v>7</v>
      </c>
      <c r="L22">
        <f>IF($K22=0,7,$K22)</f>
        <v>7</v>
      </c>
    </row>
    <row r="23" ht="22.5" customHeight="1">
      <c r="A23" s="36" t="n">
        <v>19</v>
      </c>
      <c r="B23" s="37" t="n"/>
      <c r="C23" s="38" t="n"/>
      <c r="D23" s="37" t="n"/>
      <c r="E23" s="39" t="n"/>
      <c r="G23">
        <f>IF($B23="",0,IFERROR(INDEX('حسابات'!$B$2:$B$8,MATCH($B23,'حسابات'!$A$2:$A$8,0)),0))</f>
        <v>0</v>
      </c>
      <c r="H23">
        <f>IF($C23="",99,IFERROR(MATCH($C23,'حسابات'!$D$2:$D$35,0),99))</f>
        <v>99</v>
      </c>
      <c r="I23">
        <f>IF(AND($G23&gt;0,$G23=WEEKDAY(TODAY())),1,0)</f>
        <v>0</v>
      </c>
      <c r="J23" t="str">
        <f>IF($I23=1,COUNTIFS($I$5:$I$34,1,$H$5:$H$34,"&lt;"&amp;$H23)+COUNTIFS($I$5:$I23,1,$H$5:$H23,$H23),"")</f>
        <v/>
      </c>
      <c r="K23">
        <f>IF($G23=0,7,MOD($G23-WEEKDAY(TODAY()),7))</f>
        <v>7</v>
      </c>
      <c r="L23">
        <f>IF($K23=0,7,$K23)</f>
        <v>7</v>
      </c>
    </row>
    <row r="24" ht="22.5" customHeight="1">
      <c r="A24" s="36" t="n">
        <v>20</v>
      </c>
      <c r="B24" s="37" t="n"/>
      <c r="C24" s="38" t="n"/>
      <c r="D24" s="37" t="n"/>
      <c r="E24" s="39" t="n"/>
      <c r="G24">
        <f>IF($B24="",0,IFERROR(INDEX('حسابات'!$B$2:$B$8,MATCH($B24,'حسابات'!$A$2:$A$8,0)),0))</f>
        <v>0</v>
      </c>
      <c r="H24">
        <f>IF($C24="",99,IFERROR(MATCH($C24,'حسابات'!$D$2:$D$35,0),99))</f>
        <v>99</v>
      </c>
      <c r="I24">
        <f>IF(AND($G24&gt;0,$G24=WEEKDAY(TODAY())),1,0)</f>
        <v>0</v>
      </c>
      <c r="J24" t="str">
        <f>IF($I24=1,COUNTIFS($I$5:$I$34,1,$H$5:$H$34,"&lt;"&amp;$H24)+COUNTIFS($I$5:$I24,1,$H$5:$H24,$H24),"")</f>
        <v/>
      </c>
      <c r="K24">
        <f>IF($G24=0,7,MOD($G24-WEEKDAY(TODAY()),7))</f>
        <v>7</v>
      </c>
      <c r="L24">
        <f>IF($K24=0,7,$K24)</f>
        <v>7</v>
      </c>
    </row>
    <row r="25" ht="22.5" customHeight="1">
      <c r="A25" s="36" t="n">
        <v>21</v>
      </c>
      <c r="B25" s="37" t="n"/>
      <c r="C25" s="38" t="n"/>
      <c r="D25" s="37" t="n"/>
      <c r="E25" s="39" t="n"/>
      <c r="G25">
        <f>IF($B25="",0,IFERROR(INDEX('حسابات'!$B$2:$B$8,MATCH($B25,'حسابات'!$A$2:$A$8,0)),0))</f>
        <v>0</v>
      </c>
      <c r="H25">
        <f>IF($C25="",99,IFERROR(MATCH($C25,'حسابات'!$D$2:$D$35,0),99))</f>
        <v>99</v>
      </c>
      <c r="I25">
        <f>IF(AND($G25&gt;0,$G25=WEEKDAY(TODAY())),1,0)</f>
        <v>0</v>
      </c>
      <c r="J25" t="str">
        <f>IF($I25=1,COUNTIFS($I$5:$I$34,1,$H$5:$H$34,"&lt;"&amp;$H25)+COUNTIFS($I$5:$I25,1,$H$5:$H25,$H25),"")</f>
        <v/>
      </c>
      <c r="K25">
        <f>IF($G25=0,7,MOD($G25-WEEKDAY(TODAY()),7))</f>
        <v>7</v>
      </c>
      <c r="L25">
        <f>IF($K25=0,7,$K25)</f>
        <v>7</v>
      </c>
    </row>
    <row r="26" ht="22.5" customHeight="1">
      <c r="A26" s="36" t="n">
        <v>22</v>
      </c>
      <c r="B26" s="37" t="n"/>
      <c r="C26" s="38" t="n"/>
      <c r="D26" s="37" t="n"/>
      <c r="E26" s="39" t="n"/>
      <c r="G26">
        <f>IF($B26="",0,IFERROR(INDEX('حسابات'!$B$2:$B$8,MATCH($B26,'حسابات'!$A$2:$A$8,0)),0))</f>
        <v>0</v>
      </c>
      <c r="H26">
        <f>IF($C26="",99,IFERROR(MATCH($C26,'حسابات'!$D$2:$D$35,0),99))</f>
        <v>99</v>
      </c>
      <c r="I26">
        <f>IF(AND($G26&gt;0,$G26=WEEKDAY(TODAY())),1,0)</f>
        <v>0</v>
      </c>
      <c r="J26" t="str">
        <f>IF($I26=1,COUNTIFS($I$5:$I$34,1,$H$5:$H$34,"&lt;"&amp;$H26)+COUNTIFS($I$5:$I26,1,$H$5:$H26,$H26),"")</f>
        <v/>
      </c>
      <c r="K26">
        <f>IF($G26=0,7,MOD($G26-WEEKDAY(TODAY()),7))</f>
        <v>7</v>
      </c>
      <c r="L26">
        <f>IF($K26=0,7,$K26)</f>
        <v>7</v>
      </c>
    </row>
    <row r="27" ht="22.5" customHeight="1">
      <c r="A27" s="36" t="n">
        <v>23</v>
      </c>
      <c r="B27" s="37" t="n"/>
      <c r="C27" s="38" t="n"/>
      <c r="D27" s="37" t="n"/>
      <c r="E27" s="39" t="n"/>
      <c r="G27">
        <f>IF($B27="",0,IFERROR(INDEX('حسابات'!$B$2:$B$8,MATCH($B27,'حسابات'!$A$2:$A$8,0)),0))</f>
        <v>0</v>
      </c>
      <c r="H27">
        <f>IF($C27="",99,IFERROR(MATCH($C27,'حسابات'!$D$2:$D$35,0),99))</f>
        <v>99</v>
      </c>
      <c r="I27">
        <f>IF(AND($G27&gt;0,$G27=WEEKDAY(TODAY())),1,0)</f>
        <v>0</v>
      </c>
      <c r="J27" t="str">
        <f>IF($I27=1,COUNTIFS($I$5:$I$34,1,$H$5:$H$34,"&lt;"&amp;$H27)+COUNTIFS($I$5:$I27,1,$H$5:$H27,$H27),"")</f>
        <v/>
      </c>
      <c r="K27">
        <f>IF($G27=0,7,MOD($G27-WEEKDAY(TODAY()),7))</f>
        <v>7</v>
      </c>
      <c r="L27">
        <f>IF($K27=0,7,$K27)</f>
        <v>7</v>
      </c>
    </row>
    <row r="28" ht="22.5" customHeight="1">
      <c r="A28" s="36" t="n">
        <v>24</v>
      </c>
      <c r="B28" s="37" t="n"/>
      <c r="C28" s="38" t="n"/>
      <c r="D28" s="37" t="n"/>
      <c r="E28" s="39" t="n"/>
      <c r="G28">
        <f>IF($B28="",0,IFERROR(INDEX('حسابات'!$B$2:$B$8,MATCH($B28,'حسابات'!$A$2:$A$8,0)),0))</f>
        <v>0</v>
      </c>
      <c r="H28">
        <f>IF($C28="",99,IFERROR(MATCH($C28,'حسابات'!$D$2:$D$35,0),99))</f>
        <v>99</v>
      </c>
      <c r="I28">
        <f>IF(AND($G28&gt;0,$G28=WEEKDAY(TODAY())),1,0)</f>
        <v>0</v>
      </c>
      <c r="J28" t="str">
        <f>IF($I28=1,COUNTIFS($I$5:$I$34,1,$H$5:$H$34,"&lt;"&amp;$H28)+COUNTIFS($I$5:$I28,1,$H$5:$H28,$H28),"")</f>
        <v/>
      </c>
      <c r="K28">
        <f>IF($G28=0,7,MOD($G28-WEEKDAY(TODAY()),7))</f>
        <v>7</v>
      </c>
      <c r="L28">
        <f>IF($K28=0,7,$K28)</f>
        <v>7</v>
      </c>
    </row>
    <row r="29" ht="22.5" customHeight="1">
      <c r="A29" s="36" t="n">
        <v>25</v>
      </c>
      <c r="B29" s="37" t="n"/>
      <c r="C29" s="38" t="n"/>
      <c r="D29" s="37" t="n"/>
      <c r="E29" s="39" t="n"/>
      <c r="G29">
        <f>IF($B29="",0,IFERROR(INDEX('حسابات'!$B$2:$B$8,MATCH($B29,'حسابات'!$A$2:$A$8,0)),0))</f>
        <v>0</v>
      </c>
      <c r="H29">
        <f>IF($C29="",99,IFERROR(MATCH($C29,'حسابات'!$D$2:$D$35,0),99))</f>
        <v>99</v>
      </c>
      <c r="I29">
        <f>IF(AND($G29&gt;0,$G29=WEEKDAY(TODAY())),1,0)</f>
        <v>0</v>
      </c>
      <c r="J29" t="str">
        <f>IF($I29=1,COUNTIFS($I$5:$I$34,1,$H$5:$H$34,"&lt;"&amp;$H29)+COUNTIFS($I$5:$I29,1,$H$5:$H29,$H29),"")</f>
        <v/>
      </c>
      <c r="K29">
        <f>IF($G29=0,7,MOD($G29-WEEKDAY(TODAY()),7))</f>
        <v>7</v>
      </c>
      <c r="L29">
        <f>IF($K29=0,7,$K29)</f>
        <v>7</v>
      </c>
    </row>
    <row r="30" ht="22.5" customHeight="1">
      <c r="A30" s="36" t="n">
        <v>26</v>
      </c>
      <c r="B30" s="37" t="n"/>
      <c r="C30" s="38" t="n"/>
      <c r="D30" s="37" t="n"/>
      <c r="E30" s="39" t="n"/>
      <c r="G30">
        <f>IF($B30="",0,IFERROR(INDEX('حسابات'!$B$2:$B$8,MATCH($B30,'حسابات'!$A$2:$A$8,0)),0))</f>
        <v>0</v>
      </c>
      <c r="H30">
        <f>IF($C30="",99,IFERROR(MATCH($C30,'حسابات'!$D$2:$D$35,0),99))</f>
        <v>99</v>
      </c>
      <c r="I30">
        <f>IF(AND($G30&gt;0,$G30=WEEKDAY(TODAY())),1,0)</f>
        <v>0</v>
      </c>
      <c r="J30" t="str">
        <f>IF($I30=1,COUNTIFS($I$5:$I$34,1,$H$5:$H$34,"&lt;"&amp;$H30)+COUNTIFS($I$5:$I30,1,$H$5:$H30,$H30),"")</f>
        <v/>
      </c>
      <c r="K30">
        <f>IF($G30=0,7,MOD($G30-WEEKDAY(TODAY()),7))</f>
        <v>7</v>
      </c>
      <c r="L30">
        <f>IF($K30=0,7,$K30)</f>
        <v>7</v>
      </c>
    </row>
    <row r="31" ht="22.5" customHeight="1">
      <c r="A31" s="36" t="n">
        <v>27</v>
      </c>
      <c r="B31" s="37" t="n"/>
      <c r="C31" s="38" t="n"/>
      <c r="D31" s="37" t="n"/>
      <c r="E31" s="39" t="n"/>
      <c r="G31">
        <f>IF($B31="",0,IFERROR(INDEX('حسابات'!$B$2:$B$8,MATCH($B31,'حسابات'!$A$2:$A$8,0)),0))</f>
        <v>0</v>
      </c>
      <c r="H31">
        <f>IF($C31="",99,IFERROR(MATCH($C31,'حسابات'!$D$2:$D$35,0),99))</f>
        <v>99</v>
      </c>
      <c r="I31">
        <f>IF(AND($G31&gt;0,$G31=WEEKDAY(TODAY())),1,0)</f>
        <v>0</v>
      </c>
      <c r="J31" t="str">
        <f>IF($I31=1,COUNTIFS($I$5:$I$34,1,$H$5:$H$34,"&lt;"&amp;$H31)+COUNTIFS($I$5:$I31,1,$H$5:$H31,$H31),"")</f>
        <v/>
      </c>
      <c r="K31">
        <f>IF($G31=0,7,MOD($G31-WEEKDAY(TODAY()),7))</f>
        <v>7</v>
      </c>
      <c r="L31">
        <f>IF($K31=0,7,$K31)</f>
        <v>7</v>
      </c>
    </row>
    <row r="32" ht="22.5" customHeight="1">
      <c r="A32" s="36" t="n">
        <v>28</v>
      </c>
      <c r="B32" s="37" t="n"/>
      <c r="C32" s="38" t="n"/>
      <c r="D32" s="37" t="n"/>
      <c r="E32" s="39" t="n"/>
      <c r="G32">
        <f>IF($B32="",0,IFERROR(INDEX('حسابات'!$B$2:$B$8,MATCH($B32,'حسابات'!$A$2:$A$8,0)),0))</f>
        <v>0</v>
      </c>
      <c r="H32">
        <f>IF($C32="",99,IFERROR(MATCH($C32,'حسابات'!$D$2:$D$35,0),99))</f>
        <v>99</v>
      </c>
      <c r="I32">
        <f>IF(AND($G32&gt;0,$G32=WEEKDAY(TODAY())),1,0)</f>
        <v>0</v>
      </c>
      <c r="J32" t="str">
        <f>IF($I32=1,COUNTIFS($I$5:$I$34,1,$H$5:$H$34,"&lt;"&amp;$H32)+COUNTIFS($I$5:$I32,1,$H$5:$H32,$H32),"")</f>
        <v/>
      </c>
      <c r="K32">
        <f>IF($G32=0,7,MOD($G32-WEEKDAY(TODAY()),7))</f>
        <v>7</v>
      </c>
      <c r="L32">
        <f>IF($K32=0,7,$K32)</f>
        <v>7</v>
      </c>
    </row>
    <row r="33" ht="22.5" customHeight="1">
      <c r="A33" s="36" t="n">
        <v>29</v>
      </c>
      <c r="B33" s="37" t="n"/>
      <c r="C33" s="38" t="n"/>
      <c r="D33" s="37" t="n"/>
      <c r="E33" s="39" t="n"/>
      <c r="G33">
        <f>IF($B33="",0,IFERROR(INDEX('حسابات'!$B$2:$B$8,MATCH($B33,'حسابات'!$A$2:$A$8,0)),0))</f>
        <v>0</v>
      </c>
      <c r="H33">
        <f>IF($C33="",99,IFERROR(MATCH($C33,'حسابات'!$D$2:$D$35,0),99))</f>
        <v>99</v>
      </c>
      <c r="I33">
        <f>IF(AND($G33&gt;0,$G33=WEEKDAY(TODAY())),1,0)</f>
        <v>0</v>
      </c>
      <c r="J33" t="str">
        <f>IF($I33=1,COUNTIFS($I$5:$I$34,1,$H$5:$H$34,"&lt;"&amp;$H33)+COUNTIFS($I$5:$I33,1,$H$5:$H33,$H33),"")</f>
        <v/>
      </c>
      <c r="K33">
        <f>IF($G33=0,7,MOD($G33-WEEKDAY(TODAY()),7))</f>
        <v>7</v>
      </c>
      <c r="L33">
        <f>IF($K33=0,7,$K33)</f>
        <v>7</v>
      </c>
    </row>
    <row r="34" ht="22.5" customHeight="1">
      <c r="A34" s="36" t="n">
        <v>30</v>
      </c>
      <c r="B34" s="37" t="n"/>
      <c r="C34" s="38" t="n"/>
      <c r="D34" s="37" t="n"/>
      <c r="E34" s="39" t="n"/>
      <c r="G34">
        <f>IF($B34="",0,IFERROR(INDEX('حسابات'!$B$2:$B$8,MATCH($B34,'حسابات'!$A$2:$A$8,0)),0))</f>
        <v>0</v>
      </c>
      <c r="H34">
        <f>IF($C34="",99,IFERROR(MATCH($C34,'حسابات'!$D$2:$D$35,0),99))</f>
        <v>99</v>
      </c>
      <c r="I34">
        <f>IF(AND($G34&gt;0,$G34=WEEKDAY(TODAY())),1,0)</f>
        <v>0</v>
      </c>
      <c r="J34" t="str">
        <f>IF($I34=1,COUNTIFS($I$5:$I$34,1,$H$5:$H$34,"&lt;"&amp;$H34)+COUNTIFS($I$5:$I34,1,$H$5:$H34,$H34),"")</f>
        <v/>
      </c>
      <c r="K34">
        <f>IF($G34=0,7,MOD($G34-WEEKDAY(TODAY()),7))</f>
        <v>7</v>
      </c>
      <c r="L34">
        <f>IF($K34=0,7,$K34)</f>
        <v>7</v>
      </c>
    </row>
  </sheetData>
  <mergeCells count="2">
    <mergeCell ref="A2:E2"/>
    <mergeCell ref="A1:E1"/>
  </mergeCells>
  <conditionalFormatting sqref="A5:E34">
    <cfRule type="expression" priority="1" dxfId="0">
      <formula>$I5=1</formula>
    </cfRule>
  </conditionalFormatting>
  <dataValidations count="3">
    <dataValidation sqref="B5:B34" showDropDown="0" showInputMessage="0" showErrorMessage="1" allowBlank="1" errorTitle="اليوم" error="اختاري اليوم من القائمة" type="list">
      <formula1>'حسابات'!$A$2:$A$8</formula1>
    </dataValidation>
    <dataValidation sqref="C5:C34" showDropDown="0" showInputMessage="0" showErrorMessage="1" allowBlank="1" type="list" errorStyle="warning">
      <formula1>'حسابات'!$D$2:$D$35</formula1>
    </dataValidation>
    <dataValidation sqref="D5:D34" showDropDown="0" showInputMessage="0" showErrorMessage="1" allowBlank="1" type="list" errorStyle="warning">
      <formula1>'حسابات'!$J$2:$J$11</formula1>
    </dataValidation>
  </dataValidations>
  <pageMargins left="0.75" right="0.75" top="1" bottom="1" header="0.5" footer="0.5"/>
</worksheet>
</file>

<file path=xl/worksheets/sheet3.xml><?xml version="1.0" encoding="utf-8"?>
<worksheet xmlns="http://schemas.openxmlformats.org/spreadsheetml/2006/main">
  <sheetPr>
    <tabColor rgb="00A9DEF9"/>
    <outlinePr summaryBelow="1" summaryRight="1"/>
    <pageSetUpPr/>
  </sheetPr>
  <dimension ref="A1:HG47"/>
  <sheetViews>
    <sheetView showGridLines="0" rightToLeft="1" workbookViewId="0">
      <pane xSplit="2" ySplit="3" topLeftCell="C4" activePane="bottomRight" state="frozen"/>
      <selection pane="topRight"/>
      <selection pane="bottomLeft"/>
      <selection pane="bottomRight" activeCell="A1" sqref="A1"/>
    </sheetView>
  </sheetViews>
  <sheetFormatPr baseColWidth="8" defaultRowHeight="15"/>
  <cols>
    <col width="3.57" customWidth="1" min="1" max="1"/>
    <col width="19.29" customWidth="1" min="2" max="2"/>
    <col width="14.71" customWidth="1" min="3" max="3"/>
    <col width="5.86" customWidth="1" min="4" max="4"/>
    <col width="5.86" customWidth="1" min="5" max="5"/>
    <col width="10.71" customWidth="1" min="6" max="6"/>
    <col outlineLevel="1" width="5" customWidth="1" min="7" max="7"/>
    <col outlineLevel="1" width="5" customWidth="1" min="8" max="8"/>
    <col outlineLevel="1" width="5" customWidth="1" min="9" max="9"/>
    <col outlineLevel="1" width="5" customWidth="1" min="10" max="10"/>
    <col outlineLevel="1" width="5" customWidth="1" min="11" max="11"/>
    <col outlineLevel="1" width="5" customWidth="1" min="12" max="12"/>
    <col outlineLevel="1" width="5" customWidth="1" min="13" max="13"/>
    <col outlineLevel="1" width="5" customWidth="1" min="14" max="14"/>
    <col outlineLevel="1" width="5" customWidth="1" min="15" max="15"/>
    <col outlineLevel="1" width="5" customWidth="1" min="16" max="16"/>
    <col outlineLevel="1" width="5" customWidth="1" min="17" max="17"/>
    <col outlineLevel="1" width="5" customWidth="1" min="18" max="18"/>
    <col outlineLevel="1" width="5" customWidth="1" min="19" max="19"/>
    <col outlineLevel="1" width="5" customWidth="1" min="20" max="20"/>
    <col outlineLevel="1" width="5" customWidth="1" min="21" max="21"/>
    <col outlineLevel="1" width="5" customWidth="1" min="22" max="22"/>
    <col width="14.14" customWidth="1" min="23" max="23"/>
    <col outlineLevel="1" width="5" customWidth="1" min="24" max="24"/>
    <col outlineLevel="1" width="5" customWidth="1" min="25" max="25"/>
    <col outlineLevel="1" width="5" customWidth="1" min="26" max="26"/>
    <col outlineLevel="1" width="5" customWidth="1" min="27" max="27"/>
    <col outlineLevel="1" width="5" customWidth="1" min="28" max="28"/>
    <col outlineLevel="1" width="5" customWidth="1" min="29" max="29"/>
    <col outlineLevel="1" width="5" customWidth="1" min="30" max="30"/>
    <col outlineLevel="1" width="5" customWidth="1" min="31" max="31"/>
    <col outlineLevel="1" width="5" customWidth="1" min="32" max="32"/>
    <col outlineLevel="1" width="5" customWidth="1" min="33" max="33"/>
    <col outlineLevel="1" width="5" customWidth="1" min="34" max="34"/>
    <col outlineLevel="1" width="5" customWidth="1" min="35" max="35"/>
    <col outlineLevel="1" width="5" customWidth="1" min="36" max="36"/>
    <col outlineLevel="1" width="5" customWidth="1" min="37" max="37"/>
    <col outlineLevel="1" width="5" customWidth="1" min="38" max="38"/>
    <col outlineLevel="1" width="5" customWidth="1" min="39" max="39"/>
    <col width="14.14" customWidth="1" min="40" max="40"/>
    <col outlineLevel="1" width="5" customWidth="1" min="41" max="41"/>
    <col outlineLevel="1" width="5" customWidth="1" min="42" max="42"/>
    <col outlineLevel="1" width="5" customWidth="1" min="43" max="43"/>
    <col outlineLevel="1" width="5" customWidth="1" min="44" max="44"/>
    <col outlineLevel="1" width="5" customWidth="1" min="45" max="45"/>
    <col outlineLevel="1" width="5" customWidth="1" min="46" max="46"/>
    <col outlineLevel="1" width="5" customWidth="1" min="47" max="47"/>
    <col outlineLevel="1" width="5" customWidth="1" min="48" max="48"/>
    <col outlineLevel="1" width="5" customWidth="1" min="49" max="49"/>
    <col outlineLevel="1" width="5" customWidth="1" min="50" max="50"/>
    <col outlineLevel="1" width="5" customWidth="1" min="51" max="51"/>
    <col outlineLevel="1" width="5" customWidth="1" min="52" max="52"/>
    <col outlineLevel="1" width="5" customWidth="1" min="53" max="53"/>
    <col outlineLevel="1" width="5" customWidth="1" min="54" max="54"/>
    <col outlineLevel="1" width="5" customWidth="1" min="55" max="55"/>
    <col outlineLevel="1" width="5" customWidth="1" min="56" max="56"/>
    <col width="14.14" customWidth="1" min="57" max="57"/>
    <col outlineLevel="1" width="5" customWidth="1" min="58" max="58"/>
    <col outlineLevel="1" width="5" customWidth="1" min="59" max="59"/>
    <col outlineLevel="1" width="5" customWidth="1" min="60" max="60"/>
    <col outlineLevel="1" width="5" customWidth="1" min="61" max="61"/>
    <col outlineLevel="1" width="5" customWidth="1" min="62" max="62"/>
    <col outlineLevel="1" width="5" customWidth="1" min="63" max="63"/>
    <col outlineLevel="1" width="5" customWidth="1" min="64" max="64"/>
    <col outlineLevel="1" width="5" customWidth="1" min="65" max="65"/>
    <col outlineLevel="1" width="5" customWidth="1" min="66" max="66"/>
    <col outlineLevel="1" width="5" customWidth="1" min="67" max="67"/>
    <col outlineLevel="1" width="5" customWidth="1" min="68" max="68"/>
    <col outlineLevel="1" width="5" customWidth="1" min="69" max="69"/>
    <col outlineLevel="1" width="5" customWidth="1" min="70" max="70"/>
    <col outlineLevel="1" width="5" customWidth="1" min="71" max="71"/>
    <col outlineLevel="1" width="5" customWidth="1" min="72" max="72"/>
    <col outlineLevel="1" width="5" customWidth="1" min="73" max="73"/>
    <col width="14.14" customWidth="1" min="74" max="74"/>
    <col outlineLevel="1" width="5" customWidth="1" min="75" max="75"/>
    <col outlineLevel="1" width="5" customWidth="1" min="76" max="76"/>
    <col outlineLevel="1" width="5" customWidth="1" min="77" max="77"/>
    <col outlineLevel="1" width="5" customWidth="1" min="78" max="78"/>
    <col outlineLevel="1" width="5" customWidth="1" min="79" max="79"/>
    <col outlineLevel="1" width="5" customWidth="1" min="80" max="80"/>
    <col outlineLevel="1" width="5" customWidth="1" min="81" max="81"/>
    <col outlineLevel="1" width="5" customWidth="1" min="82" max="82"/>
    <col outlineLevel="1" width="5" customWidth="1" min="83" max="83"/>
    <col outlineLevel="1" width="5" customWidth="1" min="84" max="84"/>
    <col outlineLevel="1" width="5" customWidth="1" min="85" max="85"/>
    <col outlineLevel="1" width="5" customWidth="1" min="86" max="86"/>
    <col outlineLevel="1" width="5" customWidth="1" min="87" max="87"/>
    <col outlineLevel="1" width="5" customWidth="1" min="88" max="88"/>
    <col outlineLevel="1" width="5" customWidth="1" min="89" max="89"/>
    <col outlineLevel="1" width="5" customWidth="1" min="90" max="90"/>
    <col width="14.14" customWidth="1" min="91" max="91"/>
    <col outlineLevel="1" width="5" customWidth="1" min="92" max="92"/>
    <col outlineLevel="1" width="5" customWidth="1" min="93" max="93"/>
    <col outlineLevel="1" width="5" customWidth="1" min="94" max="94"/>
    <col outlineLevel="1" width="5" customWidth="1" min="95" max="95"/>
    <col outlineLevel="1" width="5" customWidth="1" min="96" max="96"/>
    <col outlineLevel="1" width="5" customWidth="1" min="97" max="97"/>
    <col outlineLevel="1" width="5" customWidth="1" min="98" max="98"/>
    <col outlineLevel="1" width="5" customWidth="1" min="99" max="99"/>
    <col outlineLevel="1" width="5" customWidth="1" min="100" max="100"/>
    <col outlineLevel="1" width="5" customWidth="1" min="101" max="101"/>
    <col outlineLevel="1" width="5" customWidth="1" min="102" max="102"/>
    <col outlineLevel="1" width="5" customWidth="1" min="103" max="103"/>
    <col outlineLevel="1" width="5" customWidth="1" min="104" max="104"/>
    <col outlineLevel="1" width="5" customWidth="1" min="105" max="105"/>
    <col outlineLevel="1" width="5" customWidth="1" min="106" max="106"/>
    <col outlineLevel="1" width="5" customWidth="1" min="107" max="107"/>
    <col width="14.14" customWidth="1" min="108" max="108"/>
    <col outlineLevel="1" width="5" customWidth="1" min="109" max="109"/>
    <col outlineLevel="1" width="5" customWidth="1" min="110" max="110"/>
    <col outlineLevel="1" width="5" customWidth="1" min="111" max="111"/>
    <col outlineLevel="1" width="5" customWidth="1" min="112" max="112"/>
    <col outlineLevel="1" width="5" customWidth="1" min="113" max="113"/>
    <col outlineLevel="1" width="5" customWidth="1" min="114" max="114"/>
    <col outlineLevel="1" width="5" customWidth="1" min="115" max="115"/>
    <col outlineLevel="1" width="5" customWidth="1" min="116" max="116"/>
    <col outlineLevel="1" width="5" customWidth="1" min="117" max="117"/>
    <col outlineLevel="1" width="5" customWidth="1" min="118" max="118"/>
    <col outlineLevel="1" width="5" customWidth="1" min="119" max="119"/>
    <col outlineLevel="1" width="5" customWidth="1" min="120" max="120"/>
    <col outlineLevel="1" width="5" customWidth="1" min="121" max="121"/>
    <col outlineLevel="1" width="5" customWidth="1" min="122" max="122"/>
    <col outlineLevel="1" width="5" customWidth="1" min="123" max="123"/>
    <col outlineLevel="1" width="5" customWidth="1" min="124" max="124"/>
    <col width="14.14" customWidth="1" min="125" max="125"/>
    <col outlineLevel="1" width="5" customWidth="1" min="126" max="126"/>
    <col outlineLevel="1" width="5" customWidth="1" min="127" max="127"/>
    <col outlineLevel="1" width="5" customWidth="1" min="128" max="128"/>
    <col outlineLevel="1" width="5" customWidth="1" min="129" max="129"/>
    <col outlineLevel="1" width="5" customWidth="1" min="130" max="130"/>
    <col outlineLevel="1" width="5" customWidth="1" min="131" max="131"/>
    <col outlineLevel="1" width="5" customWidth="1" min="132" max="132"/>
    <col outlineLevel="1" width="5" customWidth="1" min="133" max="133"/>
    <col outlineLevel="1" width="5" customWidth="1" min="134" max="134"/>
    <col outlineLevel="1" width="5" customWidth="1" min="135" max="135"/>
    <col outlineLevel="1" width="5" customWidth="1" min="136" max="136"/>
    <col outlineLevel="1" width="5" customWidth="1" min="137" max="137"/>
    <col outlineLevel="1" width="5" customWidth="1" min="138" max="138"/>
    <col outlineLevel="1" width="5" customWidth="1" min="139" max="139"/>
    <col outlineLevel="1" width="5" customWidth="1" min="140" max="140"/>
    <col outlineLevel="1" width="5" customWidth="1" min="141" max="141"/>
    <col width="14.14" customWidth="1" min="142" max="142"/>
    <col outlineLevel="1" width="5" customWidth="1" min="143" max="143"/>
    <col outlineLevel="1" width="5" customWidth="1" min="144" max="144"/>
    <col outlineLevel="1" width="5" customWidth="1" min="145" max="145"/>
    <col outlineLevel="1" width="5" customWidth="1" min="146" max="146"/>
    <col outlineLevel="1" width="5" customWidth="1" min="147" max="147"/>
    <col outlineLevel="1" width="5" customWidth="1" min="148" max="148"/>
    <col outlineLevel="1" width="5" customWidth="1" min="149" max="149"/>
    <col outlineLevel="1" width="5" customWidth="1" min="150" max="150"/>
    <col outlineLevel="1" width="5" customWidth="1" min="151" max="151"/>
    <col outlineLevel="1" width="5" customWidth="1" min="152" max="152"/>
    <col outlineLevel="1" width="5" customWidth="1" min="153" max="153"/>
    <col outlineLevel="1" width="5" customWidth="1" min="154" max="154"/>
    <col outlineLevel="1" width="5" customWidth="1" min="155" max="155"/>
    <col outlineLevel="1" width="5" customWidth="1" min="156" max="156"/>
    <col outlineLevel="1" width="5" customWidth="1" min="157" max="157"/>
    <col outlineLevel="1" width="5" customWidth="1" min="158" max="158"/>
    <col width="14.14" customWidth="1" min="159" max="159"/>
    <col outlineLevel="1" width="5" customWidth="1" min="160" max="160"/>
    <col outlineLevel="1" width="5" customWidth="1" min="161" max="161"/>
    <col outlineLevel="1" width="5" customWidth="1" min="162" max="162"/>
    <col outlineLevel="1" width="5" customWidth="1" min="163" max="163"/>
    <col outlineLevel="1" width="5" customWidth="1" min="164" max="164"/>
    <col outlineLevel="1" width="5" customWidth="1" min="165" max="165"/>
    <col outlineLevel="1" width="5" customWidth="1" min="166" max="166"/>
    <col outlineLevel="1" width="5" customWidth="1" min="167" max="167"/>
    <col outlineLevel="1" width="5" customWidth="1" min="168" max="168"/>
    <col outlineLevel="1" width="5" customWidth="1" min="169" max="169"/>
    <col outlineLevel="1" width="5" customWidth="1" min="170" max="170"/>
    <col outlineLevel="1" width="5" customWidth="1" min="171" max="171"/>
    <col outlineLevel="1" width="5" customWidth="1" min="172" max="172"/>
    <col outlineLevel="1" width="5" customWidth="1" min="173" max="173"/>
    <col outlineLevel="1" width="5" customWidth="1" min="174" max="174"/>
    <col outlineLevel="1" width="5" customWidth="1" min="175" max="175"/>
    <col width="14.14" customWidth="1" min="176" max="176"/>
    <col outlineLevel="1" width="5" customWidth="1" min="177" max="177"/>
    <col outlineLevel="1" width="5" customWidth="1" min="178" max="178"/>
    <col outlineLevel="1" width="5" customWidth="1" min="179" max="179"/>
    <col outlineLevel="1" width="5" customWidth="1" min="180" max="180"/>
    <col outlineLevel="1" width="5" customWidth="1" min="181" max="181"/>
    <col outlineLevel="1" width="5" customWidth="1" min="182" max="182"/>
    <col outlineLevel="1" width="5" customWidth="1" min="183" max="183"/>
    <col outlineLevel="1" width="5" customWidth="1" min="184" max="184"/>
    <col outlineLevel="1" width="5" customWidth="1" min="185" max="185"/>
    <col outlineLevel="1" width="5" customWidth="1" min="186" max="186"/>
    <col outlineLevel="1" width="5" customWidth="1" min="187" max="187"/>
    <col outlineLevel="1" width="5" customWidth="1" min="188" max="188"/>
    <col outlineLevel="1" width="5" customWidth="1" min="189" max="189"/>
    <col outlineLevel="1" width="5" customWidth="1" min="190" max="190"/>
    <col outlineLevel="1" width="5" customWidth="1" min="191" max="191"/>
    <col outlineLevel="1" width="5" customWidth="1" min="192" max="192"/>
    <col width="14.14" customWidth="1" min="193" max="193"/>
    <col outlineLevel="1" width="5" customWidth="1" min="194" max="194"/>
    <col outlineLevel="1" width="5" customWidth="1" min="195" max="195"/>
    <col outlineLevel="1" width="5" customWidth="1" min="196" max="196"/>
    <col outlineLevel="1" width="5" customWidth="1" min="197" max="197"/>
    <col outlineLevel="1" width="5" customWidth="1" min="198" max="198"/>
    <col outlineLevel="1" width="5" customWidth="1" min="199" max="199"/>
    <col outlineLevel="1" width="5" customWidth="1" min="200" max="200"/>
    <col outlineLevel="1" width="5" customWidth="1" min="201" max="201"/>
    <col outlineLevel="1" width="5" customWidth="1" min="202" max="202"/>
    <col outlineLevel="1" width="5" customWidth="1" min="203" max="203"/>
    <col outlineLevel="1" width="5" customWidth="1" min="204" max="204"/>
    <col outlineLevel="1" width="5" customWidth="1" min="205" max="205"/>
    <col outlineLevel="1" width="5" customWidth="1" min="206" max="206"/>
    <col outlineLevel="1" width="5" customWidth="1" min="207" max="207"/>
    <col outlineLevel="1" width="5" customWidth="1" min="208" max="208"/>
    <col outlineLevel="1" width="5" customWidth="1" min="209" max="209"/>
    <col width="14.14" customWidth="1" min="210" max="210"/>
    <col hidden="1" width="7.86" customWidth="1" min="211" max="211"/>
    <col hidden="1" width="7.86" customWidth="1" min="212" max="212"/>
    <col hidden="1" width="7.86" customWidth="1" min="213" max="213"/>
    <col hidden="1" width="7.86" customWidth="1" min="214" max="214"/>
    <col hidden="1" width="7.86" customWidth="1" min="215" max="215"/>
  </cols>
  <sheetData>
    <row r="1" ht="24" customHeight="1">
      <c r="A1" s="40" t="inlineStr">
        <is>
          <t>مجموعة 1</t>
        </is>
      </c>
      <c r="B1" s="4" t="n"/>
      <c r="C1" s="41" t="str">
        <f>"عدد الطلاب: "&amp;$HE$1&amp;CHAR(10)&amp;"الغياب والواجب الناقص: في آخر 8 حصص"</f>
        <v>عدد الطلاب: 1
الغياب والواجب الناقص: في آخر 8 حصص</v>
      </c>
      <c r="D1" s="42" t="n"/>
      <c r="E1" s="42" t="n"/>
      <c r="F1" s="43" t="n"/>
      <c r="G1" s="44" t="inlineStr">
        <is>
          <t>الشهر 1</t>
        </is>
      </c>
      <c r="H1" s="13" t="n"/>
      <c r="I1" s="13" t="n"/>
      <c r="J1" s="13" t="n"/>
      <c r="K1" s="13" t="n"/>
      <c r="L1" s="13" t="n"/>
      <c r="M1" s="13" t="n"/>
      <c r="N1" s="13" t="n"/>
      <c r="O1" s="13" t="n"/>
      <c r="P1" s="13" t="n"/>
      <c r="Q1" s="13" t="n"/>
      <c r="R1" s="13" t="n"/>
      <c r="S1" s="13" t="n"/>
      <c r="T1" s="13" t="n"/>
      <c r="U1" s="13" t="n"/>
      <c r="V1" s="13" t="n"/>
      <c r="W1" s="4" t="n"/>
      <c r="X1" s="45" t="inlineStr">
        <is>
          <t>الشهر 2</t>
        </is>
      </c>
      <c r="Y1" s="13" t="n"/>
      <c r="Z1" s="13" t="n"/>
      <c r="AA1" s="13" t="n"/>
      <c r="AB1" s="13" t="n"/>
      <c r="AC1" s="13" t="n"/>
      <c r="AD1" s="13" t="n"/>
      <c r="AE1" s="13" t="n"/>
      <c r="AF1" s="13" t="n"/>
      <c r="AG1" s="13" t="n"/>
      <c r="AH1" s="13" t="n"/>
      <c r="AI1" s="13" t="n"/>
      <c r="AJ1" s="13" t="n"/>
      <c r="AK1" s="13" t="n"/>
      <c r="AL1" s="13" t="n"/>
      <c r="AM1" s="13" t="n"/>
      <c r="AN1" s="4" t="n"/>
      <c r="AO1" s="46" t="inlineStr">
        <is>
          <t>الشهر 3</t>
        </is>
      </c>
      <c r="AP1" s="13" t="n"/>
      <c r="AQ1" s="13" t="n"/>
      <c r="AR1" s="13" t="n"/>
      <c r="AS1" s="13" t="n"/>
      <c r="AT1" s="13" t="n"/>
      <c r="AU1" s="13" t="n"/>
      <c r="AV1" s="13" t="n"/>
      <c r="AW1" s="13" t="n"/>
      <c r="AX1" s="13" t="n"/>
      <c r="AY1" s="13" t="n"/>
      <c r="AZ1" s="13" t="n"/>
      <c r="BA1" s="13" t="n"/>
      <c r="BB1" s="13" t="n"/>
      <c r="BC1" s="13" t="n"/>
      <c r="BD1" s="13" t="n"/>
      <c r="BE1" s="4" t="n"/>
      <c r="BF1" s="47" t="inlineStr">
        <is>
          <t>الشهر 4</t>
        </is>
      </c>
      <c r="BG1" s="13" t="n"/>
      <c r="BH1" s="13" t="n"/>
      <c r="BI1" s="13" t="n"/>
      <c r="BJ1" s="13" t="n"/>
      <c r="BK1" s="13" t="n"/>
      <c r="BL1" s="13" t="n"/>
      <c r="BM1" s="13" t="n"/>
      <c r="BN1" s="13" t="n"/>
      <c r="BO1" s="13" t="n"/>
      <c r="BP1" s="13" t="n"/>
      <c r="BQ1" s="13" t="n"/>
      <c r="BR1" s="13" t="n"/>
      <c r="BS1" s="13" t="n"/>
      <c r="BT1" s="13" t="n"/>
      <c r="BU1" s="13" t="n"/>
      <c r="BV1" s="4" t="n"/>
      <c r="BW1" s="48" t="inlineStr">
        <is>
          <t>الشهر 5</t>
        </is>
      </c>
      <c r="BX1" s="13" t="n"/>
      <c r="BY1" s="13" t="n"/>
      <c r="BZ1" s="13" t="n"/>
      <c r="CA1" s="13" t="n"/>
      <c r="CB1" s="13" t="n"/>
      <c r="CC1" s="13" t="n"/>
      <c r="CD1" s="13" t="n"/>
      <c r="CE1" s="13" t="n"/>
      <c r="CF1" s="13" t="n"/>
      <c r="CG1" s="13" t="n"/>
      <c r="CH1" s="13" t="n"/>
      <c r="CI1" s="13" t="n"/>
      <c r="CJ1" s="13" t="n"/>
      <c r="CK1" s="13" t="n"/>
      <c r="CL1" s="13" t="n"/>
      <c r="CM1" s="4" t="n"/>
      <c r="CN1" s="49" t="inlineStr">
        <is>
          <t>الشهر 6</t>
        </is>
      </c>
      <c r="CO1" s="13" t="n"/>
      <c r="CP1" s="13" t="n"/>
      <c r="CQ1" s="13" t="n"/>
      <c r="CR1" s="13" t="n"/>
      <c r="CS1" s="13" t="n"/>
      <c r="CT1" s="13" t="n"/>
      <c r="CU1" s="13" t="n"/>
      <c r="CV1" s="13" t="n"/>
      <c r="CW1" s="13" t="n"/>
      <c r="CX1" s="13" t="n"/>
      <c r="CY1" s="13" t="n"/>
      <c r="CZ1" s="13" t="n"/>
      <c r="DA1" s="13" t="n"/>
      <c r="DB1" s="13" t="n"/>
      <c r="DC1" s="13" t="n"/>
      <c r="DD1" s="4" t="n"/>
      <c r="DE1" s="50" t="inlineStr">
        <is>
          <t>الشهر 7</t>
        </is>
      </c>
      <c r="DF1" s="13" t="n"/>
      <c r="DG1" s="13" t="n"/>
      <c r="DH1" s="13" t="n"/>
      <c r="DI1" s="13" t="n"/>
      <c r="DJ1" s="13" t="n"/>
      <c r="DK1" s="13" t="n"/>
      <c r="DL1" s="13" t="n"/>
      <c r="DM1" s="13" t="n"/>
      <c r="DN1" s="13" t="n"/>
      <c r="DO1" s="13" t="n"/>
      <c r="DP1" s="13" t="n"/>
      <c r="DQ1" s="13" t="n"/>
      <c r="DR1" s="13" t="n"/>
      <c r="DS1" s="13" t="n"/>
      <c r="DT1" s="13" t="n"/>
      <c r="DU1" s="4" t="n"/>
      <c r="DV1" s="51" t="inlineStr">
        <is>
          <t>الشهر 8</t>
        </is>
      </c>
      <c r="DW1" s="13" t="n"/>
      <c r="DX1" s="13" t="n"/>
      <c r="DY1" s="13" t="n"/>
      <c r="DZ1" s="13" t="n"/>
      <c r="EA1" s="13" t="n"/>
      <c r="EB1" s="13" t="n"/>
      <c r="EC1" s="13" t="n"/>
      <c r="ED1" s="13" t="n"/>
      <c r="EE1" s="13" t="n"/>
      <c r="EF1" s="13" t="n"/>
      <c r="EG1" s="13" t="n"/>
      <c r="EH1" s="13" t="n"/>
      <c r="EI1" s="13" t="n"/>
      <c r="EJ1" s="13" t="n"/>
      <c r="EK1" s="13" t="n"/>
      <c r="EL1" s="4" t="n"/>
      <c r="EM1" s="52" t="inlineStr">
        <is>
          <t>الشهر 9</t>
        </is>
      </c>
      <c r="EN1" s="13" t="n"/>
      <c r="EO1" s="13" t="n"/>
      <c r="EP1" s="13" t="n"/>
      <c r="EQ1" s="13" t="n"/>
      <c r="ER1" s="13" t="n"/>
      <c r="ES1" s="13" t="n"/>
      <c r="ET1" s="13" t="n"/>
      <c r="EU1" s="13" t="n"/>
      <c r="EV1" s="13" t="n"/>
      <c r="EW1" s="13" t="n"/>
      <c r="EX1" s="13" t="n"/>
      <c r="EY1" s="13" t="n"/>
      <c r="EZ1" s="13" t="n"/>
      <c r="FA1" s="13" t="n"/>
      <c r="FB1" s="13" t="n"/>
      <c r="FC1" s="4" t="n"/>
      <c r="FD1" s="53" t="inlineStr">
        <is>
          <t>الشهر 10</t>
        </is>
      </c>
      <c r="FE1" s="13" t="n"/>
      <c r="FF1" s="13" t="n"/>
      <c r="FG1" s="13" t="n"/>
      <c r="FH1" s="13" t="n"/>
      <c r="FI1" s="13" t="n"/>
      <c r="FJ1" s="13" t="n"/>
      <c r="FK1" s="13" t="n"/>
      <c r="FL1" s="13" t="n"/>
      <c r="FM1" s="13" t="n"/>
      <c r="FN1" s="13" t="n"/>
      <c r="FO1" s="13" t="n"/>
      <c r="FP1" s="13" t="n"/>
      <c r="FQ1" s="13" t="n"/>
      <c r="FR1" s="13" t="n"/>
      <c r="FS1" s="13" t="n"/>
      <c r="FT1" s="4" t="n"/>
      <c r="FU1" s="54" t="inlineStr">
        <is>
          <t>الشهر 11</t>
        </is>
      </c>
      <c r="FV1" s="13" t="n"/>
      <c r="FW1" s="13" t="n"/>
      <c r="FX1" s="13" t="n"/>
      <c r="FY1" s="13" t="n"/>
      <c r="FZ1" s="13" t="n"/>
      <c r="GA1" s="13" t="n"/>
      <c r="GB1" s="13" t="n"/>
      <c r="GC1" s="13" t="n"/>
      <c r="GD1" s="13" t="n"/>
      <c r="GE1" s="13" t="n"/>
      <c r="GF1" s="13" t="n"/>
      <c r="GG1" s="13" t="n"/>
      <c r="GH1" s="13" t="n"/>
      <c r="GI1" s="13" t="n"/>
      <c r="GJ1" s="13" t="n"/>
      <c r="GK1" s="4" t="n"/>
      <c r="GL1" s="55" t="inlineStr">
        <is>
          <t>الشهر 12</t>
        </is>
      </c>
      <c r="GM1" s="13" t="n"/>
      <c r="GN1" s="13" t="n"/>
      <c r="GO1" s="13" t="n"/>
      <c r="GP1" s="13" t="n"/>
      <c r="GQ1" s="13" t="n"/>
      <c r="GR1" s="13" t="n"/>
      <c r="GS1" s="13" t="n"/>
      <c r="GT1" s="13" t="n"/>
      <c r="GU1" s="13" t="n"/>
      <c r="GV1" s="13" t="n"/>
      <c r="GW1" s="13" t="n"/>
      <c r="GX1" s="13" t="n"/>
      <c r="GY1" s="13" t="n"/>
      <c r="GZ1" s="13" t="n"/>
      <c r="HA1" s="13" t="n"/>
      <c r="HB1" s="4" t="n"/>
      <c r="HC1">
        <f>SUMPRODUCT(MAX(($G$4:$HB$4="ح")*($G$20:$HB$20&gt;0)*$G$47:$HB$47))</f>
        <v>0</v>
      </c>
      <c r="HD1">
        <f>IF(OR($F$27="",$F$27="الكل"),1,IFERROR(MATCH($F$27,'حسابات'!$F$2:$F$14,0)-1,1))</f>
        <v>1</v>
      </c>
      <c r="HE1">
        <f>SUMPRODUCT(--($B$5:$B$19&lt;&gt;""))</f>
        <v>1</v>
      </c>
      <c r="HF1">
        <f>IF($HE$3=0,"",8-$HE$3)</f>
        <v>1</v>
      </c>
      <c r="HG1">
        <f>'الرئيسية'!$H$27</f>
        <v>2</v>
      </c>
    </row>
    <row r="2" ht="16.5" customHeight="1">
      <c r="A2" s="56" t="str">
        <f>IF($HC$1=0,"لسه ما بدأتش",IF(INDEX($G$1:$HB$1,1,17*($HC$2-1)+1)="","شهر "&amp;$HC$2,INDEX($G$1:$HB$1,1,17*($HC$2-1)+1))&amp;" · حصة "&amp;$HC$3&amp;" من 8")</f>
        <v>لسه ما بدأتش</v>
      </c>
      <c r="B2" s="43" t="n"/>
      <c r="C2" s="57" t="n"/>
      <c r="F2" s="58" t="n"/>
      <c r="G2" s="59" t="inlineStr">
        <is>
          <t>حصة 1</t>
        </is>
      </c>
      <c r="H2" s="4" t="n"/>
      <c r="I2" s="59" t="inlineStr">
        <is>
          <t>حصة 2</t>
        </is>
      </c>
      <c r="J2" s="4" t="n"/>
      <c r="K2" s="59" t="inlineStr">
        <is>
          <t>حصة 3</t>
        </is>
      </c>
      <c r="L2" s="4" t="n"/>
      <c r="M2" s="59" t="inlineStr">
        <is>
          <t>حصة 4</t>
        </is>
      </c>
      <c r="N2" s="4" t="n"/>
      <c r="O2" s="59" t="inlineStr">
        <is>
          <t>حصة 5</t>
        </is>
      </c>
      <c r="P2" s="4" t="n"/>
      <c r="Q2" s="59" t="inlineStr">
        <is>
          <t>حصة 6</t>
        </is>
      </c>
      <c r="R2" s="4" t="n"/>
      <c r="S2" s="59" t="inlineStr">
        <is>
          <t>حصة 7</t>
        </is>
      </c>
      <c r="T2" s="4" t="n"/>
      <c r="U2" s="59" t="inlineStr">
        <is>
          <t>حصة 8</t>
        </is>
      </c>
      <c r="V2" s="4" t="n"/>
      <c r="W2" s="59" t="inlineStr">
        <is>
          <t>المصاريف</t>
        </is>
      </c>
      <c r="X2" s="60" t="inlineStr">
        <is>
          <t>حصة 1</t>
        </is>
      </c>
      <c r="Y2" s="4" t="n"/>
      <c r="Z2" s="60" t="inlineStr">
        <is>
          <t>حصة 2</t>
        </is>
      </c>
      <c r="AA2" s="4" t="n"/>
      <c r="AB2" s="60" t="inlineStr">
        <is>
          <t>حصة 3</t>
        </is>
      </c>
      <c r="AC2" s="4" t="n"/>
      <c r="AD2" s="60" t="inlineStr">
        <is>
          <t>حصة 4</t>
        </is>
      </c>
      <c r="AE2" s="4" t="n"/>
      <c r="AF2" s="60" t="inlineStr">
        <is>
          <t>حصة 5</t>
        </is>
      </c>
      <c r="AG2" s="4" t="n"/>
      <c r="AH2" s="60" t="inlineStr">
        <is>
          <t>حصة 6</t>
        </is>
      </c>
      <c r="AI2" s="4" t="n"/>
      <c r="AJ2" s="60" t="inlineStr">
        <is>
          <t>حصة 7</t>
        </is>
      </c>
      <c r="AK2" s="4" t="n"/>
      <c r="AL2" s="60" t="inlineStr">
        <is>
          <t>حصة 8</t>
        </is>
      </c>
      <c r="AM2" s="4" t="n"/>
      <c r="AN2" s="60" t="inlineStr">
        <is>
          <t>المصاريف</t>
        </is>
      </c>
      <c r="AO2" s="61" t="inlineStr">
        <is>
          <t>حصة 1</t>
        </is>
      </c>
      <c r="AP2" s="4" t="n"/>
      <c r="AQ2" s="61" t="inlineStr">
        <is>
          <t>حصة 2</t>
        </is>
      </c>
      <c r="AR2" s="4" t="n"/>
      <c r="AS2" s="61" t="inlineStr">
        <is>
          <t>حصة 3</t>
        </is>
      </c>
      <c r="AT2" s="4" t="n"/>
      <c r="AU2" s="61" t="inlineStr">
        <is>
          <t>حصة 4</t>
        </is>
      </c>
      <c r="AV2" s="4" t="n"/>
      <c r="AW2" s="61" t="inlineStr">
        <is>
          <t>حصة 5</t>
        </is>
      </c>
      <c r="AX2" s="4" t="n"/>
      <c r="AY2" s="61" t="inlineStr">
        <is>
          <t>حصة 6</t>
        </is>
      </c>
      <c r="AZ2" s="4" t="n"/>
      <c r="BA2" s="61" t="inlineStr">
        <is>
          <t>حصة 7</t>
        </is>
      </c>
      <c r="BB2" s="4" t="n"/>
      <c r="BC2" s="61" t="inlineStr">
        <is>
          <t>حصة 8</t>
        </is>
      </c>
      <c r="BD2" s="4" t="n"/>
      <c r="BE2" s="61" t="inlineStr">
        <is>
          <t>المصاريف</t>
        </is>
      </c>
      <c r="BF2" s="62" t="inlineStr">
        <is>
          <t>حصة 1</t>
        </is>
      </c>
      <c r="BG2" s="4" t="n"/>
      <c r="BH2" s="62" t="inlineStr">
        <is>
          <t>حصة 2</t>
        </is>
      </c>
      <c r="BI2" s="4" t="n"/>
      <c r="BJ2" s="62" t="inlineStr">
        <is>
          <t>حصة 3</t>
        </is>
      </c>
      <c r="BK2" s="4" t="n"/>
      <c r="BL2" s="62" t="inlineStr">
        <is>
          <t>حصة 4</t>
        </is>
      </c>
      <c r="BM2" s="4" t="n"/>
      <c r="BN2" s="62" t="inlineStr">
        <is>
          <t>حصة 5</t>
        </is>
      </c>
      <c r="BO2" s="4" t="n"/>
      <c r="BP2" s="62" t="inlineStr">
        <is>
          <t>حصة 6</t>
        </is>
      </c>
      <c r="BQ2" s="4" t="n"/>
      <c r="BR2" s="62" t="inlineStr">
        <is>
          <t>حصة 7</t>
        </is>
      </c>
      <c r="BS2" s="4" t="n"/>
      <c r="BT2" s="62" t="inlineStr">
        <is>
          <t>حصة 8</t>
        </is>
      </c>
      <c r="BU2" s="4" t="n"/>
      <c r="BV2" s="62" t="inlineStr">
        <is>
          <t>المصاريف</t>
        </is>
      </c>
      <c r="BW2" s="63" t="inlineStr">
        <is>
          <t>حصة 1</t>
        </is>
      </c>
      <c r="BX2" s="4" t="n"/>
      <c r="BY2" s="63" t="inlineStr">
        <is>
          <t>حصة 2</t>
        </is>
      </c>
      <c r="BZ2" s="4" t="n"/>
      <c r="CA2" s="63" t="inlineStr">
        <is>
          <t>حصة 3</t>
        </is>
      </c>
      <c r="CB2" s="4" t="n"/>
      <c r="CC2" s="63" t="inlineStr">
        <is>
          <t>حصة 4</t>
        </is>
      </c>
      <c r="CD2" s="4" t="n"/>
      <c r="CE2" s="63" t="inlineStr">
        <is>
          <t>حصة 5</t>
        </is>
      </c>
      <c r="CF2" s="4" t="n"/>
      <c r="CG2" s="63" t="inlineStr">
        <is>
          <t>حصة 6</t>
        </is>
      </c>
      <c r="CH2" s="4" t="n"/>
      <c r="CI2" s="63" t="inlineStr">
        <is>
          <t>حصة 7</t>
        </is>
      </c>
      <c r="CJ2" s="4" t="n"/>
      <c r="CK2" s="63" t="inlineStr">
        <is>
          <t>حصة 8</t>
        </is>
      </c>
      <c r="CL2" s="4" t="n"/>
      <c r="CM2" s="63" t="inlineStr">
        <is>
          <t>المصاريف</t>
        </is>
      </c>
      <c r="CN2" s="64" t="inlineStr">
        <is>
          <t>حصة 1</t>
        </is>
      </c>
      <c r="CO2" s="4" t="n"/>
      <c r="CP2" s="64" t="inlineStr">
        <is>
          <t>حصة 2</t>
        </is>
      </c>
      <c r="CQ2" s="4" t="n"/>
      <c r="CR2" s="64" t="inlineStr">
        <is>
          <t>حصة 3</t>
        </is>
      </c>
      <c r="CS2" s="4" t="n"/>
      <c r="CT2" s="64" t="inlineStr">
        <is>
          <t>حصة 4</t>
        </is>
      </c>
      <c r="CU2" s="4" t="n"/>
      <c r="CV2" s="64" t="inlineStr">
        <is>
          <t>حصة 5</t>
        </is>
      </c>
      <c r="CW2" s="4" t="n"/>
      <c r="CX2" s="64" t="inlineStr">
        <is>
          <t>حصة 6</t>
        </is>
      </c>
      <c r="CY2" s="4" t="n"/>
      <c r="CZ2" s="64" t="inlineStr">
        <is>
          <t>حصة 7</t>
        </is>
      </c>
      <c r="DA2" s="4" t="n"/>
      <c r="DB2" s="64" t="inlineStr">
        <is>
          <t>حصة 8</t>
        </is>
      </c>
      <c r="DC2" s="4" t="n"/>
      <c r="DD2" s="64" t="inlineStr">
        <is>
          <t>المصاريف</t>
        </is>
      </c>
      <c r="DE2" s="65" t="inlineStr">
        <is>
          <t>حصة 1</t>
        </is>
      </c>
      <c r="DF2" s="4" t="n"/>
      <c r="DG2" s="65" t="inlineStr">
        <is>
          <t>حصة 2</t>
        </is>
      </c>
      <c r="DH2" s="4" t="n"/>
      <c r="DI2" s="65" t="inlineStr">
        <is>
          <t>حصة 3</t>
        </is>
      </c>
      <c r="DJ2" s="4" t="n"/>
      <c r="DK2" s="65" t="inlineStr">
        <is>
          <t>حصة 4</t>
        </is>
      </c>
      <c r="DL2" s="4" t="n"/>
      <c r="DM2" s="65" t="inlineStr">
        <is>
          <t>حصة 5</t>
        </is>
      </c>
      <c r="DN2" s="4" t="n"/>
      <c r="DO2" s="65" t="inlineStr">
        <is>
          <t>حصة 6</t>
        </is>
      </c>
      <c r="DP2" s="4" t="n"/>
      <c r="DQ2" s="65" t="inlineStr">
        <is>
          <t>حصة 7</t>
        </is>
      </c>
      <c r="DR2" s="4" t="n"/>
      <c r="DS2" s="65" t="inlineStr">
        <is>
          <t>حصة 8</t>
        </is>
      </c>
      <c r="DT2" s="4" t="n"/>
      <c r="DU2" s="65" t="inlineStr">
        <is>
          <t>المصاريف</t>
        </is>
      </c>
      <c r="DV2" s="66" t="inlineStr">
        <is>
          <t>حصة 1</t>
        </is>
      </c>
      <c r="DW2" s="4" t="n"/>
      <c r="DX2" s="66" t="inlineStr">
        <is>
          <t>حصة 2</t>
        </is>
      </c>
      <c r="DY2" s="4" t="n"/>
      <c r="DZ2" s="66" t="inlineStr">
        <is>
          <t>حصة 3</t>
        </is>
      </c>
      <c r="EA2" s="4" t="n"/>
      <c r="EB2" s="66" t="inlineStr">
        <is>
          <t>حصة 4</t>
        </is>
      </c>
      <c r="EC2" s="4" t="n"/>
      <c r="ED2" s="66" t="inlineStr">
        <is>
          <t>حصة 5</t>
        </is>
      </c>
      <c r="EE2" s="4" t="n"/>
      <c r="EF2" s="66" t="inlineStr">
        <is>
          <t>حصة 6</t>
        </is>
      </c>
      <c r="EG2" s="4" t="n"/>
      <c r="EH2" s="66" t="inlineStr">
        <is>
          <t>حصة 7</t>
        </is>
      </c>
      <c r="EI2" s="4" t="n"/>
      <c r="EJ2" s="66" t="inlineStr">
        <is>
          <t>حصة 8</t>
        </is>
      </c>
      <c r="EK2" s="4" t="n"/>
      <c r="EL2" s="66" t="inlineStr">
        <is>
          <t>المصاريف</t>
        </is>
      </c>
      <c r="EM2" s="67" t="inlineStr">
        <is>
          <t>حصة 1</t>
        </is>
      </c>
      <c r="EN2" s="4" t="n"/>
      <c r="EO2" s="67" t="inlineStr">
        <is>
          <t>حصة 2</t>
        </is>
      </c>
      <c r="EP2" s="4" t="n"/>
      <c r="EQ2" s="67" t="inlineStr">
        <is>
          <t>حصة 3</t>
        </is>
      </c>
      <c r="ER2" s="4" t="n"/>
      <c r="ES2" s="67" t="inlineStr">
        <is>
          <t>حصة 4</t>
        </is>
      </c>
      <c r="ET2" s="4" t="n"/>
      <c r="EU2" s="67" t="inlineStr">
        <is>
          <t>حصة 5</t>
        </is>
      </c>
      <c r="EV2" s="4" t="n"/>
      <c r="EW2" s="67" t="inlineStr">
        <is>
          <t>حصة 6</t>
        </is>
      </c>
      <c r="EX2" s="4" t="n"/>
      <c r="EY2" s="67" t="inlineStr">
        <is>
          <t>حصة 7</t>
        </is>
      </c>
      <c r="EZ2" s="4" t="n"/>
      <c r="FA2" s="67" t="inlineStr">
        <is>
          <t>حصة 8</t>
        </is>
      </c>
      <c r="FB2" s="4" t="n"/>
      <c r="FC2" s="67" t="inlineStr">
        <is>
          <t>المصاريف</t>
        </is>
      </c>
      <c r="FD2" s="68" t="inlineStr">
        <is>
          <t>حصة 1</t>
        </is>
      </c>
      <c r="FE2" s="4" t="n"/>
      <c r="FF2" s="68" t="inlineStr">
        <is>
          <t>حصة 2</t>
        </is>
      </c>
      <c r="FG2" s="4" t="n"/>
      <c r="FH2" s="68" t="inlineStr">
        <is>
          <t>حصة 3</t>
        </is>
      </c>
      <c r="FI2" s="4" t="n"/>
      <c r="FJ2" s="68" t="inlineStr">
        <is>
          <t>حصة 4</t>
        </is>
      </c>
      <c r="FK2" s="4" t="n"/>
      <c r="FL2" s="68" t="inlineStr">
        <is>
          <t>حصة 5</t>
        </is>
      </c>
      <c r="FM2" s="4" t="n"/>
      <c r="FN2" s="68" t="inlineStr">
        <is>
          <t>حصة 6</t>
        </is>
      </c>
      <c r="FO2" s="4" t="n"/>
      <c r="FP2" s="68" t="inlineStr">
        <is>
          <t>حصة 7</t>
        </is>
      </c>
      <c r="FQ2" s="4" t="n"/>
      <c r="FR2" s="68" t="inlineStr">
        <is>
          <t>حصة 8</t>
        </is>
      </c>
      <c r="FS2" s="4" t="n"/>
      <c r="FT2" s="68" t="inlineStr">
        <is>
          <t>المصاريف</t>
        </is>
      </c>
      <c r="FU2" s="69" t="inlineStr">
        <is>
          <t>حصة 1</t>
        </is>
      </c>
      <c r="FV2" s="4" t="n"/>
      <c r="FW2" s="69" t="inlineStr">
        <is>
          <t>حصة 2</t>
        </is>
      </c>
      <c r="FX2" s="4" t="n"/>
      <c r="FY2" s="69" t="inlineStr">
        <is>
          <t>حصة 3</t>
        </is>
      </c>
      <c r="FZ2" s="4" t="n"/>
      <c r="GA2" s="69" t="inlineStr">
        <is>
          <t>حصة 4</t>
        </is>
      </c>
      <c r="GB2" s="4" t="n"/>
      <c r="GC2" s="69" t="inlineStr">
        <is>
          <t>حصة 5</t>
        </is>
      </c>
      <c r="GD2" s="4" t="n"/>
      <c r="GE2" s="69" t="inlineStr">
        <is>
          <t>حصة 6</t>
        </is>
      </c>
      <c r="GF2" s="4" t="n"/>
      <c r="GG2" s="69" t="inlineStr">
        <is>
          <t>حصة 7</t>
        </is>
      </c>
      <c r="GH2" s="4" t="n"/>
      <c r="GI2" s="69" t="inlineStr">
        <is>
          <t>حصة 8</t>
        </is>
      </c>
      <c r="GJ2" s="4" t="n"/>
      <c r="GK2" s="69" t="inlineStr">
        <is>
          <t>المصاريف</t>
        </is>
      </c>
      <c r="GL2" s="70" t="inlineStr">
        <is>
          <t>حصة 1</t>
        </is>
      </c>
      <c r="GM2" s="4" t="n"/>
      <c r="GN2" s="70" t="inlineStr">
        <is>
          <t>حصة 2</t>
        </is>
      </c>
      <c r="GO2" s="4" t="n"/>
      <c r="GP2" s="70" t="inlineStr">
        <is>
          <t>حصة 3</t>
        </is>
      </c>
      <c r="GQ2" s="4" t="n"/>
      <c r="GR2" s="70" t="inlineStr">
        <is>
          <t>حصة 4</t>
        </is>
      </c>
      <c r="GS2" s="4" t="n"/>
      <c r="GT2" s="70" t="inlineStr">
        <is>
          <t>حصة 5</t>
        </is>
      </c>
      <c r="GU2" s="4" t="n"/>
      <c r="GV2" s="70" t="inlineStr">
        <is>
          <t>حصة 6</t>
        </is>
      </c>
      <c r="GW2" s="4" t="n"/>
      <c r="GX2" s="70" t="inlineStr">
        <is>
          <t>حصة 7</t>
        </is>
      </c>
      <c r="GY2" s="4" t="n"/>
      <c r="GZ2" s="70" t="inlineStr">
        <is>
          <t>حصة 8</t>
        </is>
      </c>
      <c r="HA2" s="4" t="n"/>
      <c r="HB2" s="70" t="inlineStr">
        <is>
          <t>المصاريف</t>
        </is>
      </c>
      <c r="HC2">
        <f>IF($HC$1=0,1,INT(($HC$1-1)/8)+1)</f>
        <v>1</v>
      </c>
      <c r="HD2">
        <f>IF(OR($F$27="",$F$27="الكل"),12,$HD$1)</f>
        <v>12</v>
      </c>
      <c r="HE2">
        <f>IF(SUMPRODUCT(($G$3:$HB$3=TODAY())*($G$20:$HB$20&gt;0))&gt;0,1,0)</f>
        <v>0</v>
      </c>
      <c r="HF2">
        <f>IF($HF$1="","",TODAY()+$HF$1)</f>
        <v>46298.0</v>
      </c>
    </row>
    <row r="3" ht="19.5" customHeight="1">
      <c r="A3" s="71" t="n"/>
      <c r="B3" s="72" t="n"/>
      <c r="C3" s="71" t="n"/>
      <c r="D3" s="73" t="n"/>
      <c r="E3" s="73" t="n"/>
      <c r="F3" s="72" t="n"/>
      <c r="G3" s="74" t="n"/>
      <c r="H3" s="4" t="n"/>
      <c r="I3" s="74" t="n"/>
      <c r="J3" s="4" t="n"/>
      <c r="K3" s="74" t="n"/>
      <c r="L3" s="4" t="n"/>
      <c r="M3" s="74" t="n"/>
      <c r="N3" s="4" t="n"/>
      <c r="O3" s="74" t="n"/>
      <c r="P3" s="4" t="n"/>
      <c r="Q3" s="74" t="n"/>
      <c r="R3" s="4" t="n"/>
      <c r="S3" s="74" t="n"/>
      <c r="T3" s="4" t="n"/>
      <c r="U3" s="74" t="n"/>
      <c r="V3" s="4" t="n"/>
      <c r="W3" s="75" t="n"/>
      <c r="X3" s="74" t="n"/>
      <c r="Y3" s="4" t="n"/>
      <c r="Z3" s="74" t="n"/>
      <c r="AA3" s="4" t="n"/>
      <c r="AB3" s="74" t="n"/>
      <c r="AC3" s="4" t="n"/>
      <c r="AD3" s="74" t="n"/>
      <c r="AE3" s="4" t="n"/>
      <c r="AF3" s="74" t="n"/>
      <c r="AG3" s="4" t="n"/>
      <c r="AH3" s="74" t="n"/>
      <c r="AI3" s="4" t="n"/>
      <c r="AJ3" s="74" t="n"/>
      <c r="AK3" s="4" t="n"/>
      <c r="AL3" s="74" t="n"/>
      <c r="AM3" s="4" t="n"/>
      <c r="AN3" s="75" t="n"/>
      <c r="AO3" s="74" t="n"/>
      <c r="AP3" s="4" t="n"/>
      <c r="AQ3" s="74" t="n"/>
      <c r="AR3" s="4" t="n"/>
      <c r="AS3" s="74" t="n"/>
      <c r="AT3" s="4" t="n"/>
      <c r="AU3" s="74" t="n"/>
      <c r="AV3" s="4" t="n"/>
      <c r="AW3" s="74" t="n"/>
      <c r="AX3" s="4" t="n"/>
      <c r="AY3" s="74" t="n"/>
      <c r="AZ3" s="4" t="n"/>
      <c r="BA3" s="74" t="n"/>
      <c r="BB3" s="4" t="n"/>
      <c r="BC3" s="74" t="n"/>
      <c r="BD3" s="4" t="n"/>
      <c r="BE3" s="75" t="n"/>
      <c r="BF3" s="74" t="n"/>
      <c r="BG3" s="4" t="n"/>
      <c r="BH3" s="74" t="n"/>
      <c r="BI3" s="4" t="n"/>
      <c r="BJ3" s="74" t="n"/>
      <c r="BK3" s="4" t="n"/>
      <c r="BL3" s="74" t="n"/>
      <c r="BM3" s="4" t="n"/>
      <c r="BN3" s="74" t="n"/>
      <c r="BO3" s="4" t="n"/>
      <c r="BP3" s="74" t="n"/>
      <c r="BQ3" s="4" t="n"/>
      <c r="BR3" s="74" t="n"/>
      <c r="BS3" s="4" t="n"/>
      <c r="BT3" s="74" t="n"/>
      <c r="BU3" s="4" t="n"/>
      <c r="BV3" s="75" t="n"/>
      <c r="BW3" s="74" t="n"/>
      <c r="BX3" s="4" t="n"/>
      <c r="BY3" s="74" t="n"/>
      <c r="BZ3" s="4" t="n"/>
      <c r="CA3" s="74" t="n"/>
      <c r="CB3" s="4" t="n"/>
      <c r="CC3" s="74" t="n"/>
      <c r="CD3" s="4" t="n"/>
      <c r="CE3" s="74" t="n"/>
      <c r="CF3" s="4" t="n"/>
      <c r="CG3" s="74" t="n"/>
      <c r="CH3" s="4" t="n"/>
      <c r="CI3" s="74" t="n"/>
      <c r="CJ3" s="4" t="n"/>
      <c r="CK3" s="74" t="n"/>
      <c r="CL3" s="4" t="n"/>
      <c r="CM3" s="75" t="n"/>
      <c r="CN3" s="74" t="n"/>
      <c r="CO3" s="4" t="n"/>
      <c r="CP3" s="74" t="n"/>
      <c r="CQ3" s="4" t="n"/>
      <c r="CR3" s="74" t="n"/>
      <c r="CS3" s="4" t="n"/>
      <c r="CT3" s="74" t="n"/>
      <c r="CU3" s="4" t="n"/>
      <c r="CV3" s="74" t="n"/>
      <c r="CW3" s="4" t="n"/>
      <c r="CX3" s="74" t="n"/>
      <c r="CY3" s="4" t="n"/>
      <c r="CZ3" s="74" t="n"/>
      <c r="DA3" s="4" t="n"/>
      <c r="DB3" s="74" t="n"/>
      <c r="DC3" s="4" t="n"/>
      <c r="DD3" s="75" t="n"/>
      <c r="DE3" s="74" t="n"/>
      <c r="DF3" s="4" t="n"/>
      <c r="DG3" s="74" t="n"/>
      <c r="DH3" s="4" t="n"/>
      <c r="DI3" s="74" t="n"/>
      <c r="DJ3" s="4" t="n"/>
      <c r="DK3" s="74" t="n"/>
      <c r="DL3" s="4" t="n"/>
      <c r="DM3" s="74" t="n"/>
      <c r="DN3" s="4" t="n"/>
      <c r="DO3" s="74" t="n"/>
      <c r="DP3" s="4" t="n"/>
      <c r="DQ3" s="74" t="n"/>
      <c r="DR3" s="4" t="n"/>
      <c r="DS3" s="74" t="n"/>
      <c r="DT3" s="4" t="n"/>
      <c r="DU3" s="75" t="n"/>
      <c r="DV3" s="74" t="n"/>
      <c r="DW3" s="4" t="n"/>
      <c r="DX3" s="74" t="n"/>
      <c r="DY3" s="4" t="n"/>
      <c r="DZ3" s="74" t="n"/>
      <c r="EA3" s="4" t="n"/>
      <c r="EB3" s="74" t="n"/>
      <c r="EC3" s="4" t="n"/>
      <c r="ED3" s="74" t="n"/>
      <c r="EE3" s="4" t="n"/>
      <c r="EF3" s="74" t="n"/>
      <c r="EG3" s="4" t="n"/>
      <c r="EH3" s="74" t="n"/>
      <c r="EI3" s="4" t="n"/>
      <c r="EJ3" s="74" t="n"/>
      <c r="EK3" s="4" t="n"/>
      <c r="EL3" s="75" t="n"/>
      <c r="EM3" s="74" t="n"/>
      <c r="EN3" s="4" t="n"/>
      <c r="EO3" s="74" t="n"/>
      <c r="EP3" s="4" t="n"/>
      <c r="EQ3" s="74" t="n"/>
      <c r="ER3" s="4" t="n"/>
      <c r="ES3" s="74" t="n"/>
      <c r="ET3" s="4" t="n"/>
      <c r="EU3" s="74" t="n"/>
      <c r="EV3" s="4" t="n"/>
      <c r="EW3" s="74" t="n"/>
      <c r="EX3" s="4" t="n"/>
      <c r="EY3" s="74" t="n"/>
      <c r="EZ3" s="4" t="n"/>
      <c r="FA3" s="74" t="n"/>
      <c r="FB3" s="4" t="n"/>
      <c r="FC3" s="75" t="n"/>
      <c r="FD3" s="74" t="n"/>
      <c r="FE3" s="4" t="n"/>
      <c r="FF3" s="74" t="n"/>
      <c r="FG3" s="4" t="n"/>
      <c r="FH3" s="74" t="n"/>
      <c r="FI3" s="4" t="n"/>
      <c r="FJ3" s="74" t="n"/>
      <c r="FK3" s="4" t="n"/>
      <c r="FL3" s="74" t="n"/>
      <c r="FM3" s="4" t="n"/>
      <c r="FN3" s="74" t="n"/>
      <c r="FO3" s="4" t="n"/>
      <c r="FP3" s="74" t="n"/>
      <c r="FQ3" s="4" t="n"/>
      <c r="FR3" s="74" t="n"/>
      <c r="FS3" s="4" t="n"/>
      <c r="FT3" s="75" t="n"/>
      <c r="FU3" s="74" t="n"/>
      <c r="FV3" s="4" t="n"/>
      <c r="FW3" s="74" t="n"/>
      <c r="FX3" s="4" t="n"/>
      <c r="FY3" s="74" t="n"/>
      <c r="FZ3" s="4" t="n"/>
      <c r="GA3" s="74" t="n"/>
      <c r="GB3" s="4" t="n"/>
      <c r="GC3" s="74" t="n"/>
      <c r="GD3" s="4" t="n"/>
      <c r="GE3" s="74" t="n"/>
      <c r="GF3" s="4" t="n"/>
      <c r="GG3" s="74" t="n"/>
      <c r="GH3" s="4" t="n"/>
      <c r="GI3" s="74" t="n"/>
      <c r="GJ3" s="4" t="n"/>
      <c r="GK3" s="75" t="n"/>
      <c r="GL3" s="74" t="n"/>
      <c r="GM3" s="4" t="n"/>
      <c r="GN3" s="74" t="n"/>
      <c r="GO3" s="4" t="n"/>
      <c r="GP3" s="74" t="n"/>
      <c r="GQ3" s="4" t="n"/>
      <c r="GR3" s="74" t="n"/>
      <c r="GS3" s="4" t="n"/>
      <c r="GT3" s="74" t="n"/>
      <c r="GU3" s="4" t="n"/>
      <c r="GV3" s="74" t="n"/>
      <c r="GW3" s="4" t="n"/>
      <c r="GX3" s="74" t="n"/>
      <c r="GY3" s="4" t="n"/>
      <c r="GZ3" s="74" t="n"/>
      <c r="HA3" s="4" t="n"/>
      <c r="HB3" s="75" t="n"/>
      <c r="HC3">
        <f>$HC$1-8*($HC$2-1)</f>
        <v>0</v>
      </c>
      <c r="HE3">
        <f>IF($A$1="",0,IF($HE$2=1,SUMPRODUCT(MAX(('المواعيد'!$D$5:$D$34=$A$1)*(8-'المواعيد'!$L$5:$L$34))),SUMPRODUCT(MAX(('المواعيد'!$D$5:$D$34=$A$1)*(8-'المواعيد'!$K$5:$K$34)))))</f>
        <v>7</v>
      </c>
      <c r="HF3">
        <f>IF($HF$1="",0,SUMPRODUCT(MAX(('المواعيد'!$D$5:$D$34=$A$1)*('المواعيد'!$G$5:$G$34=WEEKDAY($HF$2))*(ROW('المواعيد'!$D$5:$D$34)-4))))</f>
        <v>1</v>
      </c>
    </row>
    <row r="4" ht="16.5" customHeight="1">
      <c r="A4" s="76" t="inlineStr">
        <is>
          <t>م</t>
        </is>
      </c>
      <c r="B4" s="76" t="inlineStr">
        <is>
          <t>الاسم</t>
        </is>
      </c>
      <c r="C4" s="76" t="inlineStr">
        <is>
          <t>ولي الأمر</t>
        </is>
      </c>
      <c r="D4" s="76" t="inlineStr">
        <is>
          <t>غياب</t>
        </is>
      </c>
      <c r="E4" s="76" t="inlineStr">
        <is>
          <t>واجب</t>
        </is>
      </c>
      <c r="F4" s="76" t="inlineStr">
        <is>
          <t>المصاريف</t>
        </is>
      </c>
      <c r="G4" s="8" t="inlineStr">
        <is>
          <t>ح</t>
        </is>
      </c>
      <c r="H4" s="77" t="inlineStr">
        <is>
          <t>و</t>
        </is>
      </c>
      <c r="I4" s="8" t="inlineStr">
        <is>
          <t>ح</t>
        </is>
      </c>
      <c r="J4" s="77" t="inlineStr">
        <is>
          <t>و</t>
        </is>
      </c>
      <c r="K4" s="8" t="inlineStr">
        <is>
          <t>ح</t>
        </is>
      </c>
      <c r="L4" s="77" t="inlineStr">
        <is>
          <t>و</t>
        </is>
      </c>
      <c r="M4" s="8" t="inlineStr">
        <is>
          <t>ح</t>
        </is>
      </c>
      <c r="N4" s="77" t="inlineStr">
        <is>
          <t>و</t>
        </is>
      </c>
      <c r="O4" s="8" t="inlineStr">
        <is>
          <t>ح</t>
        </is>
      </c>
      <c r="P4" s="77" t="inlineStr">
        <is>
          <t>و</t>
        </is>
      </c>
      <c r="Q4" s="8" t="inlineStr">
        <is>
          <t>ح</t>
        </is>
      </c>
      <c r="R4" s="77" t="inlineStr">
        <is>
          <t>و</t>
        </is>
      </c>
      <c r="S4" s="8" t="inlineStr">
        <is>
          <t>ح</t>
        </is>
      </c>
      <c r="T4" s="77" t="inlineStr">
        <is>
          <t>و</t>
        </is>
      </c>
      <c r="U4" s="8" t="inlineStr">
        <is>
          <t>ح</t>
        </is>
      </c>
      <c r="V4" s="77" t="inlineStr">
        <is>
          <t>و</t>
        </is>
      </c>
      <c r="W4" s="77" t="inlineStr">
        <is>
          <t>دفع</t>
        </is>
      </c>
      <c r="X4" s="9" t="inlineStr">
        <is>
          <t>ح</t>
        </is>
      </c>
      <c r="Y4" s="78" t="inlineStr">
        <is>
          <t>و</t>
        </is>
      </c>
      <c r="Z4" s="9" t="inlineStr">
        <is>
          <t>ح</t>
        </is>
      </c>
      <c r="AA4" s="78" t="inlineStr">
        <is>
          <t>و</t>
        </is>
      </c>
      <c r="AB4" s="9" t="inlineStr">
        <is>
          <t>ح</t>
        </is>
      </c>
      <c r="AC4" s="78" t="inlineStr">
        <is>
          <t>و</t>
        </is>
      </c>
      <c r="AD4" s="9" t="inlineStr">
        <is>
          <t>ح</t>
        </is>
      </c>
      <c r="AE4" s="78" t="inlineStr">
        <is>
          <t>و</t>
        </is>
      </c>
      <c r="AF4" s="9" t="inlineStr">
        <is>
          <t>ح</t>
        </is>
      </c>
      <c r="AG4" s="78" t="inlineStr">
        <is>
          <t>و</t>
        </is>
      </c>
      <c r="AH4" s="9" t="inlineStr">
        <is>
          <t>ح</t>
        </is>
      </c>
      <c r="AI4" s="78" t="inlineStr">
        <is>
          <t>و</t>
        </is>
      </c>
      <c r="AJ4" s="9" t="inlineStr">
        <is>
          <t>ح</t>
        </is>
      </c>
      <c r="AK4" s="78" t="inlineStr">
        <is>
          <t>و</t>
        </is>
      </c>
      <c r="AL4" s="9" t="inlineStr">
        <is>
          <t>ح</t>
        </is>
      </c>
      <c r="AM4" s="78" t="inlineStr">
        <is>
          <t>و</t>
        </is>
      </c>
      <c r="AN4" s="78" t="inlineStr">
        <is>
          <t>دفع</t>
        </is>
      </c>
      <c r="AO4" s="10" t="inlineStr">
        <is>
          <t>ح</t>
        </is>
      </c>
      <c r="AP4" s="79" t="inlineStr">
        <is>
          <t>و</t>
        </is>
      </c>
      <c r="AQ4" s="10" t="inlineStr">
        <is>
          <t>ح</t>
        </is>
      </c>
      <c r="AR4" s="79" t="inlineStr">
        <is>
          <t>و</t>
        </is>
      </c>
      <c r="AS4" s="10" t="inlineStr">
        <is>
          <t>ح</t>
        </is>
      </c>
      <c r="AT4" s="79" t="inlineStr">
        <is>
          <t>و</t>
        </is>
      </c>
      <c r="AU4" s="10" t="inlineStr">
        <is>
          <t>ح</t>
        </is>
      </c>
      <c r="AV4" s="79" t="inlineStr">
        <is>
          <t>و</t>
        </is>
      </c>
      <c r="AW4" s="10" t="inlineStr">
        <is>
          <t>ح</t>
        </is>
      </c>
      <c r="AX4" s="79" t="inlineStr">
        <is>
          <t>و</t>
        </is>
      </c>
      <c r="AY4" s="10" t="inlineStr">
        <is>
          <t>ح</t>
        </is>
      </c>
      <c r="AZ4" s="79" t="inlineStr">
        <is>
          <t>و</t>
        </is>
      </c>
      <c r="BA4" s="10" t="inlineStr">
        <is>
          <t>ح</t>
        </is>
      </c>
      <c r="BB4" s="79" t="inlineStr">
        <is>
          <t>و</t>
        </is>
      </c>
      <c r="BC4" s="10" t="inlineStr">
        <is>
          <t>ح</t>
        </is>
      </c>
      <c r="BD4" s="79" t="inlineStr">
        <is>
          <t>و</t>
        </is>
      </c>
      <c r="BE4" s="79" t="inlineStr">
        <is>
          <t>دفع</t>
        </is>
      </c>
      <c r="BF4" s="11" t="inlineStr">
        <is>
          <t>ح</t>
        </is>
      </c>
      <c r="BG4" s="80" t="inlineStr">
        <is>
          <t>و</t>
        </is>
      </c>
      <c r="BH4" s="11" t="inlineStr">
        <is>
          <t>ح</t>
        </is>
      </c>
      <c r="BI4" s="80" t="inlineStr">
        <is>
          <t>و</t>
        </is>
      </c>
      <c r="BJ4" s="11" t="inlineStr">
        <is>
          <t>ح</t>
        </is>
      </c>
      <c r="BK4" s="80" t="inlineStr">
        <is>
          <t>و</t>
        </is>
      </c>
      <c r="BL4" s="11" t="inlineStr">
        <is>
          <t>ح</t>
        </is>
      </c>
      <c r="BM4" s="80" t="inlineStr">
        <is>
          <t>و</t>
        </is>
      </c>
      <c r="BN4" s="11" t="inlineStr">
        <is>
          <t>ح</t>
        </is>
      </c>
      <c r="BO4" s="80" t="inlineStr">
        <is>
          <t>و</t>
        </is>
      </c>
      <c r="BP4" s="11" t="inlineStr">
        <is>
          <t>ح</t>
        </is>
      </c>
      <c r="BQ4" s="80" t="inlineStr">
        <is>
          <t>و</t>
        </is>
      </c>
      <c r="BR4" s="11" t="inlineStr">
        <is>
          <t>ح</t>
        </is>
      </c>
      <c r="BS4" s="80" t="inlineStr">
        <is>
          <t>و</t>
        </is>
      </c>
      <c r="BT4" s="11" t="inlineStr">
        <is>
          <t>ح</t>
        </is>
      </c>
      <c r="BU4" s="80" t="inlineStr">
        <is>
          <t>و</t>
        </is>
      </c>
      <c r="BV4" s="80" t="inlineStr">
        <is>
          <t>دفع</t>
        </is>
      </c>
      <c r="BW4" s="81" t="inlineStr">
        <is>
          <t>ح</t>
        </is>
      </c>
      <c r="BX4" s="82" t="inlineStr">
        <is>
          <t>و</t>
        </is>
      </c>
      <c r="BY4" s="81" t="inlineStr">
        <is>
          <t>ح</t>
        </is>
      </c>
      <c r="BZ4" s="82" t="inlineStr">
        <is>
          <t>و</t>
        </is>
      </c>
      <c r="CA4" s="81" t="inlineStr">
        <is>
          <t>ح</t>
        </is>
      </c>
      <c r="CB4" s="82" t="inlineStr">
        <is>
          <t>و</t>
        </is>
      </c>
      <c r="CC4" s="81" t="inlineStr">
        <is>
          <t>ح</t>
        </is>
      </c>
      <c r="CD4" s="82" t="inlineStr">
        <is>
          <t>و</t>
        </is>
      </c>
      <c r="CE4" s="81" t="inlineStr">
        <is>
          <t>ح</t>
        </is>
      </c>
      <c r="CF4" s="82" t="inlineStr">
        <is>
          <t>و</t>
        </is>
      </c>
      <c r="CG4" s="81" t="inlineStr">
        <is>
          <t>ح</t>
        </is>
      </c>
      <c r="CH4" s="82" t="inlineStr">
        <is>
          <t>و</t>
        </is>
      </c>
      <c r="CI4" s="81" t="inlineStr">
        <is>
          <t>ح</t>
        </is>
      </c>
      <c r="CJ4" s="82" t="inlineStr">
        <is>
          <t>و</t>
        </is>
      </c>
      <c r="CK4" s="81" t="inlineStr">
        <is>
          <t>ح</t>
        </is>
      </c>
      <c r="CL4" s="82" t="inlineStr">
        <is>
          <t>و</t>
        </is>
      </c>
      <c r="CM4" s="82" t="inlineStr">
        <is>
          <t>دفع</t>
        </is>
      </c>
      <c r="CN4" s="83" t="inlineStr">
        <is>
          <t>ح</t>
        </is>
      </c>
      <c r="CO4" s="84" t="inlineStr">
        <is>
          <t>و</t>
        </is>
      </c>
      <c r="CP4" s="83" t="inlineStr">
        <is>
          <t>ح</t>
        </is>
      </c>
      <c r="CQ4" s="84" t="inlineStr">
        <is>
          <t>و</t>
        </is>
      </c>
      <c r="CR4" s="83" t="inlineStr">
        <is>
          <t>ح</t>
        </is>
      </c>
      <c r="CS4" s="84" t="inlineStr">
        <is>
          <t>و</t>
        </is>
      </c>
      <c r="CT4" s="83" t="inlineStr">
        <is>
          <t>ح</t>
        </is>
      </c>
      <c r="CU4" s="84" t="inlineStr">
        <is>
          <t>و</t>
        </is>
      </c>
      <c r="CV4" s="83" t="inlineStr">
        <is>
          <t>ح</t>
        </is>
      </c>
      <c r="CW4" s="84" t="inlineStr">
        <is>
          <t>و</t>
        </is>
      </c>
      <c r="CX4" s="83" t="inlineStr">
        <is>
          <t>ح</t>
        </is>
      </c>
      <c r="CY4" s="84" t="inlineStr">
        <is>
          <t>و</t>
        </is>
      </c>
      <c r="CZ4" s="83" t="inlineStr">
        <is>
          <t>ح</t>
        </is>
      </c>
      <c r="DA4" s="84" t="inlineStr">
        <is>
          <t>و</t>
        </is>
      </c>
      <c r="DB4" s="83" t="inlineStr">
        <is>
          <t>ح</t>
        </is>
      </c>
      <c r="DC4" s="84" t="inlineStr">
        <is>
          <t>و</t>
        </is>
      </c>
      <c r="DD4" s="84" t="inlineStr">
        <is>
          <t>دفع</t>
        </is>
      </c>
      <c r="DE4" s="85" t="inlineStr">
        <is>
          <t>ح</t>
        </is>
      </c>
      <c r="DF4" s="86" t="inlineStr">
        <is>
          <t>و</t>
        </is>
      </c>
      <c r="DG4" s="85" t="inlineStr">
        <is>
          <t>ح</t>
        </is>
      </c>
      <c r="DH4" s="86" t="inlineStr">
        <is>
          <t>و</t>
        </is>
      </c>
      <c r="DI4" s="85" t="inlineStr">
        <is>
          <t>ح</t>
        </is>
      </c>
      <c r="DJ4" s="86" t="inlineStr">
        <is>
          <t>و</t>
        </is>
      </c>
      <c r="DK4" s="85" t="inlineStr">
        <is>
          <t>ح</t>
        </is>
      </c>
      <c r="DL4" s="86" t="inlineStr">
        <is>
          <t>و</t>
        </is>
      </c>
      <c r="DM4" s="85" t="inlineStr">
        <is>
          <t>ح</t>
        </is>
      </c>
      <c r="DN4" s="86" t="inlineStr">
        <is>
          <t>و</t>
        </is>
      </c>
      <c r="DO4" s="85" t="inlineStr">
        <is>
          <t>ح</t>
        </is>
      </c>
      <c r="DP4" s="86" t="inlineStr">
        <is>
          <t>و</t>
        </is>
      </c>
      <c r="DQ4" s="85" t="inlineStr">
        <is>
          <t>ح</t>
        </is>
      </c>
      <c r="DR4" s="86" t="inlineStr">
        <is>
          <t>و</t>
        </is>
      </c>
      <c r="DS4" s="85" t="inlineStr">
        <is>
          <t>ح</t>
        </is>
      </c>
      <c r="DT4" s="86" t="inlineStr">
        <is>
          <t>و</t>
        </is>
      </c>
      <c r="DU4" s="86" t="inlineStr">
        <is>
          <t>دفع</t>
        </is>
      </c>
      <c r="DV4" s="87" t="inlineStr">
        <is>
          <t>ح</t>
        </is>
      </c>
      <c r="DW4" s="88" t="inlineStr">
        <is>
          <t>و</t>
        </is>
      </c>
      <c r="DX4" s="87" t="inlineStr">
        <is>
          <t>ح</t>
        </is>
      </c>
      <c r="DY4" s="88" t="inlineStr">
        <is>
          <t>و</t>
        </is>
      </c>
      <c r="DZ4" s="87" t="inlineStr">
        <is>
          <t>ح</t>
        </is>
      </c>
      <c r="EA4" s="88" t="inlineStr">
        <is>
          <t>و</t>
        </is>
      </c>
      <c r="EB4" s="87" t="inlineStr">
        <is>
          <t>ح</t>
        </is>
      </c>
      <c r="EC4" s="88" t="inlineStr">
        <is>
          <t>و</t>
        </is>
      </c>
      <c r="ED4" s="87" t="inlineStr">
        <is>
          <t>ح</t>
        </is>
      </c>
      <c r="EE4" s="88" t="inlineStr">
        <is>
          <t>و</t>
        </is>
      </c>
      <c r="EF4" s="87" t="inlineStr">
        <is>
          <t>ح</t>
        </is>
      </c>
      <c r="EG4" s="88" t="inlineStr">
        <is>
          <t>و</t>
        </is>
      </c>
      <c r="EH4" s="87" t="inlineStr">
        <is>
          <t>ح</t>
        </is>
      </c>
      <c r="EI4" s="88" t="inlineStr">
        <is>
          <t>و</t>
        </is>
      </c>
      <c r="EJ4" s="87" t="inlineStr">
        <is>
          <t>ح</t>
        </is>
      </c>
      <c r="EK4" s="88" t="inlineStr">
        <is>
          <t>و</t>
        </is>
      </c>
      <c r="EL4" s="88" t="inlineStr">
        <is>
          <t>دفع</t>
        </is>
      </c>
      <c r="EM4" s="89" t="inlineStr">
        <is>
          <t>ح</t>
        </is>
      </c>
      <c r="EN4" s="90" t="inlineStr">
        <is>
          <t>و</t>
        </is>
      </c>
      <c r="EO4" s="89" t="inlineStr">
        <is>
          <t>ح</t>
        </is>
      </c>
      <c r="EP4" s="90" t="inlineStr">
        <is>
          <t>و</t>
        </is>
      </c>
      <c r="EQ4" s="89" t="inlineStr">
        <is>
          <t>ح</t>
        </is>
      </c>
      <c r="ER4" s="90" t="inlineStr">
        <is>
          <t>و</t>
        </is>
      </c>
      <c r="ES4" s="89" t="inlineStr">
        <is>
          <t>ح</t>
        </is>
      </c>
      <c r="ET4" s="90" t="inlineStr">
        <is>
          <t>و</t>
        </is>
      </c>
      <c r="EU4" s="89" t="inlineStr">
        <is>
          <t>ح</t>
        </is>
      </c>
      <c r="EV4" s="90" t="inlineStr">
        <is>
          <t>و</t>
        </is>
      </c>
      <c r="EW4" s="89" t="inlineStr">
        <is>
          <t>ح</t>
        </is>
      </c>
      <c r="EX4" s="90" t="inlineStr">
        <is>
          <t>و</t>
        </is>
      </c>
      <c r="EY4" s="89" t="inlineStr">
        <is>
          <t>ح</t>
        </is>
      </c>
      <c r="EZ4" s="90" t="inlineStr">
        <is>
          <t>و</t>
        </is>
      </c>
      <c r="FA4" s="89" t="inlineStr">
        <is>
          <t>ح</t>
        </is>
      </c>
      <c r="FB4" s="90" t="inlineStr">
        <is>
          <t>و</t>
        </is>
      </c>
      <c r="FC4" s="90" t="inlineStr">
        <is>
          <t>دفع</t>
        </is>
      </c>
      <c r="FD4" s="91" t="inlineStr">
        <is>
          <t>ح</t>
        </is>
      </c>
      <c r="FE4" s="92" t="inlineStr">
        <is>
          <t>و</t>
        </is>
      </c>
      <c r="FF4" s="91" t="inlineStr">
        <is>
          <t>ح</t>
        </is>
      </c>
      <c r="FG4" s="92" t="inlineStr">
        <is>
          <t>و</t>
        </is>
      </c>
      <c r="FH4" s="91" t="inlineStr">
        <is>
          <t>ح</t>
        </is>
      </c>
      <c r="FI4" s="92" t="inlineStr">
        <is>
          <t>و</t>
        </is>
      </c>
      <c r="FJ4" s="91" t="inlineStr">
        <is>
          <t>ح</t>
        </is>
      </c>
      <c r="FK4" s="92" t="inlineStr">
        <is>
          <t>و</t>
        </is>
      </c>
      <c r="FL4" s="91" t="inlineStr">
        <is>
          <t>ح</t>
        </is>
      </c>
      <c r="FM4" s="92" t="inlineStr">
        <is>
          <t>و</t>
        </is>
      </c>
      <c r="FN4" s="91" t="inlineStr">
        <is>
          <t>ح</t>
        </is>
      </c>
      <c r="FO4" s="92" t="inlineStr">
        <is>
          <t>و</t>
        </is>
      </c>
      <c r="FP4" s="91" t="inlineStr">
        <is>
          <t>ح</t>
        </is>
      </c>
      <c r="FQ4" s="92" t="inlineStr">
        <is>
          <t>و</t>
        </is>
      </c>
      <c r="FR4" s="91" t="inlineStr">
        <is>
          <t>ح</t>
        </is>
      </c>
      <c r="FS4" s="92" t="inlineStr">
        <is>
          <t>و</t>
        </is>
      </c>
      <c r="FT4" s="92" t="inlineStr">
        <is>
          <t>دفع</t>
        </is>
      </c>
      <c r="FU4" s="93" t="inlineStr">
        <is>
          <t>ح</t>
        </is>
      </c>
      <c r="FV4" s="94" t="inlineStr">
        <is>
          <t>و</t>
        </is>
      </c>
      <c r="FW4" s="93" t="inlineStr">
        <is>
          <t>ح</t>
        </is>
      </c>
      <c r="FX4" s="94" t="inlineStr">
        <is>
          <t>و</t>
        </is>
      </c>
      <c r="FY4" s="93" t="inlineStr">
        <is>
          <t>ح</t>
        </is>
      </c>
      <c r="FZ4" s="94" t="inlineStr">
        <is>
          <t>و</t>
        </is>
      </c>
      <c r="GA4" s="93" t="inlineStr">
        <is>
          <t>ح</t>
        </is>
      </c>
      <c r="GB4" s="94" t="inlineStr">
        <is>
          <t>و</t>
        </is>
      </c>
      <c r="GC4" s="93" t="inlineStr">
        <is>
          <t>ح</t>
        </is>
      </c>
      <c r="GD4" s="94" t="inlineStr">
        <is>
          <t>و</t>
        </is>
      </c>
      <c r="GE4" s="93" t="inlineStr">
        <is>
          <t>ح</t>
        </is>
      </c>
      <c r="GF4" s="94" t="inlineStr">
        <is>
          <t>و</t>
        </is>
      </c>
      <c r="GG4" s="93" t="inlineStr">
        <is>
          <t>ح</t>
        </is>
      </c>
      <c r="GH4" s="94" t="inlineStr">
        <is>
          <t>و</t>
        </is>
      </c>
      <c r="GI4" s="93" t="inlineStr">
        <is>
          <t>ح</t>
        </is>
      </c>
      <c r="GJ4" s="94" t="inlineStr">
        <is>
          <t>و</t>
        </is>
      </c>
      <c r="GK4" s="94" t="inlineStr">
        <is>
          <t>دفع</t>
        </is>
      </c>
      <c r="GL4" s="95" t="inlineStr">
        <is>
          <t>ح</t>
        </is>
      </c>
      <c r="GM4" s="96" t="inlineStr">
        <is>
          <t>و</t>
        </is>
      </c>
      <c r="GN4" s="95" t="inlineStr">
        <is>
          <t>ح</t>
        </is>
      </c>
      <c r="GO4" s="96" t="inlineStr">
        <is>
          <t>و</t>
        </is>
      </c>
      <c r="GP4" s="95" t="inlineStr">
        <is>
          <t>ح</t>
        </is>
      </c>
      <c r="GQ4" s="96" t="inlineStr">
        <is>
          <t>و</t>
        </is>
      </c>
      <c r="GR4" s="95" t="inlineStr">
        <is>
          <t>ح</t>
        </is>
      </c>
      <c r="GS4" s="96" t="inlineStr">
        <is>
          <t>و</t>
        </is>
      </c>
      <c r="GT4" s="95" t="inlineStr">
        <is>
          <t>ح</t>
        </is>
      </c>
      <c r="GU4" s="96" t="inlineStr">
        <is>
          <t>و</t>
        </is>
      </c>
      <c r="GV4" s="95" t="inlineStr">
        <is>
          <t>ح</t>
        </is>
      </c>
      <c r="GW4" s="96" t="inlineStr">
        <is>
          <t>و</t>
        </is>
      </c>
      <c r="GX4" s="95" t="inlineStr">
        <is>
          <t>ح</t>
        </is>
      </c>
      <c r="GY4" s="96" t="inlineStr">
        <is>
          <t>و</t>
        </is>
      </c>
      <c r="GZ4" s="95" t="inlineStr">
        <is>
          <t>ح</t>
        </is>
      </c>
      <c r="HA4" s="96" t="inlineStr">
        <is>
          <t>و</t>
        </is>
      </c>
      <c r="HB4" s="96" t="inlineStr">
        <is>
          <t>دفع</t>
        </is>
      </c>
      <c r="HF4" t="str">
        <f>IF($HF$1="","",IF($HF$1=0,"النهارده",IF($HF$1=1,"بكرة",INDEX('حسابات'!$A$2:$A$8,MATCH(WEEKDAY($HF$2),'حسابات'!$B$2:$B$8,0))))&amp;" "&amp;DAY($HF$2)&amp;"/"&amp;MONTH($HF$2)&amp;IF($HF$3=0,"",IF(INDEX('المواعيد'!$C$5:$C$34,$HF$3)="",""," – "&amp;INDEX('المواعيد'!$C$5:$C$34,$HF$3))))</f>
        <v>بكرة 3/10 – 5:00 م</v>
      </c>
    </row>
    <row r="5" ht="22.5" customHeight="1">
      <c r="A5" s="36" t="n">
        <v>1</v>
      </c>
      <c r="B5" s="97" t="inlineStr">
        <is>
          <t>مثال: أحمد محمد علي</t>
        </is>
      </c>
      <c r="C5" s="28" t="inlineStr">
        <is>
          <t>01001234567</t>
        </is>
      </c>
      <c r="D5" s="98" t="str">
        <f>IF($B5="","",IF($HC5=97,"-",IF($HD5=0,"متوقف",SUMPRODUCT(($G$4:$HB$4="ح")*($G$20:$HB$20&gt;0)*($G5:$HB5&lt;&gt;TRUE)*($G$47:$HB$47&gt;$HC$1-8)*($G$47:$HB$47&gt;=$HC5)))))</f>
        <v>-</v>
      </c>
      <c r="E5" s="98" t="str">
        <f>IF(OR($B5="",$HC5=97),"",SUMPRODUCT(($G$4:$HA$4="ح")*($G5:$HA5=TRUE)*($H5:$HB5&lt;&gt;TRUE)*($G$47:$HA$47&gt;$HC$1-8)))</f>
        <v/>
      </c>
      <c r="F5" s="99" t="str">
        <f>IF($B5="","",IF($HE5=0,IF($HC5=97,"-","تمام"),IF($HE5=1,IF(INDEX($G$1:$HB$1,1,17*($HF5-1)+1)="","شهر "&amp;$HF5,INDEX($G$1:$HB$1,1,17*($HF5-1)+1)),IF($HE5=2,"شهرين",$HE5&amp;" شهور"))))</f>
        <v>-</v>
      </c>
      <c r="G5" s="100" t="n"/>
      <c r="H5" s="101" t="n"/>
      <c r="I5" s="100" t="n"/>
      <c r="J5" s="101" t="n"/>
      <c r="K5" s="100" t="n"/>
      <c r="L5" s="101" t="n"/>
      <c r="M5" s="100" t="n"/>
      <c r="N5" s="101" t="n"/>
      <c r="O5" s="100" t="n"/>
      <c r="P5" s="101" t="n"/>
      <c r="Q5" s="100" t="n"/>
      <c r="R5" s="101" t="n"/>
      <c r="S5" s="100" t="n"/>
      <c r="T5" s="101" t="n"/>
      <c r="U5" s="100" t="n"/>
      <c r="V5" s="101" t="n"/>
      <c r="W5" s="102" t="n"/>
      <c r="X5" s="103" t="n"/>
      <c r="Y5" s="104" t="n"/>
      <c r="Z5" s="103" t="n"/>
      <c r="AA5" s="104" t="n"/>
      <c r="AB5" s="103" t="n"/>
      <c r="AC5" s="104" t="n"/>
      <c r="AD5" s="103" t="n"/>
      <c r="AE5" s="104" t="n"/>
      <c r="AF5" s="103" t="n"/>
      <c r="AG5" s="104" t="n"/>
      <c r="AH5" s="103" t="n"/>
      <c r="AI5" s="104" t="n"/>
      <c r="AJ5" s="103" t="n"/>
      <c r="AK5" s="104" t="n"/>
      <c r="AL5" s="103" t="n"/>
      <c r="AM5" s="104" t="n"/>
      <c r="AN5" s="105" t="n"/>
      <c r="AO5" s="106" t="n"/>
      <c r="AP5" s="107" t="n"/>
      <c r="AQ5" s="106" t="n"/>
      <c r="AR5" s="107" t="n"/>
      <c r="AS5" s="106" t="n"/>
      <c r="AT5" s="107" t="n"/>
      <c r="AU5" s="106" t="n"/>
      <c r="AV5" s="107" t="n"/>
      <c r="AW5" s="106" t="n"/>
      <c r="AX5" s="107" t="n"/>
      <c r="AY5" s="106" t="n"/>
      <c r="AZ5" s="107" t="n"/>
      <c r="BA5" s="106" t="n"/>
      <c r="BB5" s="107" t="n"/>
      <c r="BC5" s="106" t="n"/>
      <c r="BD5" s="107" t="n"/>
      <c r="BE5" s="108" t="n"/>
      <c r="BF5" s="109" t="n"/>
      <c r="BG5" s="110" t="n"/>
      <c r="BH5" s="109" t="n"/>
      <c r="BI5" s="110" t="n"/>
      <c r="BJ5" s="109" t="n"/>
      <c r="BK5" s="110" t="n"/>
      <c r="BL5" s="109" t="n"/>
      <c r="BM5" s="110" t="n"/>
      <c r="BN5" s="109" t="n"/>
      <c r="BO5" s="110" t="n"/>
      <c r="BP5" s="109" t="n"/>
      <c r="BQ5" s="110" t="n"/>
      <c r="BR5" s="109" t="n"/>
      <c r="BS5" s="110" t="n"/>
      <c r="BT5" s="109" t="n"/>
      <c r="BU5" s="110" t="n"/>
      <c r="BV5" s="111" t="n"/>
      <c r="BW5" s="112" t="n"/>
      <c r="BX5" s="113" t="n"/>
      <c r="BY5" s="112" t="n"/>
      <c r="BZ5" s="113" t="n"/>
      <c r="CA5" s="112" t="n"/>
      <c r="CB5" s="113" t="n"/>
      <c r="CC5" s="112" t="n"/>
      <c r="CD5" s="113" t="n"/>
      <c r="CE5" s="112" t="n"/>
      <c r="CF5" s="113" t="n"/>
      <c r="CG5" s="112" t="n"/>
      <c r="CH5" s="113" t="n"/>
      <c r="CI5" s="112" t="n"/>
      <c r="CJ5" s="113" t="n"/>
      <c r="CK5" s="112" t="n"/>
      <c r="CL5" s="113" t="n"/>
      <c r="CM5" s="114" t="n"/>
      <c r="CN5" s="115" t="n"/>
      <c r="CO5" s="116" t="n"/>
      <c r="CP5" s="115" t="n"/>
      <c r="CQ5" s="116" t="n"/>
      <c r="CR5" s="115" t="n"/>
      <c r="CS5" s="116" t="n"/>
      <c r="CT5" s="115" t="n"/>
      <c r="CU5" s="116" t="n"/>
      <c r="CV5" s="115" t="n"/>
      <c r="CW5" s="116" t="n"/>
      <c r="CX5" s="115" t="n"/>
      <c r="CY5" s="116" t="n"/>
      <c r="CZ5" s="115" t="n"/>
      <c r="DA5" s="116" t="n"/>
      <c r="DB5" s="115" t="n"/>
      <c r="DC5" s="116" t="n"/>
      <c r="DD5" s="117" t="n"/>
      <c r="DE5" s="118" t="n"/>
      <c r="DF5" s="119" t="n"/>
      <c r="DG5" s="118" t="n"/>
      <c r="DH5" s="119" t="n"/>
      <c r="DI5" s="118" t="n"/>
      <c r="DJ5" s="119" t="n"/>
      <c r="DK5" s="118" t="n"/>
      <c r="DL5" s="119" t="n"/>
      <c r="DM5" s="118" t="n"/>
      <c r="DN5" s="119" t="n"/>
      <c r="DO5" s="118" t="n"/>
      <c r="DP5" s="119" t="n"/>
      <c r="DQ5" s="118" t="n"/>
      <c r="DR5" s="119" t="n"/>
      <c r="DS5" s="118" t="n"/>
      <c r="DT5" s="119" t="n"/>
      <c r="DU5" s="120" t="n"/>
      <c r="DV5" s="121" t="n"/>
      <c r="DW5" s="122" t="n"/>
      <c r="DX5" s="121" t="n"/>
      <c r="DY5" s="122" t="n"/>
      <c r="DZ5" s="121" t="n"/>
      <c r="EA5" s="122" t="n"/>
      <c r="EB5" s="121" t="n"/>
      <c r="EC5" s="122" t="n"/>
      <c r="ED5" s="121" t="n"/>
      <c r="EE5" s="122" t="n"/>
      <c r="EF5" s="121" t="n"/>
      <c r="EG5" s="122" t="n"/>
      <c r="EH5" s="121" t="n"/>
      <c r="EI5" s="122" t="n"/>
      <c r="EJ5" s="121" t="n"/>
      <c r="EK5" s="122" t="n"/>
      <c r="EL5" s="123" t="n"/>
      <c r="EM5" s="124" t="n"/>
      <c r="EN5" s="125" t="n"/>
      <c r="EO5" s="124" t="n"/>
      <c r="EP5" s="125" t="n"/>
      <c r="EQ5" s="124" t="n"/>
      <c r="ER5" s="125" t="n"/>
      <c r="ES5" s="124" t="n"/>
      <c r="ET5" s="125" t="n"/>
      <c r="EU5" s="124" t="n"/>
      <c r="EV5" s="125" t="n"/>
      <c r="EW5" s="124" t="n"/>
      <c r="EX5" s="125" t="n"/>
      <c r="EY5" s="124" t="n"/>
      <c r="EZ5" s="125" t="n"/>
      <c r="FA5" s="124" t="n"/>
      <c r="FB5" s="125" t="n"/>
      <c r="FC5" s="126" t="n"/>
      <c r="FD5" s="127" t="n"/>
      <c r="FE5" s="128" t="n"/>
      <c r="FF5" s="127" t="n"/>
      <c r="FG5" s="128" t="n"/>
      <c r="FH5" s="127" t="n"/>
      <c r="FI5" s="128" t="n"/>
      <c r="FJ5" s="127" t="n"/>
      <c r="FK5" s="128" t="n"/>
      <c r="FL5" s="127" t="n"/>
      <c r="FM5" s="128" t="n"/>
      <c r="FN5" s="127" t="n"/>
      <c r="FO5" s="128" t="n"/>
      <c r="FP5" s="127" t="n"/>
      <c r="FQ5" s="128" t="n"/>
      <c r="FR5" s="127" t="n"/>
      <c r="FS5" s="128" t="n"/>
      <c r="FT5" s="129" t="n"/>
      <c r="FU5" s="130" t="n"/>
      <c r="FV5" s="131" t="n"/>
      <c r="FW5" s="130" t="n"/>
      <c r="FX5" s="131" t="n"/>
      <c r="FY5" s="130" t="n"/>
      <c r="FZ5" s="131" t="n"/>
      <c r="GA5" s="130" t="n"/>
      <c r="GB5" s="131" t="n"/>
      <c r="GC5" s="130" t="n"/>
      <c r="GD5" s="131" t="n"/>
      <c r="GE5" s="130" t="n"/>
      <c r="GF5" s="131" t="n"/>
      <c r="GG5" s="130" t="n"/>
      <c r="GH5" s="131" t="n"/>
      <c r="GI5" s="130" t="n"/>
      <c r="GJ5" s="131" t="n"/>
      <c r="GK5" s="132" t="n"/>
      <c r="GL5" s="133" t="n"/>
      <c r="GM5" s="134" t="n"/>
      <c r="GN5" s="133" t="n"/>
      <c r="GO5" s="134" t="n"/>
      <c r="GP5" s="133" t="n"/>
      <c r="GQ5" s="134" t="n"/>
      <c r="GR5" s="133" t="n"/>
      <c r="GS5" s="134" t="n"/>
      <c r="GT5" s="133" t="n"/>
      <c r="GU5" s="134" t="n"/>
      <c r="GV5" s="133" t="n"/>
      <c r="GW5" s="134" t="n"/>
      <c r="GX5" s="133" t="n"/>
      <c r="GY5" s="134" t="n"/>
      <c r="GZ5" s="133" t="n"/>
      <c r="HA5" s="134" t="n"/>
      <c r="HB5" s="135" t="n"/>
      <c r="HC5">
        <f>97-SUMPRODUCT(MAX(($G$4:$HB$4="ح")*($G5:$HB5=TRUE)*(97-$G$47:$HB$47)))</f>
        <v>97</v>
      </c>
      <c r="HD5">
        <f>SUMPRODUCT(($G$4:$HB$4="ح")*($G5:$HB5=TRUE)*($G$47:$HB$47&gt;$HC$1-8))</f>
        <v>0</v>
      </c>
      <c r="HE5">
        <f>(COUNTIF($G5:$V5,TRUE)&gt;0)*($W5&lt;&gt;TRUE)+(COUNTIF($X5:$AM5,TRUE)&gt;0)*($AN5&lt;&gt;TRUE)+(COUNTIF($AO5:$BD5,TRUE)&gt;0)*($BE5&lt;&gt;TRUE)+(COUNTIF($BF5:$BU5,TRUE)&gt;0)*($BV5&lt;&gt;TRUE)+(COUNTIF($BW5:$CL5,TRUE)&gt;0)*($CM5&lt;&gt;TRUE)+(COUNTIF($CN5:$DC5,TRUE)&gt;0)*($DD5&lt;&gt;TRUE)+(COUNTIF($DE5:$DT5,TRUE)&gt;0)*($DU5&lt;&gt;TRUE)+(COUNTIF($DV5:$EK5,TRUE)&gt;0)*($EL5&lt;&gt;TRUE)+(COUNTIF($EM5:$FB5,TRUE)&gt;0)*($FC5&lt;&gt;TRUE)+(COUNTIF($FD5:$FS5,TRUE)&gt;0)*($FT5&lt;&gt;TRUE)+(COUNTIF($FU5:$GJ5,TRUE)&gt;0)*($GK5&lt;&gt;TRUE)+(COUNTIF($GL5:$HA5,TRUE)&gt;0)*($HB5&lt;&gt;TRUE)</f>
        <v>0</v>
      </c>
      <c r="HF5">
        <f>IF($HE5=0,0,13-MAX((COUNTIF($G5:$V5,TRUE)&gt;0)*($W5&lt;&gt;TRUE)*12,(COUNTIF($X5:$AM5,TRUE)&gt;0)*($AN5&lt;&gt;TRUE)*11,(COUNTIF($AO5:$BD5,TRUE)&gt;0)*($BE5&lt;&gt;TRUE)*10,(COUNTIF($BF5:$BU5,TRUE)&gt;0)*($BV5&lt;&gt;TRUE)*9,(COUNTIF($BW5:$CL5,TRUE)&gt;0)*($CM5&lt;&gt;TRUE)*8,(COUNTIF($CN5:$DC5,TRUE)&gt;0)*($DD5&lt;&gt;TRUE)*7,(COUNTIF($DE5:$DT5,TRUE)&gt;0)*($DU5&lt;&gt;TRUE)*6,(COUNTIF($DV5:$EK5,TRUE)&gt;0)*($EL5&lt;&gt;TRUE)*5,(COUNTIF($EM5:$FB5,TRUE)&gt;0)*($FC5&lt;&gt;TRUE)*4,(COUNTIF($FD5:$FS5,TRUE)&gt;0)*($FT5&lt;&gt;TRUE)*3,(COUNTIF($FU5:$GJ5,TRUE)&gt;0)*($GK5&lt;&gt;TRUE)*2,(COUNTIF($GL5:$HA5,TRUE)&gt;0)*($HB5&lt;&gt;TRUE)*1))</f>
        <v>0</v>
      </c>
    </row>
    <row r="6" ht="22.5" customHeight="1">
      <c r="A6" s="36" t="n">
        <v>2</v>
      </c>
      <c r="B6" s="97" t="n"/>
      <c r="C6" s="28" t="n"/>
      <c r="D6" s="98" t="str">
        <f>IF($B6="","",IF($HC6=97,"-",IF($HD6=0,"متوقف",SUMPRODUCT(($G$4:$HB$4="ح")*($G$20:$HB$20&gt;0)*($G6:$HB6&lt;&gt;TRUE)*($G$47:$HB$47&gt;$HC$1-8)*($G$47:$HB$47&gt;=$HC6)))))</f>
        <v/>
      </c>
      <c r="E6" s="98" t="str">
        <f>IF(OR($B6="",$HC6=97),"",SUMPRODUCT(($G$4:$HA$4="ح")*($G6:$HA6=TRUE)*($H6:$HB6&lt;&gt;TRUE)*($G$47:$HA$47&gt;$HC$1-8)))</f>
        <v/>
      </c>
      <c r="F6" s="99" t="str">
        <f>IF($B6="","",IF($HE6=0,IF($HC6=97,"-","تمام"),IF($HE6=1,IF(INDEX($G$1:$HB$1,1,17*($HF6-1)+1)="","شهر "&amp;$HF6,INDEX($G$1:$HB$1,1,17*($HF6-1)+1)),IF($HE6=2,"شهرين",$HE6&amp;" شهور"))))</f>
        <v/>
      </c>
      <c r="G6" s="100" t="n"/>
      <c r="H6" s="101" t="n"/>
      <c r="I6" s="100" t="n"/>
      <c r="J6" s="101" t="n"/>
      <c r="K6" s="100" t="n"/>
      <c r="L6" s="101" t="n"/>
      <c r="M6" s="100" t="n"/>
      <c r="N6" s="101" t="n"/>
      <c r="O6" s="100" t="n"/>
      <c r="P6" s="101" t="n"/>
      <c r="Q6" s="100" t="n"/>
      <c r="R6" s="101" t="n"/>
      <c r="S6" s="100" t="n"/>
      <c r="T6" s="101" t="n"/>
      <c r="U6" s="100" t="n"/>
      <c r="V6" s="101" t="n"/>
      <c r="W6" s="102" t="n"/>
      <c r="X6" s="103" t="n"/>
      <c r="Y6" s="104" t="n"/>
      <c r="Z6" s="103" t="n"/>
      <c r="AA6" s="104" t="n"/>
      <c r="AB6" s="103" t="n"/>
      <c r="AC6" s="104" t="n"/>
      <c r="AD6" s="103" t="n"/>
      <c r="AE6" s="104" t="n"/>
      <c r="AF6" s="103" t="n"/>
      <c r="AG6" s="104" t="n"/>
      <c r="AH6" s="103" t="n"/>
      <c r="AI6" s="104" t="n"/>
      <c r="AJ6" s="103" t="n"/>
      <c r="AK6" s="104" t="n"/>
      <c r="AL6" s="103" t="n"/>
      <c r="AM6" s="104" t="n"/>
      <c r="AN6" s="105" t="n"/>
      <c r="AO6" s="106" t="n"/>
      <c r="AP6" s="107" t="n"/>
      <c r="AQ6" s="106" t="n"/>
      <c r="AR6" s="107" t="n"/>
      <c r="AS6" s="106" t="n"/>
      <c r="AT6" s="107" t="n"/>
      <c r="AU6" s="106" t="n"/>
      <c r="AV6" s="107" t="n"/>
      <c r="AW6" s="106" t="n"/>
      <c r="AX6" s="107" t="n"/>
      <c r="AY6" s="106" t="n"/>
      <c r="AZ6" s="107" t="n"/>
      <c r="BA6" s="106" t="n"/>
      <c r="BB6" s="107" t="n"/>
      <c r="BC6" s="106" t="n"/>
      <c r="BD6" s="107" t="n"/>
      <c r="BE6" s="108" t="n"/>
      <c r="BF6" s="109" t="n"/>
      <c r="BG6" s="110" t="n"/>
      <c r="BH6" s="109" t="n"/>
      <c r="BI6" s="110" t="n"/>
      <c r="BJ6" s="109" t="n"/>
      <c r="BK6" s="110" t="n"/>
      <c r="BL6" s="109" t="n"/>
      <c r="BM6" s="110" t="n"/>
      <c r="BN6" s="109" t="n"/>
      <c r="BO6" s="110" t="n"/>
      <c r="BP6" s="109" t="n"/>
      <c r="BQ6" s="110" t="n"/>
      <c r="BR6" s="109" t="n"/>
      <c r="BS6" s="110" t="n"/>
      <c r="BT6" s="109" t="n"/>
      <c r="BU6" s="110" t="n"/>
      <c r="BV6" s="111" t="n"/>
      <c r="BW6" s="112" t="n"/>
      <c r="BX6" s="113" t="n"/>
      <c r="BY6" s="112" t="n"/>
      <c r="BZ6" s="113" t="n"/>
      <c r="CA6" s="112" t="n"/>
      <c r="CB6" s="113" t="n"/>
      <c r="CC6" s="112" t="n"/>
      <c r="CD6" s="113" t="n"/>
      <c r="CE6" s="112" t="n"/>
      <c r="CF6" s="113" t="n"/>
      <c r="CG6" s="112" t="n"/>
      <c r="CH6" s="113" t="n"/>
      <c r="CI6" s="112" t="n"/>
      <c r="CJ6" s="113" t="n"/>
      <c r="CK6" s="112" t="n"/>
      <c r="CL6" s="113" t="n"/>
      <c r="CM6" s="114" t="n"/>
      <c r="CN6" s="115" t="n"/>
      <c r="CO6" s="116" t="n"/>
      <c r="CP6" s="115" t="n"/>
      <c r="CQ6" s="116" t="n"/>
      <c r="CR6" s="115" t="n"/>
      <c r="CS6" s="116" t="n"/>
      <c r="CT6" s="115" t="n"/>
      <c r="CU6" s="116" t="n"/>
      <c r="CV6" s="115" t="n"/>
      <c r="CW6" s="116" t="n"/>
      <c r="CX6" s="115" t="n"/>
      <c r="CY6" s="116" t="n"/>
      <c r="CZ6" s="115" t="n"/>
      <c r="DA6" s="116" t="n"/>
      <c r="DB6" s="115" t="n"/>
      <c r="DC6" s="116" t="n"/>
      <c r="DD6" s="117" t="n"/>
      <c r="DE6" s="118" t="n"/>
      <c r="DF6" s="119" t="n"/>
      <c r="DG6" s="118" t="n"/>
      <c r="DH6" s="119" t="n"/>
      <c r="DI6" s="118" t="n"/>
      <c r="DJ6" s="119" t="n"/>
      <c r="DK6" s="118" t="n"/>
      <c r="DL6" s="119" t="n"/>
      <c r="DM6" s="118" t="n"/>
      <c r="DN6" s="119" t="n"/>
      <c r="DO6" s="118" t="n"/>
      <c r="DP6" s="119" t="n"/>
      <c r="DQ6" s="118" t="n"/>
      <c r="DR6" s="119" t="n"/>
      <c r="DS6" s="118" t="n"/>
      <c r="DT6" s="119" t="n"/>
      <c r="DU6" s="120" t="n"/>
      <c r="DV6" s="121" t="n"/>
      <c r="DW6" s="122" t="n"/>
      <c r="DX6" s="121" t="n"/>
      <c r="DY6" s="122" t="n"/>
      <c r="DZ6" s="121" t="n"/>
      <c r="EA6" s="122" t="n"/>
      <c r="EB6" s="121" t="n"/>
      <c r="EC6" s="122" t="n"/>
      <c r="ED6" s="121" t="n"/>
      <c r="EE6" s="122" t="n"/>
      <c r="EF6" s="121" t="n"/>
      <c r="EG6" s="122" t="n"/>
      <c r="EH6" s="121" t="n"/>
      <c r="EI6" s="122" t="n"/>
      <c r="EJ6" s="121" t="n"/>
      <c r="EK6" s="122" t="n"/>
      <c r="EL6" s="123" t="n"/>
      <c r="EM6" s="124" t="n"/>
      <c r="EN6" s="125" t="n"/>
      <c r="EO6" s="124" t="n"/>
      <c r="EP6" s="125" t="n"/>
      <c r="EQ6" s="124" t="n"/>
      <c r="ER6" s="125" t="n"/>
      <c r="ES6" s="124" t="n"/>
      <c r="ET6" s="125" t="n"/>
      <c r="EU6" s="124" t="n"/>
      <c r="EV6" s="125" t="n"/>
      <c r="EW6" s="124" t="n"/>
      <c r="EX6" s="125" t="n"/>
      <c r="EY6" s="124" t="n"/>
      <c r="EZ6" s="125" t="n"/>
      <c r="FA6" s="124" t="n"/>
      <c r="FB6" s="125" t="n"/>
      <c r="FC6" s="126" t="n"/>
      <c r="FD6" s="127" t="n"/>
      <c r="FE6" s="128" t="n"/>
      <c r="FF6" s="127" t="n"/>
      <c r="FG6" s="128" t="n"/>
      <c r="FH6" s="127" t="n"/>
      <c r="FI6" s="128" t="n"/>
      <c r="FJ6" s="127" t="n"/>
      <c r="FK6" s="128" t="n"/>
      <c r="FL6" s="127" t="n"/>
      <c r="FM6" s="128" t="n"/>
      <c r="FN6" s="127" t="n"/>
      <c r="FO6" s="128" t="n"/>
      <c r="FP6" s="127" t="n"/>
      <c r="FQ6" s="128" t="n"/>
      <c r="FR6" s="127" t="n"/>
      <c r="FS6" s="128" t="n"/>
      <c r="FT6" s="129" t="n"/>
      <c r="FU6" s="130" t="n"/>
      <c r="FV6" s="131" t="n"/>
      <c r="FW6" s="130" t="n"/>
      <c r="FX6" s="131" t="n"/>
      <c r="FY6" s="130" t="n"/>
      <c r="FZ6" s="131" t="n"/>
      <c r="GA6" s="130" t="n"/>
      <c r="GB6" s="131" t="n"/>
      <c r="GC6" s="130" t="n"/>
      <c r="GD6" s="131" t="n"/>
      <c r="GE6" s="130" t="n"/>
      <c r="GF6" s="131" t="n"/>
      <c r="GG6" s="130" t="n"/>
      <c r="GH6" s="131" t="n"/>
      <c r="GI6" s="130" t="n"/>
      <c r="GJ6" s="131" t="n"/>
      <c r="GK6" s="132" t="n"/>
      <c r="GL6" s="133" t="n"/>
      <c r="GM6" s="134" t="n"/>
      <c r="GN6" s="133" t="n"/>
      <c r="GO6" s="134" t="n"/>
      <c r="GP6" s="133" t="n"/>
      <c r="GQ6" s="134" t="n"/>
      <c r="GR6" s="133" t="n"/>
      <c r="GS6" s="134" t="n"/>
      <c r="GT6" s="133" t="n"/>
      <c r="GU6" s="134" t="n"/>
      <c r="GV6" s="133" t="n"/>
      <c r="GW6" s="134" t="n"/>
      <c r="GX6" s="133" t="n"/>
      <c r="GY6" s="134" t="n"/>
      <c r="GZ6" s="133" t="n"/>
      <c r="HA6" s="134" t="n"/>
      <c r="HB6" s="135" t="n"/>
      <c r="HC6">
        <f>97-SUMPRODUCT(MAX(($G$4:$HB$4="ح")*($G6:$HB6=TRUE)*(97-$G$47:$HB$47)))</f>
        <v>97</v>
      </c>
      <c r="HD6">
        <f>SUMPRODUCT(($G$4:$HB$4="ح")*($G6:$HB6=TRUE)*($G$47:$HB$47&gt;$HC$1-8))</f>
        <v>0</v>
      </c>
      <c r="HE6">
        <f>(COUNTIF($G6:$V6,TRUE)&gt;0)*($W6&lt;&gt;TRUE)+(COUNTIF($X6:$AM6,TRUE)&gt;0)*($AN6&lt;&gt;TRUE)+(COUNTIF($AO6:$BD6,TRUE)&gt;0)*($BE6&lt;&gt;TRUE)+(COUNTIF($BF6:$BU6,TRUE)&gt;0)*($BV6&lt;&gt;TRUE)+(COUNTIF($BW6:$CL6,TRUE)&gt;0)*($CM6&lt;&gt;TRUE)+(COUNTIF($CN6:$DC6,TRUE)&gt;0)*($DD6&lt;&gt;TRUE)+(COUNTIF($DE6:$DT6,TRUE)&gt;0)*($DU6&lt;&gt;TRUE)+(COUNTIF($DV6:$EK6,TRUE)&gt;0)*($EL6&lt;&gt;TRUE)+(COUNTIF($EM6:$FB6,TRUE)&gt;0)*($FC6&lt;&gt;TRUE)+(COUNTIF($FD6:$FS6,TRUE)&gt;0)*($FT6&lt;&gt;TRUE)+(COUNTIF($FU6:$GJ6,TRUE)&gt;0)*($GK6&lt;&gt;TRUE)+(COUNTIF($GL6:$HA6,TRUE)&gt;0)*($HB6&lt;&gt;TRUE)</f>
        <v>0</v>
      </c>
      <c r="HF6">
        <f>IF($HE6=0,0,13-MAX((COUNTIF($G6:$V6,TRUE)&gt;0)*($W6&lt;&gt;TRUE)*12,(COUNTIF($X6:$AM6,TRUE)&gt;0)*($AN6&lt;&gt;TRUE)*11,(COUNTIF($AO6:$BD6,TRUE)&gt;0)*($BE6&lt;&gt;TRUE)*10,(COUNTIF($BF6:$BU6,TRUE)&gt;0)*($BV6&lt;&gt;TRUE)*9,(COUNTIF($BW6:$CL6,TRUE)&gt;0)*($CM6&lt;&gt;TRUE)*8,(COUNTIF($CN6:$DC6,TRUE)&gt;0)*($DD6&lt;&gt;TRUE)*7,(COUNTIF($DE6:$DT6,TRUE)&gt;0)*($DU6&lt;&gt;TRUE)*6,(COUNTIF($DV6:$EK6,TRUE)&gt;0)*($EL6&lt;&gt;TRUE)*5,(COUNTIF($EM6:$FB6,TRUE)&gt;0)*($FC6&lt;&gt;TRUE)*4,(COUNTIF($FD6:$FS6,TRUE)&gt;0)*($FT6&lt;&gt;TRUE)*3,(COUNTIF($FU6:$GJ6,TRUE)&gt;0)*($GK6&lt;&gt;TRUE)*2,(COUNTIF($GL6:$HA6,TRUE)&gt;0)*($HB6&lt;&gt;TRUE)*1))</f>
        <v>0</v>
      </c>
    </row>
    <row r="7" ht="22.5" customHeight="1">
      <c r="A7" s="36" t="n">
        <v>3</v>
      </c>
      <c r="B7" s="97" t="n"/>
      <c r="C7" s="28" t="n"/>
      <c r="D7" s="98" t="str">
        <f>IF($B7="","",IF($HC7=97,"-",IF($HD7=0,"متوقف",SUMPRODUCT(($G$4:$HB$4="ح")*($G$20:$HB$20&gt;0)*($G7:$HB7&lt;&gt;TRUE)*($G$47:$HB$47&gt;$HC$1-8)*($G$47:$HB$47&gt;=$HC7)))))</f>
        <v/>
      </c>
      <c r="E7" s="98" t="str">
        <f>IF(OR($B7="",$HC7=97),"",SUMPRODUCT(($G$4:$HA$4="ح")*($G7:$HA7=TRUE)*($H7:$HB7&lt;&gt;TRUE)*($G$47:$HA$47&gt;$HC$1-8)))</f>
        <v/>
      </c>
      <c r="F7" s="99" t="str">
        <f>IF($B7="","",IF($HE7=0,IF($HC7=97,"-","تمام"),IF($HE7=1,IF(INDEX($G$1:$HB$1,1,17*($HF7-1)+1)="","شهر "&amp;$HF7,INDEX($G$1:$HB$1,1,17*($HF7-1)+1)),IF($HE7=2,"شهرين",$HE7&amp;" شهور"))))</f>
        <v/>
      </c>
      <c r="G7" s="100" t="n"/>
      <c r="H7" s="101" t="n"/>
      <c r="I7" s="100" t="n"/>
      <c r="J7" s="101" t="n"/>
      <c r="K7" s="100" t="n"/>
      <c r="L7" s="101" t="n"/>
      <c r="M7" s="100" t="n"/>
      <c r="N7" s="101" t="n"/>
      <c r="O7" s="100" t="n"/>
      <c r="P7" s="101" t="n"/>
      <c r="Q7" s="100" t="n"/>
      <c r="R7" s="101" t="n"/>
      <c r="S7" s="100" t="n"/>
      <c r="T7" s="101" t="n"/>
      <c r="U7" s="100" t="n"/>
      <c r="V7" s="101" t="n"/>
      <c r="W7" s="102" t="n"/>
      <c r="X7" s="103" t="n"/>
      <c r="Y7" s="104" t="n"/>
      <c r="Z7" s="103" t="n"/>
      <c r="AA7" s="104" t="n"/>
      <c r="AB7" s="103" t="n"/>
      <c r="AC7" s="104" t="n"/>
      <c r="AD7" s="103" t="n"/>
      <c r="AE7" s="104" t="n"/>
      <c r="AF7" s="103" t="n"/>
      <c r="AG7" s="104" t="n"/>
      <c r="AH7" s="103" t="n"/>
      <c r="AI7" s="104" t="n"/>
      <c r="AJ7" s="103" t="n"/>
      <c r="AK7" s="104" t="n"/>
      <c r="AL7" s="103" t="n"/>
      <c r="AM7" s="104" t="n"/>
      <c r="AN7" s="105" t="n"/>
      <c r="AO7" s="106" t="n"/>
      <c r="AP7" s="107" t="n"/>
      <c r="AQ7" s="106" t="n"/>
      <c r="AR7" s="107" t="n"/>
      <c r="AS7" s="106" t="n"/>
      <c r="AT7" s="107" t="n"/>
      <c r="AU7" s="106" t="n"/>
      <c r="AV7" s="107" t="n"/>
      <c r="AW7" s="106" t="n"/>
      <c r="AX7" s="107" t="n"/>
      <c r="AY7" s="106" t="n"/>
      <c r="AZ7" s="107" t="n"/>
      <c r="BA7" s="106" t="n"/>
      <c r="BB7" s="107" t="n"/>
      <c r="BC7" s="106" t="n"/>
      <c r="BD7" s="107" t="n"/>
      <c r="BE7" s="108" t="n"/>
      <c r="BF7" s="109" t="n"/>
      <c r="BG7" s="110" t="n"/>
      <c r="BH7" s="109" t="n"/>
      <c r="BI7" s="110" t="n"/>
      <c r="BJ7" s="109" t="n"/>
      <c r="BK7" s="110" t="n"/>
      <c r="BL7" s="109" t="n"/>
      <c r="BM7" s="110" t="n"/>
      <c r="BN7" s="109" t="n"/>
      <c r="BO7" s="110" t="n"/>
      <c r="BP7" s="109" t="n"/>
      <c r="BQ7" s="110" t="n"/>
      <c r="BR7" s="109" t="n"/>
      <c r="BS7" s="110" t="n"/>
      <c r="BT7" s="109" t="n"/>
      <c r="BU7" s="110" t="n"/>
      <c r="BV7" s="111" t="n"/>
      <c r="BW7" s="112" t="n"/>
      <c r="BX7" s="113" t="n"/>
      <c r="BY7" s="112" t="n"/>
      <c r="BZ7" s="113" t="n"/>
      <c r="CA7" s="112" t="n"/>
      <c r="CB7" s="113" t="n"/>
      <c r="CC7" s="112" t="n"/>
      <c r="CD7" s="113" t="n"/>
      <c r="CE7" s="112" t="n"/>
      <c r="CF7" s="113" t="n"/>
      <c r="CG7" s="112" t="n"/>
      <c r="CH7" s="113" t="n"/>
      <c r="CI7" s="112" t="n"/>
      <c r="CJ7" s="113" t="n"/>
      <c r="CK7" s="112" t="n"/>
      <c r="CL7" s="113" t="n"/>
      <c r="CM7" s="114" t="n"/>
      <c r="CN7" s="115" t="n"/>
      <c r="CO7" s="116" t="n"/>
      <c r="CP7" s="115" t="n"/>
      <c r="CQ7" s="116" t="n"/>
      <c r="CR7" s="115" t="n"/>
      <c r="CS7" s="116" t="n"/>
      <c r="CT7" s="115" t="n"/>
      <c r="CU7" s="116" t="n"/>
      <c r="CV7" s="115" t="n"/>
      <c r="CW7" s="116" t="n"/>
      <c r="CX7" s="115" t="n"/>
      <c r="CY7" s="116" t="n"/>
      <c r="CZ7" s="115" t="n"/>
      <c r="DA7" s="116" t="n"/>
      <c r="DB7" s="115" t="n"/>
      <c r="DC7" s="116" t="n"/>
      <c r="DD7" s="117" t="n"/>
      <c r="DE7" s="118" t="n"/>
      <c r="DF7" s="119" t="n"/>
      <c r="DG7" s="118" t="n"/>
      <c r="DH7" s="119" t="n"/>
      <c r="DI7" s="118" t="n"/>
      <c r="DJ7" s="119" t="n"/>
      <c r="DK7" s="118" t="n"/>
      <c r="DL7" s="119" t="n"/>
      <c r="DM7" s="118" t="n"/>
      <c r="DN7" s="119" t="n"/>
      <c r="DO7" s="118" t="n"/>
      <c r="DP7" s="119" t="n"/>
      <c r="DQ7" s="118" t="n"/>
      <c r="DR7" s="119" t="n"/>
      <c r="DS7" s="118" t="n"/>
      <c r="DT7" s="119" t="n"/>
      <c r="DU7" s="120" t="n"/>
      <c r="DV7" s="121" t="n"/>
      <c r="DW7" s="122" t="n"/>
      <c r="DX7" s="121" t="n"/>
      <c r="DY7" s="122" t="n"/>
      <c r="DZ7" s="121" t="n"/>
      <c r="EA7" s="122" t="n"/>
      <c r="EB7" s="121" t="n"/>
      <c r="EC7" s="122" t="n"/>
      <c r="ED7" s="121" t="n"/>
      <c r="EE7" s="122" t="n"/>
      <c r="EF7" s="121" t="n"/>
      <c r="EG7" s="122" t="n"/>
      <c r="EH7" s="121" t="n"/>
      <c r="EI7" s="122" t="n"/>
      <c r="EJ7" s="121" t="n"/>
      <c r="EK7" s="122" t="n"/>
      <c r="EL7" s="123" t="n"/>
      <c r="EM7" s="124" t="n"/>
      <c r="EN7" s="125" t="n"/>
      <c r="EO7" s="124" t="n"/>
      <c r="EP7" s="125" t="n"/>
      <c r="EQ7" s="124" t="n"/>
      <c r="ER7" s="125" t="n"/>
      <c r="ES7" s="124" t="n"/>
      <c r="ET7" s="125" t="n"/>
      <c r="EU7" s="124" t="n"/>
      <c r="EV7" s="125" t="n"/>
      <c r="EW7" s="124" t="n"/>
      <c r="EX7" s="125" t="n"/>
      <c r="EY7" s="124" t="n"/>
      <c r="EZ7" s="125" t="n"/>
      <c r="FA7" s="124" t="n"/>
      <c r="FB7" s="125" t="n"/>
      <c r="FC7" s="126" t="n"/>
      <c r="FD7" s="127" t="n"/>
      <c r="FE7" s="128" t="n"/>
      <c r="FF7" s="127" t="n"/>
      <c r="FG7" s="128" t="n"/>
      <c r="FH7" s="127" t="n"/>
      <c r="FI7" s="128" t="n"/>
      <c r="FJ7" s="127" t="n"/>
      <c r="FK7" s="128" t="n"/>
      <c r="FL7" s="127" t="n"/>
      <c r="FM7" s="128" t="n"/>
      <c r="FN7" s="127" t="n"/>
      <c r="FO7" s="128" t="n"/>
      <c r="FP7" s="127" t="n"/>
      <c r="FQ7" s="128" t="n"/>
      <c r="FR7" s="127" t="n"/>
      <c r="FS7" s="128" t="n"/>
      <c r="FT7" s="129" t="n"/>
      <c r="FU7" s="130" t="n"/>
      <c r="FV7" s="131" t="n"/>
      <c r="FW7" s="130" t="n"/>
      <c r="FX7" s="131" t="n"/>
      <c r="FY7" s="130" t="n"/>
      <c r="FZ7" s="131" t="n"/>
      <c r="GA7" s="130" t="n"/>
      <c r="GB7" s="131" t="n"/>
      <c r="GC7" s="130" t="n"/>
      <c r="GD7" s="131" t="n"/>
      <c r="GE7" s="130" t="n"/>
      <c r="GF7" s="131" t="n"/>
      <c r="GG7" s="130" t="n"/>
      <c r="GH7" s="131" t="n"/>
      <c r="GI7" s="130" t="n"/>
      <c r="GJ7" s="131" t="n"/>
      <c r="GK7" s="132" t="n"/>
      <c r="GL7" s="133" t="n"/>
      <c r="GM7" s="134" t="n"/>
      <c r="GN7" s="133" t="n"/>
      <c r="GO7" s="134" t="n"/>
      <c r="GP7" s="133" t="n"/>
      <c r="GQ7" s="134" t="n"/>
      <c r="GR7" s="133" t="n"/>
      <c r="GS7" s="134" t="n"/>
      <c r="GT7" s="133" t="n"/>
      <c r="GU7" s="134" t="n"/>
      <c r="GV7" s="133" t="n"/>
      <c r="GW7" s="134" t="n"/>
      <c r="GX7" s="133" t="n"/>
      <c r="GY7" s="134" t="n"/>
      <c r="GZ7" s="133" t="n"/>
      <c r="HA7" s="134" t="n"/>
      <c r="HB7" s="135" t="n"/>
      <c r="HC7">
        <f>97-SUMPRODUCT(MAX(($G$4:$HB$4="ح")*($G7:$HB7=TRUE)*(97-$G$47:$HB$47)))</f>
        <v>97</v>
      </c>
      <c r="HD7">
        <f>SUMPRODUCT(($G$4:$HB$4="ح")*($G7:$HB7=TRUE)*($G$47:$HB$47&gt;$HC$1-8))</f>
        <v>0</v>
      </c>
      <c r="HE7">
        <f>(COUNTIF($G7:$V7,TRUE)&gt;0)*($W7&lt;&gt;TRUE)+(COUNTIF($X7:$AM7,TRUE)&gt;0)*($AN7&lt;&gt;TRUE)+(COUNTIF($AO7:$BD7,TRUE)&gt;0)*($BE7&lt;&gt;TRUE)+(COUNTIF($BF7:$BU7,TRUE)&gt;0)*($BV7&lt;&gt;TRUE)+(COUNTIF($BW7:$CL7,TRUE)&gt;0)*($CM7&lt;&gt;TRUE)+(COUNTIF($CN7:$DC7,TRUE)&gt;0)*($DD7&lt;&gt;TRUE)+(COUNTIF($DE7:$DT7,TRUE)&gt;0)*($DU7&lt;&gt;TRUE)+(COUNTIF($DV7:$EK7,TRUE)&gt;0)*($EL7&lt;&gt;TRUE)+(COUNTIF($EM7:$FB7,TRUE)&gt;0)*($FC7&lt;&gt;TRUE)+(COUNTIF($FD7:$FS7,TRUE)&gt;0)*($FT7&lt;&gt;TRUE)+(COUNTIF($FU7:$GJ7,TRUE)&gt;0)*($GK7&lt;&gt;TRUE)+(COUNTIF($GL7:$HA7,TRUE)&gt;0)*($HB7&lt;&gt;TRUE)</f>
        <v>0</v>
      </c>
      <c r="HF7">
        <f>IF($HE7=0,0,13-MAX((COUNTIF($G7:$V7,TRUE)&gt;0)*($W7&lt;&gt;TRUE)*12,(COUNTIF($X7:$AM7,TRUE)&gt;0)*($AN7&lt;&gt;TRUE)*11,(COUNTIF($AO7:$BD7,TRUE)&gt;0)*($BE7&lt;&gt;TRUE)*10,(COUNTIF($BF7:$BU7,TRUE)&gt;0)*($BV7&lt;&gt;TRUE)*9,(COUNTIF($BW7:$CL7,TRUE)&gt;0)*($CM7&lt;&gt;TRUE)*8,(COUNTIF($CN7:$DC7,TRUE)&gt;0)*($DD7&lt;&gt;TRUE)*7,(COUNTIF($DE7:$DT7,TRUE)&gt;0)*($DU7&lt;&gt;TRUE)*6,(COUNTIF($DV7:$EK7,TRUE)&gt;0)*($EL7&lt;&gt;TRUE)*5,(COUNTIF($EM7:$FB7,TRUE)&gt;0)*($FC7&lt;&gt;TRUE)*4,(COUNTIF($FD7:$FS7,TRUE)&gt;0)*($FT7&lt;&gt;TRUE)*3,(COUNTIF($FU7:$GJ7,TRUE)&gt;0)*($GK7&lt;&gt;TRUE)*2,(COUNTIF($GL7:$HA7,TRUE)&gt;0)*($HB7&lt;&gt;TRUE)*1))</f>
        <v>0</v>
      </c>
    </row>
    <row r="8" ht="22.5" customHeight="1">
      <c r="A8" s="36" t="n">
        <v>4</v>
      </c>
      <c r="B8" s="97" t="n"/>
      <c r="C8" s="28" t="n"/>
      <c r="D8" s="98" t="str">
        <f>IF($B8="","",IF($HC8=97,"-",IF($HD8=0,"متوقف",SUMPRODUCT(($G$4:$HB$4="ح")*($G$20:$HB$20&gt;0)*($G8:$HB8&lt;&gt;TRUE)*($G$47:$HB$47&gt;$HC$1-8)*($G$47:$HB$47&gt;=$HC8)))))</f>
        <v/>
      </c>
      <c r="E8" s="98" t="str">
        <f>IF(OR($B8="",$HC8=97),"",SUMPRODUCT(($G$4:$HA$4="ح")*($G8:$HA8=TRUE)*($H8:$HB8&lt;&gt;TRUE)*($G$47:$HA$47&gt;$HC$1-8)))</f>
        <v/>
      </c>
      <c r="F8" s="99" t="str">
        <f>IF($B8="","",IF($HE8=0,IF($HC8=97,"-","تمام"),IF($HE8=1,IF(INDEX($G$1:$HB$1,1,17*($HF8-1)+1)="","شهر "&amp;$HF8,INDEX($G$1:$HB$1,1,17*($HF8-1)+1)),IF($HE8=2,"شهرين",$HE8&amp;" شهور"))))</f>
        <v/>
      </c>
      <c r="G8" s="100" t="n"/>
      <c r="H8" s="101" t="n"/>
      <c r="I8" s="100" t="n"/>
      <c r="J8" s="101" t="n"/>
      <c r="K8" s="100" t="n"/>
      <c r="L8" s="101" t="n"/>
      <c r="M8" s="100" t="n"/>
      <c r="N8" s="101" t="n"/>
      <c r="O8" s="100" t="n"/>
      <c r="P8" s="101" t="n"/>
      <c r="Q8" s="100" t="n"/>
      <c r="R8" s="101" t="n"/>
      <c r="S8" s="100" t="n"/>
      <c r="T8" s="101" t="n"/>
      <c r="U8" s="100" t="n"/>
      <c r="V8" s="101" t="n"/>
      <c r="W8" s="102" t="n"/>
      <c r="X8" s="103" t="n"/>
      <c r="Y8" s="104" t="n"/>
      <c r="Z8" s="103" t="n"/>
      <c r="AA8" s="104" t="n"/>
      <c r="AB8" s="103" t="n"/>
      <c r="AC8" s="104" t="n"/>
      <c r="AD8" s="103" t="n"/>
      <c r="AE8" s="104" t="n"/>
      <c r="AF8" s="103" t="n"/>
      <c r="AG8" s="104" t="n"/>
      <c r="AH8" s="103" t="n"/>
      <c r="AI8" s="104" t="n"/>
      <c r="AJ8" s="103" t="n"/>
      <c r="AK8" s="104" t="n"/>
      <c r="AL8" s="103" t="n"/>
      <c r="AM8" s="104" t="n"/>
      <c r="AN8" s="105" t="n"/>
      <c r="AO8" s="106" t="n"/>
      <c r="AP8" s="107" t="n"/>
      <c r="AQ8" s="106" t="n"/>
      <c r="AR8" s="107" t="n"/>
      <c r="AS8" s="106" t="n"/>
      <c r="AT8" s="107" t="n"/>
      <c r="AU8" s="106" t="n"/>
      <c r="AV8" s="107" t="n"/>
      <c r="AW8" s="106" t="n"/>
      <c r="AX8" s="107" t="n"/>
      <c r="AY8" s="106" t="n"/>
      <c r="AZ8" s="107" t="n"/>
      <c r="BA8" s="106" t="n"/>
      <c r="BB8" s="107" t="n"/>
      <c r="BC8" s="106" t="n"/>
      <c r="BD8" s="107" t="n"/>
      <c r="BE8" s="108" t="n"/>
      <c r="BF8" s="109" t="n"/>
      <c r="BG8" s="110" t="n"/>
      <c r="BH8" s="109" t="n"/>
      <c r="BI8" s="110" t="n"/>
      <c r="BJ8" s="109" t="n"/>
      <c r="BK8" s="110" t="n"/>
      <c r="BL8" s="109" t="n"/>
      <c r="BM8" s="110" t="n"/>
      <c r="BN8" s="109" t="n"/>
      <c r="BO8" s="110" t="n"/>
      <c r="BP8" s="109" t="n"/>
      <c r="BQ8" s="110" t="n"/>
      <c r="BR8" s="109" t="n"/>
      <c r="BS8" s="110" t="n"/>
      <c r="BT8" s="109" t="n"/>
      <c r="BU8" s="110" t="n"/>
      <c r="BV8" s="111" t="n"/>
      <c r="BW8" s="112" t="n"/>
      <c r="BX8" s="113" t="n"/>
      <c r="BY8" s="112" t="n"/>
      <c r="BZ8" s="113" t="n"/>
      <c r="CA8" s="112" t="n"/>
      <c r="CB8" s="113" t="n"/>
      <c r="CC8" s="112" t="n"/>
      <c r="CD8" s="113" t="n"/>
      <c r="CE8" s="112" t="n"/>
      <c r="CF8" s="113" t="n"/>
      <c r="CG8" s="112" t="n"/>
      <c r="CH8" s="113" t="n"/>
      <c r="CI8" s="112" t="n"/>
      <c r="CJ8" s="113" t="n"/>
      <c r="CK8" s="112" t="n"/>
      <c r="CL8" s="113" t="n"/>
      <c r="CM8" s="114" t="n"/>
      <c r="CN8" s="115" t="n"/>
      <c r="CO8" s="116" t="n"/>
      <c r="CP8" s="115" t="n"/>
      <c r="CQ8" s="116" t="n"/>
      <c r="CR8" s="115" t="n"/>
      <c r="CS8" s="116" t="n"/>
      <c r="CT8" s="115" t="n"/>
      <c r="CU8" s="116" t="n"/>
      <c r="CV8" s="115" t="n"/>
      <c r="CW8" s="116" t="n"/>
      <c r="CX8" s="115" t="n"/>
      <c r="CY8" s="116" t="n"/>
      <c r="CZ8" s="115" t="n"/>
      <c r="DA8" s="116" t="n"/>
      <c r="DB8" s="115" t="n"/>
      <c r="DC8" s="116" t="n"/>
      <c r="DD8" s="117" t="n"/>
      <c r="DE8" s="118" t="n"/>
      <c r="DF8" s="119" t="n"/>
      <c r="DG8" s="118" t="n"/>
      <c r="DH8" s="119" t="n"/>
      <c r="DI8" s="118" t="n"/>
      <c r="DJ8" s="119" t="n"/>
      <c r="DK8" s="118" t="n"/>
      <c r="DL8" s="119" t="n"/>
      <c r="DM8" s="118" t="n"/>
      <c r="DN8" s="119" t="n"/>
      <c r="DO8" s="118" t="n"/>
      <c r="DP8" s="119" t="n"/>
      <c r="DQ8" s="118" t="n"/>
      <c r="DR8" s="119" t="n"/>
      <c r="DS8" s="118" t="n"/>
      <c r="DT8" s="119" t="n"/>
      <c r="DU8" s="120" t="n"/>
      <c r="DV8" s="121" t="n"/>
      <c r="DW8" s="122" t="n"/>
      <c r="DX8" s="121" t="n"/>
      <c r="DY8" s="122" t="n"/>
      <c r="DZ8" s="121" t="n"/>
      <c r="EA8" s="122" t="n"/>
      <c r="EB8" s="121" t="n"/>
      <c r="EC8" s="122" t="n"/>
      <c r="ED8" s="121" t="n"/>
      <c r="EE8" s="122" t="n"/>
      <c r="EF8" s="121" t="n"/>
      <c r="EG8" s="122" t="n"/>
      <c r="EH8" s="121" t="n"/>
      <c r="EI8" s="122" t="n"/>
      <c r="EJ8" s="121" t="n"/>
      <c r="EK8" s="122" t="n"/>
      <c r="EL8" s="123" t="n"/>
      <c r="EM8" s="124" t="n"/>
      <c r="EN8" s="125" t="n"/>
      <c r="EO8" s="124" t="n"/>
      <c r="EP8" s="125" t="n"/>
      <c r="EQ8" s="124" t="n"/>
      <c r="ER8" s="125" t="n"/>
      <c r="ES8" s="124" t="n"/>
      <c r="ET8" s="125" t="n"/>
      <c r="EU8" s="124" t="n"/>
      <c r="EV8" s="125" t="n"/>
      <c r="EW8" s="124" t="n"/>
      <c r="EX8" s="125" t="n"/>
      <c r="EY8" s="124" t="n"/>
      <c r="EZ8" s="125" t="n"/>
      <c r="FA8" s="124" t="n"/>
      <c r="FB8" s="125" t="n"/>
      <c r="FC8" s="126" t="n"/>
      <c r="FD8" s="127" t="n"/>
      <c r="FE8" s="128" t="n"/>
      <c r="FF8" s="127" t="n"/>
      <c r="FG8" s="128" t="n"/>
      <c r="FH8" s="127" t="n"/>
      <c r="FI8" s="128" t="n"/>
      <c r="FJ8" s="127" t="n"/>
      <c r="FK8" s="128" t="n"/>
      <c r="FL8" s="127" t="n"/>
      <c r="FM8" s="128" t="n"/>
      <c r="FN8" s="127" t="n"/>
      <c r="FO8" s="128" t="n"/>
      <c r="FP8" s="127" t="n"/>
      <c r="FQ8" s="128" t="n"/>
      <c r="FR8" s="127" t="n"/>
      <c r="FS8" s="128" t="n"/>
      <c r="FT8" s="129" t="n"/>
      <c r="FU8" s="130" t="n"/>
      <c r="FV8" s="131" t="n"/>
      <c r="FW8" s="130" t="n"/>
      <c r="FX8" s="131" t="n"/>
      <c r="FY8" s="130" t="n"/>
      <c r="FZ8" s="131" t="n"/>
      <c r="GA8" s="130" t="n"/>
      <c r="GB8" s="131" t="n"/>
      <c r="GC8" s="130" t="n"/>
      <c r="GD8" s="131" t="n"/>
      <c r="GE8" s="130" t="n"/>
      <c r="GF8" s="131" t="n"/>
      <c r="GG8" s="130" t="n"/>
      <c r="GH8" s="131" t="n"/>
      <c r="GI8" s="130" t="n"/>
      <c r="GJ8" s="131" t="n"/>
      <c r="GK8" s="132" t="n"/>
      <c r="GL8" s="133" t="n"/>
      <c r="GM8" s="134" t="n"/>
      <c r="GN8" s="133" t="n"/>
      <c r="GO8" s="134" t="n"/>
      <c r="GP8" s="133" t="n"/>
      <c r="GQ8" s="134" t="n"/>
      <c r="GR8" s="133" t="n"/>
      <c r="GS8" s="134" t="n"/>
      <c r="GT8" s="133" t="n"/>
      <c r="GU8" s="134" t="n"/>
      <c r="GV8" s="133" t="n"/>
      <c r="GW8" s="134" t="n"/>
      <c r="GX8" s="133" t="n"/>
      <c r="GY8" s="134" t="n"/>
      <c r="GZ8" s="133" t="n"/>
      <c r="HA8" s="134" t="n"/>
      <c r="HB8" s="135" t="n"/>
      <c r="HC8">
        <f>97-SUMPRODUCT(MAX(($G$4:$HB$4="ح")*($G8:$HB8=TRUE)*(97-$G$47:$HB$47)))</f>
        <v>97</v>
      </c>
      <c r="HD8">
        <f>SUMPRODUCT(($G$4:$HB$4="ح")*($G8:$HB8=TRUE)*($G$47:$HB$47&gt;$HC$1-8))</f>
        <v>0</v>
      </c>
      <c r="HE8">
        <f>(COUNTIF($G8:$V8,TRUE)&gt;0)*($W8&lt;&gt;TRUE)+(COUNTIF($X8:$AM8,TRUE)&gt;0)*($AN8&lt;&gt;TRUE)+(COUNTIF($AO8:$BD8,TRUE)&gt;0)*($BE8&lt;&gt;TRUE)+(COUNTIF($BF8:$BU8,TRUE)&gt;0)*($BV8&lt;&gt;TRUE)+(COUNTIF($BW8:$CL8,TRUE)&gt;0)*($CM8&lt;&gt;TRUE)+(COUNTIF($CN8:$DC8,TRUE)&gt;0)*($DD8&lt;&gt;TRUE)+(COUNTIF($DE8:$DT8,TRUE)&gt;0)*($DU8&lt;&gt;TRUE)+(COUNTIF($DV8:$EK8,TRUE)&gt;0)*($EL8&lt;&gt;TRUE)+(COUNTIF($EM8:$FB8,TRUE)&gt;0)*($FC8&lt;&gt;TRUE)+(COUNTIF($FD8:$FS8,TRUE)&gt;0)*($FT8&lt;&gt;TRUE)+(COUNTIF($FU8:$GJ8,TRUE)&gt;0)*($GK8&lt;&gt;TRUE)+(COUNTIF($GL8:$HA8,TRUE)&gt;0)*($HB8&lt;&gt;TRUE)</f>
        <v>0</v>
      </c>
      <c r="HF8">
        <f>IF($HE8=0,0,13-MAX((COUNTIF($G8:$V8,TRUE)&gt;0)*($W8&lt;&gt;TRUE)*12,(COUNTIF($X8:$AM8,TRUE)&gt;0)*($AN8&lt;&gt;TRUE)*11,(COUNTIF($AO8:$BD8,TRUE)&gt;0)*($BE8&lt;&gt;TRUE)*10,(COUNTIF($BF8:$BU8,TRUE)&gt;0)*($BV8&lt;&gt;TRUE)*9,(COUNTIF($BW8:$CL8,TRUE)&gt;0)*($CM8&lt;&gt;TRUE)*8,(COUNTIF($CN8:$DC8,TRUE)&gt;0)*($DD8&lt;&gt;TRUE)*7,(COUNTIF($DE8:$DT8,TRUE)&gt;0)*($DU8&lt;&gt;TRUE)*6,(COUNTIF($DV8:$EK8,TRUE)&gt;0)*($EL8&lt;&gt;TRUE)*5,(COUNTIF($EM8:$FB8,TRUE)&gt;0)*($FC8&lt;&gt;TRUE)*4,(COUNTIF($FD8:$FS8,TRUE)&gt;0)*($FT8&lt;&gt;TRUE)*3,(COUNTIF($FU8:$GJ8,TRUE)&gt;0)*($GK8&lt;&gt;TRUE)*2,(COUNTIF($GL8:$HA8,TRUE)&gt;0)*($HB8&lt;&gt;TRUE)*1))</f>
        <v>0</v>
      </c>
    </row>
    <row r="9" ht="22.5" customHeight="1">
      <c r="A9" s="36" t="n">
        <v>5</v>
      </c>
      <c r="B9" s="97" t="n"/>
      <c r="C9" s="28" t="n"/>
      <c r="D9" s="98" t="str">
        <f>IF($B9="","",IF($HC9=97,"-",IF($HD9=0,"متوقف",SUMPRODUCT(($G$4:$HB$4="ح")*($G$20:$HB$20&gt;0)*($G9:$HB9&lt;&gt;TRUE)*($G$47:$HB$47&gt;$HC$1-8)*($G$47:$HB$47&gt;=$HC9)))))</f>
        <v/>
      </c>
      <c r="E9" s="98" t="str">
        <f>IF(OR($B9="",$HC9=97),"",SUMPRODUCT(($G$4:$HA$4="ح")*($G9:$HA9=TRUE)*($H9:$HB9&lt;&gt;TRUE)*($G$47:$HA$47&gt;$HC$1-8)))</f>
        <v/>
      </c>
      <c r="F9" s="99" t="str">
        <f>IF($B9="","",IF($HE9=0,IF($HC9=97,"-","تمام"),IF($HE9=1,IF(INDEX($G$1:$HB$1,1,17*($HF9-1)+1)="","شهر "&amp;$HF9,INDEX($G$1:$HB$1,1,17*($HF9-1)+1)),IF($HE9=2,"شهرين",$HE9&amp;" شهور"))))</f>
        <v/>
      </c>
      <c r="G9" s="100" t="n"/>
      <c r="H9" s="101" t="n"/>
      <c r="I9" s="100" t="n"/>
      <c r="J9" s="101" t="n"/>
      <c r="K9" s="100" t="n"/>
      <c r="L9" s="101" t="n"/>
      <c r="M9" s="100" t="n"/>
      <c r="N9" s="101" t="n"/>
      <c r="O9" s="100" t="n"/>
      <c r="P9" s="101" t="n"/>
      <c r="Q9" s="100" t="n"/>
      <c r="R9" s="101" t="n"/>
      <c r="S9" s="100" t="n"/>
      <c r="T9" s="101" t="n"/>
      <c r="U9" s="100" t="n"/>
      <c r="V9" s="101" t="n"/>
      <c r="W9" s="102" t="n"/>
      <c r="X9" s="103" t="n"/>
      <c r="Y9" s="104" t="n"/>
      <c r="Z9" s="103" t="n"/>
      <c r="AA9" s="104" t="n"/>
      <c r="AB9" s="103" t="n"/>
      <c r="AC9" s="104" t="n"/>
      <c r="AD9" s="103" t="n"/>
      <c r="AE9" s="104" t="n"/>
      <c r="AF9" s="103" t="n"/>
      <c r="AG9" s="104" t="n"/>
      <c r="AH9" s="103" t="n"/>
      <c r="AI9" s="104" t="n"/>
      <c r="AJ9" s="103" t="n"/>
      <c r="AK9" s="104" t="n"/>
      <c r="AL9" s="103" t="n"/>
      <c r="AM9" s="104" t="n"/>
      <c r="AN9" s="105" t="n"/>
      <c r="AO9" s="106" t="n"/>
      <c r="AP9" s="107" t="n"/>
      <c r="AQ9" s="106" t="n"/>
      <c r="AR9" s="107" t="n"/>
      <c r="AS9" s="106" t="n"/>
      <c r="AT9" s="107" t="n"/>
      <c r="AU9" s="106" t="n"/>
      <c r="AV9" s="107" t="n"/>
      <c r="AW9" s="106" t="n"/>
      <c r="AX9" s="107" t="n"/>
      <c r="AY9" s="106" t="n"/>
      <c r="AZ9" s="107" t="n"/>
      <c r="BA9" s="106" t="n"/>
      <c r="BB9" s="107" t="n"/>
      <c r="BC9" s="106" t="n"/>
      <c r="BD9" s="107" t="n"/>
      <c r="BE9" s="108" t="n"/>
      <c r="BF9" s="109" t="n"/>
      <c r="BG9" s="110" t="n"/>
      <c r="BH9" s="109" t="n"/>
      <c r="BI9" s="110" t="n"/>
      <c r="BJ9" s="109" t="n"/>
      <c r="BK9" s="110" t="n"/>
      <c r="BL9" s="109" t="n"/>
      <c r="BM9" s="110" t="n"/>
      <c r="BN9" s="109" t="n"/>
      <c r="BO9" s="110" t="n"/>
      <c r="BP9" s="109" t="n"/>
      <c r="BQ9" s="110" t="n"/>
      <c r="BR9" s="109" t="n"/>
      <c r="BS9" s="110" t="n"/>
      <c r="BT9" s="109" t="n"/>
      <c r="BU9" s="110" t="n"/>
      <c r="BV9" s="111" t="n"/>
      <c r="BW9" s="112" t="n"/>
      <c r="BX9" s="113" t="n"/>
      <c r="BY9" s="112" t="n"/>
      <c r="BZ9" s="113" t="n"/>
      <c r="CA9" s="112" t="n"/>
      <c r="CB9" s="113" t="n"/>
      <c r="CC9" s="112" t="n"/>
      <c r="CD9" s="113" t="n"/>
      <c r="CE9" s="112" t="n"/>
      <c r="CF9" s="113" t="n"/>
      <c r="CG9" s="112" t="n"/>
      <c r="CH9" s="113" t="n"/>
      <c r="CI9" s="112" t="n"/>
      <c r="CJ9" s="113" t="n"/>
      <c r="CK9" s="112" t="n"/>
      <c r="CL9" s="113" t="n"/>
      <c r="CM9" s="114" t="n"/>
      <c r="CN9" s="115" t="n"/>
      <c r="CO9" s="116" t="n"/>
      <c r="CP9" s="115" t="n"/>
      <c r="CQ9" s="116" t="n"/>
      <c r="CR9" s="115" t="n"/>
      <c r="CS9" s="116" t="n"/>
      <c r="CT9" s="115" t="n"/>
      <c r="CU9" s="116" t="n"/>
      <c r="CV9" s="115" t="n"/>
      <c r="CW9" s="116" t="n"/>
      <c r="CX9" s="115" t="n"/>
      <c r="CY9" s="116" t="n"/>
      <c r="CZ9" s="115" t="n"/>
      <c r="DA9" s="116" t="n"/>
      <c r="DB9" s="115" t="n"/>
      <c r="DC9" s="116" t="n"/>
      <c r="DD9" s="117" t="n"/>
      <c r="DE9" s="118" t="n"/>
      <c r="DF9" s="119" t="n"/>
      <c r="DG9" s="118" t="n"/>
      <c r="DH9" s="119" t="n"/>
      <c r="DI9" s="118" t="n"/>
      <c r="DJ9" s="119" t="n"/>
      <c r="DK9" s="118" t="n"/>
      <c r="DL9" s="119" t="n"/>
      <c r="DM9" s="118" t="n"/>
      <c r="DN9" s="119" t="n"/>
      <c r="DO9" s="118" t="n"/>
      <c r="DP9" s="119" t="n"/>
      <c r="DQ9" s="118" t="n"/>
      <c r="DR9" s="119" t="n"/>
      <c r="DS9" s="118" t="n"/>
      <c r="DT9" s="119" t="n"/>
      <c r="DU9" s="120" t="n"/>
      <c r="DV9" s="121" t="n"/>
      <c r="DW9" s="122" t="n"/>
      <c r="DX9" s="121" t="n"/>
      <c r="DY9" s="122" t="n"/>
      <c r="DZ9" s="121" t="n"/>
      <c r="EA9" s="122" t="n"/>
      <c r="EB9" s="121" t="n"/>
      <c r="EC9" s="122" t="n"/>
      <c r="ED9" s="121" t="n"/>
      <c r="EE9" s="122" t="n"/>
      <c r="EF9" s="121" t="n"/>
      <c r="EG9" s="122" t="n"/>
      <c r="EH9" s="121" t="n"/>
      <c r="EI9" s="122" t="n"/>
      <c r="EJ9" s="121" t="n"/>
      <c r="EK9" s="122" t="n"/>
      <c r="EL9" s="123" t="n"/>
      <c r="EM9" s="124" t="n"/>
      <c r="EN9" s="125" t="n"/>
      <c r="EO9" s="124" t="n"/>
      <c r="EP9" s="125" t="n"/>
      <c r="EQ9" s="124" t="n"/>
      <c r="ER9" s="125" t="n"/>
      <c r="ES9" s="124" t="n"/>
      <c r="ET9" s="125" t="n"/>
      <c r="EU9" s="124" t="n"/>
      <c r="EV9" s="125" t="n"/>
      <c r="EW9" s="124" t="n"/>
      <c r="EX9" s="125" t="n"/>
      <c r="EY9" s="124" t="n"/>
      <c r="EZ9" s="125" t="n"/>
      <c r="FA9" s="124" t="n"/>
      <c r="FB9" s="125" t="n"/>
      <c r="FC9" s="126" t="n"/>
      <c r="FD9" s="127" t="n"/>
      <c r="FE9" s="128" t="n"/>
      <c r="FF9" s="127" t="n"/>
      <c r="FG9" s="128" t="n"/>
      <c r="FH9" s="127" t="n"/>
      <c r="FI9" s="128" t="n"/>
      <c r="FJ9" s="127" t="n"/>
      <c r="FK9" s="128" t="n"/>
      <c r="FL9" s="127" t="n"/>
      <c r="FM9" s="128" t="n"/>
      <c r="FN9" s="127" t="n"/>
      <c r="FO9" s="128" t="n"/>
      <c r="FP9" s="127" t="n"/>
      <c r="FQ9" s="128" t="n"/>
      <c r="FR9" s="127" t="n"/>
      <c r="FS9" s="128" t="n"/>
      <c r="FT9" s="129" t="n"/>
      <c r="FU9" s="130" t="n"/>
      <c r="FV9" s="131" t="n"/>
      <c r="FW9" s="130" t="n"/>
      <c r="FX9" s="131" t="n"/>
      <c r="FY9" s="130" t="n"/>
      <c r="FZ9" s="131" t="n"/>
      <c r="GA9" s="130" t="n"/>
      <c r="GB9" s="131" t="n"/>
      <c r="GC9" s="130" t="n"/>
      <c r="GD9" s="131" t="n"/>
      <c r="GE9" s="130" t="n"/>
      <c r="GF9" s="131" t="n"/>
      <c r="GG9" s="130" t="n"/>
      <c r="GH9" s="131" t="n"/>
      <c r="GI9" s="130" t="n"/>
      <c r="GJ9" s="131" t="n"/>
      <c r="GK9" s="132" t="n"/>
      <c r="GL9" s="133" t="n"/>
      <c r="GM9" s="134" t="n"/>
      <c r="GN9" s="133" t="n"/>
      <c r="GO9" s="134" t="n"/>
      <c r="GP9" s="133" t="n"/>
      <c r="GQ9" s="134" t="n"/>
      <c r="GR9" s="133" t="n"/>
      <c r="GS9" s="134" t="n"/>
      <c r="GT9" s="133" t="n"/>
      <c r="GU9" s="134" t="n"/>
      <c r="GV9" s="133" t="n"/>
      <c r="GW9" s="134" t="n"/>
      <c r="GX9" s="133" t="n"/>
      <c r="GY9" s="134" t="n"/>
      <c r="GZ9" s="133" t="n"/>
      <c r="HA9" s="134" t="n"/>
      <c r="HB9" s="135" t="n"/>
      <c r="HC9">
        <f>97-SUMPRODUCT(MAX(($G$4:$HB$4="ح")*($G9:$HB9=TRUE)*(97-$G$47:$HB$47)))</f>
        <v>97</v>
      </c>
      <c r="HD9">
        <f>SUMPRODUCT(($G$4:$HB$4="ح")*($G9:$HB9=TRUE)*($G$47:$HB$47&gt;$HC$1-8))</f>
        <v>0</v>
      </c>
      <c r="HE9">
        <f>(COUNTIF($G9:$V9,TRUE)&gt;0)*($W9&lt;&gt;TRUE)+(COUNTIF($X9:$AM9,TRUE)&gt;0)*($AN9&lt;&gt;TRUE)+(COUNTIF($AO9:$BD9,TRUE)&gt;0)*($BE9&lt;&gt;TRUE)+(COUNTIF($BF9:$BU9,TRUE)&gt;0)*($BV9&lt;&gt;TRUE)+(COUNTIF($BW9:$CL9,TRUE)&gt;0)*($CM9&lt;&gt;TRUE)+(COUNTIF($CN9:$DC9,TRUE)&gt;0)*($DD9&lt;&gt;TRUE)+(COUNTIF($DE9:$DT9,TRUE)&gt;0)*($DU9&lt;&gt;TRUE)+(COUNTIF($DV9:$EK9,TRUE)&gt;0)*($EL9&lt;&gt;TRUE)+(COUNTIF($EM9:$FB9,TRUE)&gt;0)*($FC9&lt;&gt;TRUE)+(COUNTIF($FD9:$FS9,TRUE)&gt;0)*($FT9&lt;&gt;TRUE)+(COUNTIF($FU9:$GJ9,TRUE)&gt;0)*($GK9&lt;&gt;TRUE)+(COUNTIF($GL9:$HA9,TRUE)&gt;0)*($HB9&lt;&gt;TRUE)</f>
        <v>0</v>
      </c>
      <c r="HF9">
        <f>IF($HE9=0,0,13-MAX((COUNTIF($G9:$V9,TRUE)&gt;0)*($W9&lt;&gt;TRUE)*12,(COUNTIF($X9:$AM9,TRUE)&gt;0)*($AN9&lt;&gt;TRUE)*11,(COUNTIF($AO9:$BD9,TRUE)&gt;0)*($BE9&lt;&gt;TRUE)*10,(COUNTIF($BF9:$BU9,TRUE)&gt;0)*($BV9&lt;&gt;TRUE)*9,(COUNTIF($BW9:$CL9,TRUE)&gt;0)*($CM9&lt;&gt;TRUE)*8,(COUNTIF($CN9:$DC9,TRUE)&gt;0)*($DD9&lt;&gt;TRUE)*7,(COUNTIF($DE9:$DT9,TRUE)&gt;0)*($DU9&lt;&gt;TRUE)*6,(COUNTIF($DV9:$EK9,TRUE)&gt;0)*($EL9&lt;&gt;TRUE)*5,(COUNTIF($EM9:$FB9,TRUE)&gt;0)*($FC9&lt;&gt;TRUE)*4,(COUNTIF($FD9:$FS9,TRUE)&gt;0)*($FT9&lt;&gt;TRUE)*3,(COUNTIF($FU9:$GJ9,TRUE)&gt;0)*($GK9&lt;&gt;TRUE)*2,(COUNTIF($GL9:$HA9,TRUE)&gt;0)*($HB9&lt;&gt;TRUE)*1))</f>
        <v>0</v>
      </c>
    </row>
    <row r="10" ht="22.5" customHeight="1">
      <c r="A10" s="36" t="n">
        <v>6</v>
      </c>
      <c r="B10" s="97" t="n"/>
      <c r="C10" s="28" t="n"/>
      <c r="D10" s="98" t="str">
        <f>IF($B10="","",IF($HC10=97,"-",IF($HD10=0,"متوقف",SUMPRODUCT(($G$4:$HB$4="ح")*($G$20:$HB$20&gt;0)*($G10:$HB10&lt;&gt;TRUE)*($G$47:$HB$47&gt;$HC$1-8)*($G$47:$HB$47&gt;=$HC10)))))</f>
        <v/>
      </c>
      <c r="E10" s="98" t="str">
        <f>IF(OR($B10="",$HC10=97),"",SUMPRODUCT(($G$4:$HA$4="ح")*($G10:$HA10=TRUE)*($H10:$HB10&lt;&gt;TRUE)*($G$47:$HA$47&gt;$HC$1-8)))</f>
        <v/>
      </c>
      <c r="F10" s="99" t="str">
        <f>IF($B10="","",IF($HE10=0,IF($HC10=97,"-","تمام"),IF($HE10=1,IF(INDEX($G$1:$HB$1,1,17*($HF10-1)+1)="","شهر "&amp;$HF10,INDEX($G$1:$HB$1,1,17*($HF10-1)+1)),IF($HE10=2,"شهرين",$HE10&amp;" شهور"))))</f>
        <v/>
      </c>
      <c r="G10" s="100" t="n"/>
      <c r="H10" s="101" t="n"/>
      <c r="I10" s="100" t="n"/>
      <c r="J10" s="101" t="n"/>
      <c r="K10" s="100" t="n"/>
      <c r="L10" s="101" t="n"/>
      <c r="M10" s="100" t="n"/>
      <c r="N10" s="101" t="n"/>
      <c r="O10" s="100" t="n"/>
      <c r="P10" s="101" t="n"/>
      <c r="Q10" s="100" t="n"/>
      <c r="R10" s="101" t="n"/>
      <c r="S10" s="100" t="n"/>
      <c r="T10" s="101" t="n"/>
      <c r="U10" s="100" t="n"/>
      <c r="V10" s="101" t="n"/>
      <c r="W10" s="102" t="n"/>
      <c r="X10" s="103" t="n"/>
      <c r="Y10" s="104" t="n"/>
      <c r="Z10" s="103" t="n"/>
      <c r="AA10" s="104" t="n"/>
      <c r="AB10" s="103" t="n"/>
      <c r="AC10" s="104" t="n"/>
      <c r="AD10" s="103" t="n"/>
      <c r="AE10" s="104" t="n"/>
      <c r="AF10" s="103" t="n"/>
      <c r="AG10" s="104" t="n"/>
      <c r="AH10" s="103" t="n"/>
      <c r="AI10" s="104" t="n"/>
      <c r="AJ10" s="103" t="n"/>
      <c r="AK10" s="104" t="n"/>
      <c r="AL10" s="103" t="n"/>
      <c r="AM10" s="104" t="n"/>
      <c r="AN10" s="105" t="n"/>
      <c r="AO10" s="106" t="n"/>
      <c r="AP10" s="107" t="n"/>
      <c r="AQ10" s="106" t="n"/>
      <c r="AR10" s="107" t="n"/>
      <c r="AS10" s="106" t="n"/>
      <c r="AT10" s="107" t="n"/>
      <c r="AU10" s="106" t="n"/>
      <c r="AV10" s="107" t="n"/>
      <c r="AW10" s="106" t="n"/>
      <c r="AX10" s="107" t="n"/>
      <c r="AY10" s="106" t="n"/>
      <c r="AZ10" s="107" t="n"/>
      <c r="BA10" s="106" t="n"/>
      <c r="BB10" s="107" t="n"/>
      <c r="BC10" s="106" t="n"/>
      <c r="BD10" s="107" t="n"/>
      <c r="BE10" s="108" t="n"/>
      <c r="BF10" s="109" t="n"/>
      <c r="BG10" s="110" t="n"/>
      <c r="BH10" s="109" t="n"/>
      <c r="BI10" s="110" t="n"/>
      <c r="BJ10" s="109" t="n"/>
      <c r="BK10" s="110" t="n"/>
      <c r="BL10" s="109" t="n"/>
      <c r="BM10" s="110" t="n"/>
      <c r="BN10" s="109" t="n"/>
      <c r="BO10" s="110" t="n"/>
      <c r="BP10" s="109" t="n"/>
      <c r="BQ10" s="110" t="n"/>
      <c r="BR10" s="109" t="n"/>
      <c r="BS10" s="110" t="n"/>
      <c r="BT10" s="109" t="n"/>
      <c r="BU10" s="110" t="n"/>
      <c r="BV10" s="111" t="n"/>
      <c r="BW10" s="112" t="n"/>
      <c r="BX10" s="113" t="n"/>
      <c r="BY10" s="112" t="n"/>
      <c r="BZ10" s="113" t="n"/>
      <c r="CA10" s="112" t="n"/>
      <c r="CB10" s="113" t="n"/>
      <c r="CC10" s="112" t="n"/>
      <c r="CD10" s="113" t="n"/>
      <c r="CE10" s="112" t="n"/>
      <c r="CF10" s="113" t="n"/>
      <c r="CG10" s="112" t="n"/>
      <c r="CH10" s="113" t="n"/>
      <c r="CI10" s="112" t="n"/>
      <c r="CJ10" s="113" t="n"/>
      <c r="CK10" s="112" t="n"/>
      <c r="CL10" s="113" t="n"/>
      <c r="CM10" s="114" t="n"/>
      <c r="CN10" s="115" t="n"/>
      <c r="CO10" s="116" t="n"/>
      <c r="CP10" s="115" t="n"/>
      <c r="CQ10" s="116" t="n"/>
      <c r="CR10" s="115" t="n"/>
      <c r="CS10" s="116" t="n"/>
      <c r="CT10" s="115" t="n"/>
      <c r="CU10" s="116" t="n"/>
      <c r="CV10" s="115" t="n"/>
      <c r="CW10" s="116" t="n"/>
      <c r="CX10" s="115" t="n"/>
      <c r="CY10" s="116" t="n"/>
      <c r="CZ10" s="115" t="n"/>
      <c r="DA10" s="116" t="n"/>
      <c r="DB10" s="115" t="n"/>
      <c r="DC10" s="116" t="n"/>
      <c r="DD10" s="117" t="n"/>
      <c r="DE10" s="118" t="n"/>
      <c r="DF10" s="119" t="n"/>
      <c r="DG10" s="118" t="n"/>
      <c r="DH10" s="119" t="n"/>
      <c r="DI10" s="118" t="n"/>
      <c r="DJ10" s="119" t="n"/>
      <c r="DK10" s="118" t="n"/>
      <c r="DL10" s="119" t="n"/>
      <c r="DM10" s="118" t="n"/>
      <c r="DN10" s="119" t="n"/>
      <c r="DO10" s="118" t="n"/>
      <c r="DP10" s="119" t="n"/>
      <c r="DQ10" s="118" t="n"/>
      <c r="DR10" s="119" t="n"/>
      <c r="DS10" s="118" t="n"/>
      <c r="DT10" s="119" t="n"/>
      <c r="DU10" s="120" t="n"/>
      <c r="DV10" s="121" t="n"/>
      <c r="DW10" s="122" t="n"/>
      <c r="DX10" s="121" t="n"/>
      <c r="DY10" s="122" t="n"/>
      <c r="DZ10" s="121" t="n"/>
      <c r="EA10" s="122" t="n"/>
      <c r="EB10" s="121" t="n"/>
      <c r="EC10" s="122" t="n"/>
      <c r="ED10" s="121" t="n"/>
      <c r="EE10" s="122" t="n"/>
      <c r="EF10" s="121" t="n"/>
      <c r="EG10" s="122" t="n"/>
      <c r="EH10" s="121" t="n"/>
      <c r="EI10" s="122" t="n"/>
      <c r="EJ10" s="121" t="n"/>
      <c r="EK10" s="122" t="n"/>
      <c r="EL10" s="123" t="n"/>
      <c r="EM10" s="124" t="n"/>
      <c r="EN10" s="125" t="n"/>
      <c r="EO10" s="124" t="n"/>
      <c r="EP10" s="125" t="n"/>
      <c r="EQ10" s="124" t="n"/>
      <c r="ER10" s="125" t="n"/>
      <c r="ES10" s="124" t="n"/>
      <c r="ET10" s="125" t="n"/>
      <c r="EU10" s="124" t="n"/>
      <c r="EV10" s="125" t="n"/>
      <c r="EW10" s="124" t="n"/>
      <c r="EX10" s="125" t="n"/>
      <c r="EY10" s="124" t="n"/>
      <c r="EZ10" s="125" t="n"/>
      <c r="FA10" s="124" t="n"/>
      <c r="FB10" s="125" t="n"/>
      <c r="FC10" s="126" t="n"/>
      <c r="FD10" s="127" t="n"/>
      <c r="FE10" s="128" t="n"/>
      <c r="FF10" s="127" t="n"/>
      <c r="FG10" s="128" t="n"/>
      <c r="FH10" s="127" t="n"/>
      <c r="FI10" s="128" t="n"/>
      <c r="FJ10" s="127" t="n"/>
      <c r="FK10" s="128" t="n"/>
      <c r="FL10" s="127" t="n"/>
      <c r="FM10" s="128" t="n"/>
      <c r="FN10" s="127" t="n"/>
      <c r="FO10" s="128" t="n"/>
      <c r="FP10" s="127" t="n"/>
      <c r="FQ10" s="128" t="n"/>
      <c r="FR10" s="127" t="n"/>
      <c r="FS10" s="128" t="n"/>
      <c r="FT10" s="129" t="n"/>
      <c r="FU10" s="130" t="n"/>
      <c r="FV10" s="131" t="n"/>
      <c r="FW10" s="130" t="n"/>
      <c r="FX10" s="131" t="n"/>
      <c r="FY10" s="130" t="n"/>
      <c r="FZ10" s="131" t="n"/>
      <c r="GA10" s="130" t="n"/>
      <c r="GB10" s="131" t="n"/>
      <c r="GC10" s="130" t="n"/>
      <c r="GD10" s="131" t="n"/>
      <c r="GE10" s="130" t="n"/>
      <c r="GF10" s="131" t="n"/>
      <c r="GG10" s="130" t="n"/>
      <c r="GH10" s="131" t="n"/>
      <c r="GI10" s="130" t="n"/>
      <c r="GJ10" s="131" t="n"/>
      <c r="GK10" s="132" t="n"/>
      <c r="GL10" s="133" t="n"/>
      <c r="GM10" s="134" t="n"/>
      <c r="GN10" s="133" t="n"/>
      <c r="GO10" s="134" t="n"/>
      <c r="GP10" s="133" t="n"/>
      <c r="GQ10" s="134" t="n"/>
      <c r="GR10" s="133" t="n"/>
      <c r="GS10" s="134" t="n"/>
      <c r="GT10" s="133" t="n"/>
      <c r="GU10" s="134" t="n"/>
      <c r="GV10" s="133" t="n"/>
      <c r="GW10" s="134" t="n"/>
      <c r="GX10" s="133" t="n"/>
      <c r="GY10" s="134" t="n"/>
      <c r="GZ10" s="133" t="n"/>
      <c r="HA10" s="134" t="n"/>
      <c r="HB10" s="135" t="n"/>
      <c r="HC10">
        <f>97-SUMPRODUCT(MAX(($G$4:$HB$4="ح")*($G10:$HB10=TRUE)*(97-$G$47:$HB$47)))</f>
        <v>97</v>
      </c>
      <c r="HD10">
        <f>SUMPRODUCT(($G$4:$HB$4="ح")*($G10:$HB10=TRUE)*($G$47:$HB$47&gt;$HC$1-8))</f>
        <v>0</v>
      </c>
      <c r="HE10">
        <f>(COUNTIF($G10:$V10,TRUE)&gt;0)*($W10&lt;&gt;TRUE)+(COUNTIF($X10:$AM10,TRUE)&gt;0)*($AN10&lt;&gt;TRUE)+(COUNTIF($AO10:$BD10,TRUE)&gt;0)*($BE10&lt;&gt;TRUE)+(COUNTIF($BF10:$BU10,TRUE)&gt;0)*($BV10&lt;&gt;TRUE)+(COUNTIF($BW10:$CL10,TRUE)&gt;0)*($CM10&lt;&gt;TRUE)+(COUNTIF($CN10:$DC10,TRUE)&gt;0)*($DD10&lt;&gt;TRUE)+(COUNTIF($DE10:$DT10,TRUE)&gt;0)*($DU10&lt;&gt;TRUE)+(COUNTIF($DV10:$EK10,TRUE)&gt;0)*($EL10&lt;&gt;TRUE)+(COUNTIF($EM10:$FB10,TRUE)&gt;0)*($FC10&lt;&gt;TRUE)+(COUNTIF($FD10:$FS10,TRUE)&gt;0)*($FT10&lt;&gt;TRUE)+(COUNTIF($FU10:$GJ10,TRUE)&gt;0)*($GK10&lt;&gt;TRUE)+(COUNTIF($GL10:$HA10,TRUE)&gt;0)*($HB10&lt;&gt;TRUE)</f>
        <v>0</v>
      </c>
      <c r="HF10">
        <f>IF($HE10=0,0,13-MAX((COUNTIF($G10:$V10,TRUE)&gt;0)*($W10&lt;&gt;TRUE)*12,(COUNTIF($X10:$AM10,TRUE)&gt;0)*($AN10&lt;&gt;TRUE)*11,(COUNTIF($AO10:$BD10,TRUE)&gt;0)*($BE10&lt;&gt;TRUE)*10,(COUNTIF($BF10:$BU10,TRUE)&gt;0)*($BV10&lt;&gt;TRUE)*9,(COUNTIF($BW10:$CL10,TRUE)&gt;0)*($CM10&lt;&gt;TRUE)*8,(COUNTIF($CN10:$DC10,TRUE)&gt;0)*($DD10&lt;&gt;TRUE)*7,(COUNTIF($DE10:$DT10,TRUE)&gt;0)*($DU10&lt;&gt;TRUE)*6,(COUNTIF($DV10:$EK10,TRUE)&gt;0)*($EL10&lt;&gt;TRUE)*5,(COUNTIF($EM10:$FB10,TRUE)&gt;0)*($FC10&lt;&gt;TRUE)*4,(COUNTIF($FD10:$FS10,TRUE)&gt;0)*($FT10&lt;&gt;TRUE)*3,(COUNTIF($FU10:$GJ10,TRUE)&gt;0)*($GK10&lt;&gt;TRUE)*2,(COUNTIF($GL10:$HA10,TRUE)&gt;0)*($HB10&lt;&gt;TRUE)*1))</f>
        <v>0</v>
      </c>
    </row>
    <row r="11" ht="22.5" customHeight="1">
      <c r="A11" s="36" t="n">
        <v>7</v>
      </c>
      <c r="B11" s="97" t="n"/>
      <c r="C11" s="28" t="n"/>
      <c r="D11" s="98" t="str">
        <f>IF($B11="","",IF($HC11=97,"-",IF($HD11=0,"متوقف",SUMPRODUCT(($G$4:$HB$4="ح")*($G$20:$HB$20&gt;0)*($G11:$HB11&lt;&gt;TRUE)*($G$47:$HB$47&gt;$HC$1-8)*($G$47:$HB$47&gt;=$HC11)))))</f>
        <v/>
      </c>
      <c r="E11" s="98" t="str">
        <f>IF(OR($B11="",$HC11=97),"",SUMPRODUCT(($G$4:$HA$4="ح")*($G11:$HA11=TRUE)*($H11:$HB11&lt;&gt;TRUE)*($G$47:$HA$47&gt;$HC$1-8)))</f>
        <v/>
      </c>
      <c r="F11" s="99" t="str">
        <f>IF($B11="","",IF($HE11=0,IF($HC11=97,"-","تمام"),IF($HE11=1,IF(INDEX($G$1:$HB$1,1,17*($HF11-1)+1)="","شهر "&amp;$HF11,INDEX($G$1:$HB$1,1,17*($HF11-1)+1)),IF($HE11=2,"شهرين",$HE11&amp;" شهور"))))</f>
        <v/>
      </c>
      <c r="G11" s="100" t="n"/>
      <c r="H11" s="101" t="n"/>
      <c r="I11" s="100" t="n"/>
      <c r="J11" s="101" t="n"/>
      <c r="K11" s="100" t="n"/>
      <c r="L11" s="101" t="n"/>
      <c r="M11" s="100" t="n"/>
      <c r="N11" s="101" t="n"/>
      <c r="O11" s="100" t="n"/>
      <c r="P11" s="101" t="n"/>
      <c r="Q11" s="100" t="n"/>
      <c r="R11" s="101" t="n"/>
      <c r="S11" s="100" t="n"/>
      <c r="T11" s="101" t="n"/>
      <c r="U11" s="100" t="n"/>
      <c r="V11" s="101" t="n"/>
      <c r="W11" s="102" t="n"/>
      <c r="X11" s="103" t="n"/>
      <c r="Y11" s="104" t="n"/>
      <c r="Z11" s="103" t="n"/>
      <c r="AA11" s="104" t="n"/>
      <c r="AB11" s="103" t="n"/>
      <c r="AC11" s="104" t="n"/>
      <c r="AD11" s="103" t="n"/>
      <c r="AE11" s="104" t="n"/>
      <c r="AF11" s="103" t="n"/>
      <c r="AG11" s="104" t="n"/>
      <c r="AH11" s="103" t="n"/>
      <c r="AI11" s="104" t="n"/>
      <c r="AJ11" s="103" t="n"/>
      <c r="AK11" s="104" t="n"/>
      <c r="AL11" s="103" t="n"/>
      <c r="AM11" s="104" t="n"/>
      <c r="AN11" s="105" t="n"/>
      <c r="AO11" s="106" t="n"/>
      <c r="AP11" s="107" t="n"/>
      <c r="AQ11" s="106" t="n"/>
      <c r="AR11" s="107" t="n"/>
      <c r="AS11" s="106" t="n"/>
      <c r="AT11" s="107" t="n"/>
      <c r="AU11" s="106" t="n"/>
      <c r="AV11" s="107" t="n"/>
      <c r="AW11" s="106" t="n"/>
      <c r="AX11" s="107" t="n"/>
      <c r="AY11" s="106" t="n"/>
      <c r="AZ11" s="107" t="n"/>
      <c r="BA11" s="106" t="n"/>
      <c r="BB11" s="107" t="n"/>
      <c r="BC11" s="106" t="n"/>
      <c r="BD11" s="107" t="n"/>
      <c r="BE11" s="108" t="n"/>
      <c r="BF11" s="109" t="n"/>
      <c r="BG11" s="110" t="n"/>
      <c r="BH11" s="109" t="n"/>
      <c r="BI11" s="110" t="n"/>
      <c r="BJ11" s="109" t="n"/>
      <c r="BK11" s="110" t="n"/>
      <c r="BL11" s="109" t="n"/>
      <c r="BM11" s="110" t="n"/>
      <c r="BN11" s="109" t="n"/>
      <c r="BO11" s="110" t="n"/>
      <c r="BP11" s="109" t="n"/>
      <c r="BQ11" s="110" t="n"/>
      <c r="BR11" s="109" t="n"/>
      <c r="BS11" s="110" t="n"/>
      <c r="BT11" s="109" t="n"/>
      <c r="BU11" s="110" t="n"/>
      <c r="BV11" s="111" t="n"/>
      <c r="BW11" s="112" t="n"/>
      <c r="BX11" s="113" t="n"/>
      <c r="BY11" s="112" t="n"/>
      <c r="BZ11" s="113" t="n"/>
      <c r="CA11" s="112" t="n"/>
      <c r="CB11" s="113" t="n"/>
      <c r="CC11" s="112" t="n"/>
      <c r="CD11" s="113" t="n"/>
      <c r="CE11" s="112" t="n"/>
      <c r="CF11" s="113" t="n"/>
      <c r="CG11" s="112" t="n"/>
      <c r="CH11" s="113" t="n"/>
      <c r="CI11" s="112" t="n"/>
      <c r="CJ11" s="113" t="n"/>
      <c r="CK11" s="112" t="n"/>
      <c r="CL11" s="113" t="n"/>
      <c r="CM11" s="114" t="n"/>
      <c r="CN11" s="115" t="n"/>
      <c r="CO11" s="116" t="n"/>
      <c r="CP11" s="115" t="n"/>
      <c r="CQ11" s="116" t="n"/>
      <c r="CR11" s="115" t="n"/>
      <c r="CS11" s="116" t="n"/>
      <c r="CT11" s="115" t="n"/>
      <c r="CU11" s="116" t="n"/>
      <c r="CV11" s="115" t="n"/>
      <c r="CW11" s="116" t="n"/>
      <c r="CX11" s="115" t="n"/>
      <c r="CY11" s="116" t="n"/>
      <c r="CZ11" s="115" t="n"/>
      <c r="DA11" s="116" t="n"/>
      <c r="DB11" s="115" t="n"/>
      <c r="DC11" s="116" t="n"/>
      <c r="DD11" s="117" t="n"/>
      <c r="DE11" s="118" t="n"/>
      <c r="DF11" s="119" t="n"/>
      <c r="DG11" s="118" t="n"/>
      <c r="DH11" s="119" t="n"/>
      <c r="DI11" s="118" t="n"/>
      <c r="DJ11" s="119" t="n"/>
      <c r="DK11" s="118" t="n"/>
      <c r="DL11" s="119" t="n"/>
      <c r="DM11" s="118" t="n"/>
      <c r="DN11" s="119" t="n"/>
      <c r="DO11" s="118" t="n"/>
      <c r="DP11" s="119" t="n"/>
      <c r="DQ11" s="118" t="n"/>
      <c r="DR11" s="119" t="n"/>
      <c r="DS11" s="118" t="n"/>
      <c r="DT11" s="119" t="n"/>
      <c r="DU11" s="120" t="n"/>
      <c r="DV11" s="121" t="n"/>
      <c r="DW11" s="122" t="n"/>
      <c r="DX11" s="121" t="n"/>
      <c r="DY11" s="122" t="n"/>
      <c r="DZ11" s="121" t="n"/>
      <c r="EA11" s="122" t="n"/>
      <c r="EB11" s="121" t="n"/>
      <c r="EC11" s="122" t="n"/>
      <c r="ED11" s="121" t="n"/>
      <c r="EE11" s="122" t="n"/>
      <c r="EF11" s="121" t="n"/>
      <c r="EG11" s="122" t="n"/>
      <c r="EH11" s="121" t="n"/>
      <c r="EI11" s="122" t="n"/>
      <c r="EJ11" s="121" t="n"/>
      <c r="EK11" s="122" t="n"/>
      <c r="EL11" s="123" t="n"/>
      <c r="EM11" s="124" t="n"/>
      <c r="EN11" s="125" t="n"/>
      <c r="EO11" s="124" t="n"/>
      <c r="EP11" s="125" t="n"/>
      <c r="EQ11" s="124" t="n"/>
      <c r="ER11" s="125" t="n"/>
      <c r="ES11" s="124" t="n"/>
      <c r="ET11" s="125" t="n"/>
      <c r="EU11" s="124" t="n"/>
      <c r="EV11" s="125" t="n"/>
      <c r="EW11" s="124" t="n"/>
      <c r="EX11" s="125" t="n"/>
      <c r="EY11" s="124" t="n"/>
      <c r="EZ11" s="125" t="n"/>
      <c r="FA11" s="124" t="n"/>
      <c r="FB11" s="125" t="n"/>
      <c r="FC11" s="126" t="n"/>
      <c r="FD11" s="127" t="n"/>
      <c r="FE11" s="128" t="n"/>
      <c r="FF11" s="127" t="n"/>
      <c r="FG11" s="128" t="n"/>
      <c r="FH11" s="127" t="n"/>
      <c r="FI11" s="128" t="n"/>
      <c r="FJ11" s="127" t="n"/>
      <c r="FK11" s="128" t="n"/>
      <c r="FL11" s="127" t="n"/>
      <c r="FM11" s="128" t="n"/>
      <c r="FN11" s="127" t="n"/>
      <c r="FO11" s="128" t="n"/>
      <c r="FP11" s="127" t="n"/>
      <c r="FQ11" s="128" t="n"/>
      <c r="FR11" s="127" t="n"/>
      <c r="FS11" s="128" t="n"/>
      <c r="FT11" s="129" t="n"/>
      <c r="FU11" s="130" t="n"/>
      <c r="FV11" s="131" t="n"/>
      <c r="FW11" s="130" t="n"/>
      <c r="FX11" s="131" t="n"/>
      <c r="FY11" s="130" t="n"/>
      <c r="FZ11" s="131" t="n"/>
      <c r="GA11" s="130" t="n"/>
      <c r="GB11" s="131" t="n"/>
      <c r="GC11" s="130" t="n"/>
      <c r="GD11" s="131" t="n"/>
      <c r="GE11" s="130" t="n"/>
      <c r="GF11" s="131" t="n"/>
      <c r="GG11" s="130" t="n"/>
      <c r="GH11" s="131" t="n"/>
      <c r="GI11" s="130" t="n"/>
      <c r="GJ11" s="131" t="n"/>
      <c r="GK11" s="132" t="n"/>
      <c r="GL11" s="133" t="n"/>
      <c r="GM11" s="134" t="n"/>
      <c r="GN11" s="133" t="n"/>
      <c r="GO11" s="134" t="n"/>
      <c r="GP11" s="133" t="n"/>
      <c r="GQ11" s="134" t="n"/>
      <c r="GR11" s="133" t="n"/>
      <c r="GS11" s="134" t="n"/>
      <c r="GT11" s="133" t="n"/>
      <c r="GU11" s="134" t="n"/>
      <c r="GV11" s="133" t="n"/>
      <c r="GW11" s="134" t="n"/>
      <c r="GX11" s="133" t="n"/>
      <c r="GY11" s="134" t="n"/>
      <c r="GZ11" s="133" t="n"/>
      <c r="HA11" s="134" t="n"/>
      <c r="HB11" s="135" t="n"/>
      <c r="HC11">
        <f>97-SUMPRODUCT(MAX(($G$4:$HB$4="ح")*($G11:$HB11=TRUE)*(97-$G$47:$HB$47)))</f>
        <v>97</v>
      </c>
      <c r="HD11">
        <f>SUMPRODUCT(($G$4:$HB$4="ح")*($G11:$HB11=TRUE)*($G$47:$HB$47&gt;$HC$1-8))</f>
        <v>0</v>
      </c>
      <c r="HE11">
        <f>(COUNTIF($G11:$V11,TRUE)&gt;0)*($W11&lt;&gt;TRUE)+(COUNTIF($X11:$AM11,TRUE)&gt;0)*($AN11&lt;&gt;TRUE)+(COUNTIF($AO11:$BD11,TRUE)&gt;0)*($BE11&lt;&gt;TRUE)+(COUNTIF($BF11:$BU11,TRUE)&gt;0)*($BV11&lt;&gt;TRUE)+(COUNTIF($BW11:$CL11,TRUE)&gt;0)*($CM11&lt;&gt;TRUE)+(COUNTIF($CN11:$DC11,TRUE)&gt;0)*($DD11&lt;&gt;TRUE)+(COUNTIF($DE11:$DT11,TRUE)&gt;0)*($DU11&lt;&gt;TRUE)+(COUNTIF($DV11:$EK11,TRUE)&gt;0)*($EL11&lt;&gt;TRUE)+(COUNTIF($EM11:$FB11,TRUE)&gt;0)*($FC11&lt;&gt;TRUE)+(COUNTIF($FD11:$FS11,TRUE)&gt;0)*($FT11&lt;&gt;TRUE)+(COUNTIF($FU11:$GJ11,TRUE)&gt;0)*($GK11&lt;&gt;TRUE)+(COUNTIF($GL11:$HA11,TRUE)&gt;0)*($HB11&lt;&gt;TRUE)</f>
        <v>0</v>
      </c>
      <c r="HF11">
        <f>IF($HE11=0,0,13-MAX((COUNTIF($G11:$V11,TRUE)&gt;0)*($W11&lt;&gt;TRUE)*12,(COUNTIF($X11:$AM11,TRUE)&gt;0)*($AN11&lt;&gt;TRUE)*11,(COUNTIF($AO11:$BD11,TRUE)&gt;0)*($BE11&lt;&gt;TRUE)*10,(COUNTIF($BF11:$BU11,TRUE)&gt;0)*($BV11&lt;&gt;TRUE)*9,(COUNTIF($BW11:$CL11,TRUE)&gt;0)*($CM11&lt;&gt;TRUE)*8,(COUNTIF($CN11:$DC11,TRUE)&gt;0)*($DD11&lt;&gt;TRUE)*7,(COUNTIF($DE11:$DT11,TRUE)&gt;0)*($DU11&lt;&gt;TRUE)*6,(COUNTIF($DV11:$EK11,TRUE)&gt;0)*($EL11&lt;&gt;TRUE)*5,(COUNTIF($EM11:$FB11,TRUE)&gt;0)*($FC11&lt;&gt;TRUE)*4,(COUNTIF($FD11:$FS11,TRUE)&gt;0)*($FT11&lt;&gt;TRUE)*3,(COUNTIF($FU11:$GJ11,TRUE)&gt;0)*($GK11&lt;&gt;TRUE)*2,(COUNTIF($GL11:$HA11,TRUE)&gt;0)*($HB11&lt;&gt;TRUE)*1))</f>
        <v>0</v>
      </c>
    </row>
    <row r="12" ht="22.5" customHeight="1">
      <c r="A12" s="36" t="n">
        <v>8</v>
      </c>
      <c r="B12" s="97" t="n"/>
      <c r="C12" s="28" t="n"/>
      <c r="D12" s="98" t="str">
        <f>IF($B12="","",IF($HC12=97,"-",IF($HD12=0,"متوقف",SUMPRODUCT(($G$4:$HB$4="ح")*($G$20:$HB$20&gt;0)*($G12:$HB12&lt;&gt;TRUE)*($G$47:$HB$47&gt;$HC$1-8)*($G$47:$HB$47&gt;=$HC12)))))</f>
        <v/>
      </c>
      <c r="E12" s="98" t="str">
        <f>IF(OR($B12="",$HC12=97),"",SUMPRODUCT(($G$4:$HA$4="ح")*($G12:$HA12=TRUE)*($H12:$HB12&lt;&gt;TRUE)*($G$47:$HA$47&gt;$HC$1-8)))</f>
        <v/>
      </c>
      <c r="F12" s="99" t="str">
        <f>IF($B12="","",IF($HE12=0,IF($HC12=97,"-","تمام"),IF($HE12=1,IF(INDEX($G$1:$HB$1,1,17*($HF12-1)+1)="","شهر "&amp;$HF12,INDEX($G$1:$HB$1,1,17*($HF12-1)+1)),IF($HE12=2,"شهرين",$HE12&amp;" شهور"))))</f>
        <v/>
      </c>
      <c r="G12" s="100" t="n"/>
      <c r="H12" s="101" t="n"/>
      <c r="I12" s="100" t="n"/>
      <c r="J12" s="101" t="n"/>
      <c r="K12" s="100" t="n"/>
      <c r="L12" s="101" t="n"/>
      <c r="M12" s="100" t="n"/>
      <c r="N12" s="101" t="n"/>
      <c r="O12" s="100" t="n"/>
      <c r="P12" s="101" t="n"/>
      <c r="Q12" s="100" t="n"/>
      <c r="R12" s="101" t="n"/>
      <c r="S12" s="100" t="n"/>
      <c r="T12" s="101" t="n"/>
      <c r="U12" s="100" t="n"/>
      <c r="V12" s="101" t="n"/>
      <c r="W12" s="102" t="n"/>
      <c r="X12" s="103" t="n"/>
      <c r="Y12" s="104" t="n"/>
      <c r="Z12" s="103" t="n"/>
      <c r="AA12" s="104" t="n"/>
      <c r="AB12" s="103" t="n"/>
      <c r="AC12" s="104" t="n"/>
      <c r="AD12" s="103" t="n"/>
      <c r="AE12" s="104" t="n"/>
      <c r="AF12" s="103" t="n"/>
      <c r="AG12" s="104" t="n"/>
      <c r="AH12" s="103" t="n"/>
      <c r="AI12" s="104" t="n"/>
      <c r="AJ12" s="103" t="n"/>
      <c r="AK12" s="104" t="n"/>
      <c r="AL12" s="103" t="n"/>
      <c r="AM12" s="104" t="n"/>
      <c r="AN12" s="105" t="n"/>
      <c r="AO12" s="106" t="n"/>
      <c r="AP12" s="107" t="n"/>
      <c r="AQ12" s="106" t="n"/>
      <c r="AR12" s="107" t="n"/>
      <c r="AS12" s="106" t="n"/>
      <c r="AT12" s="107" t="n"/>
      <c r="AU12" s="106" t="n"/>
      <c r="AV12" s="107" t="n"/>
      <c r="AW12" s="106" t="n"/>
      <c r="AX12" s="107" t="n"/>
      <c r="AY12" s="106" t="n"/>
      <c r="AZ12" s="107" t="n"/>
      <c r="BA12" s="106" t="n"/>
      <c r="BB12" s="107" t="n"/>
      <c r="BC12" s="106" t="n"/>
      <c r="BD12" s="107" t="n"/>
      <c r="BE12" s="108" t="n"/>
      <c r="BF12" s="109" t="n"/>
      <c r="BG12" s="110" t="n"/>
      <c r="BH12" s="109" t="n"/>
      <c r="BI12" s="110" t="n"/>
      <c r="BJ12" s="109" t="n"/>
      <c r="BK12" s="110" t="n"/>
      <c r="BL12" s="109" t="n"/>
      <c r="BM12" s="110" t="n"/>
      <c r="BN12" s="109" t="n"/>
      <c r="BO12" s="110" t="n"/>
      <c r="BP12" s="109" t="n"/>
      <c r="BQ12" s="110" t="n"/>
      <c r="BR12" s="109" t="n"/>
      <c r="BS12" s="110" t="n"/>
      <c r="BT12" s="109" t="n"/>
      <c r="BU12" s="110" t="n"/>
      <c r="BV12" s="111" t="n"/>
      <c r="BW12" s="112" t="n"/>
      <c r="BX12" s="113" t="n"/>
      <c r="BY12" s="112" t="n"/>
      <c r="BZ12" s="113" t="n"/>
      <c r="CA12" s="112" t="n"/>
      <c r="CB12" s="113" t="n"/>
      <c r="CC12" s="112" t="n"/>
      <c r="CD12" s="113" t="n"/>
      <c r="CE12" s="112" t="n"/>
      <c r="CF12" s="113" t="n"/>
      <c r="CG12" s="112" t="n"/>
      <c r="CH12" s="113" t="n"/>
      <c r="CI12" s="112" t="n"/>
      <c r="CJ12" s="113" t="n"/>
      <c r="CK12" s="112" t="n"/>
      <c r="CL12" s="113" t="n"/>
      <c r="CM12" s="114" t="n"/>
      <c r="CN12" s="115" t="n"/>
      <c r="CO12" s="116" t="n"/>
      <c r="CP12" s="115" t="n"/>
      <c r="CQ12" s="116" t="n"/>
      <c r="CR12" s="115" t="n"/>
      <c r="CS12" s="116" t="n"/>
      <c r="CT12" s="115" t="n"/>
      <c r="CU12" s="116" t="n"/>
      <c r="CV12" s="115" t="n"/>
      <c r="CW12" s="116" t="n"/>
      <c r="CX12" s="115" t="n"/>
      <c r="CY12" s="116" t="n"/>
      <c r="CZ12" s="115" t="n"/>
      <c r="DA12" s="116" t="n"/>
      <c r="DB12" s="115" t="n"/>
      <c r="DC12" s="116" t="n"/>
      <c r="DD12" s="117" t="n"/>
      <c r="DE12" s="118" t="n"/>
      <c r="DF12" s="119" t="n"/>
      <c r="DG12" s="118" t="n"/>
      <c r="DH12" s="119" t="n"/>
      <c r="DI12" s="118" t="n"/>
      <c r="DJ12" s="119" t="n"/>
      <c r="DK12" s="118" t="n"/>
      <c r="DL12" s="119" t="n"/>
      <c r="DM12" s="118" t="n"/>
      <c r="DN12" s="119" t="n"/>
      <c r="DO12" s="118" t="n"/>
      <c r="DP12" s="119" t="n"/>
      <c r="DQ12" s="118" t="n"/>
      <c r="DR12" s="119" t="n"/>
      <c r="DS12" s="118" t="n"/>
      <c r="DT12" s="119" t="n"/>
      <c r="DU12" s="120" t="n"/>
      <c r="DV12" s="121" t="n"/>
      <c r="DW12" s="122" t="n"/>
      <c r="DX12" s="121" t="n"/>
      <c r="DY12" s="122" t="n"/>
      <c r="DZ12" s="121" t="n"/>
      <c r="EA12" s="122" t="n"/>
      <c r="EB12" s="121" t="n"/>
      <c r="EC12" s="122" t="n"/>
      <c r="ED12" s="121" t="n"/>
      <c r="EE12" s="122" t="n"/>
      <c r="EF12" s="121" t="n"/>
      <c r="EG12" s="122" t="n"/>
      <c r="EH12" s="121" t="n"/>
      <c r="EI12" s="122" t="n"/>
      <c r="EJ12" s="121" t="n"/>
      <c r="EK12" s="122" t="n"/>
      <c r="EL12" s="123" t="n"/>
      <c r="EM12" s="124" t="n"/>
      <c r="EN12" s="125" t="n"/>
      <c r="EO12" s="124" t="n"/>
      <c r="EP12" s="125" t="n"/>
      <c r="EQ12" s="124" t="n"/>
      <c r="ER12" s="125" t="n"/>
      <c r="ES12" s="124" t="n"/>
      <c r="ET12" s="125" t="n"/>
      <c r="EU12" s="124" t="n"/>
      <c r="EV12" s="125" t="n"/>
      <c r="EW12" s="124" t="n"/>
      <c r="EX12" s="125" t="n"/>
      <c r="EY12" s="124" t="n"/>
      <c r="EZ12" s="125" t="n"/>
      <c r="FA12" s="124" t="n"/>
      <c r="FB12" s="125" t="n"/>
      <c r="FC12" s="126" t="n"/>
      <c r="FD12" s="127" t="n"/>
      <c r="FE12" s="128" t="n"/>
      <c r="FF12" s="127" t="n"/>
      <c r="FG12" s="128" t="n"/>
      <c r="FH12" s="127" t="n"/>
      <c r="FI12" s="128" t="n"/>
      <c r="FJ12" s="127" t="n"/>
      <c r="FK12" s="128" t="n"/>
      <c r="FL12" s="127" t="n"/>
      <c r="FM12" s="128" t="n"/>
      <c r="FN12" s="127" t="n"/>
      <c r="FO12" s="128" t="n"/>
      <c r="FP12" s="127" t="n"/>
      <c r="FQ12" s="128" t="n"/>
      <c r="FR12" s="127" t="n"/>
      <c r="FS12" s="128" t="n"/>
      <c r="FT12" s="129" t="n"/>
      <c r="FU12" s="130" t="n"/>
      <c r="FV12" s="131" t="n"/>
      <c r="FW12" s="130" t="n"/>
      <c r="FX12" s="131" t="n"/>
      <c r="FY12" s="130" t="n"/>
      <c r="FZ12" s="131" t="n"/>
      <c r="GA12" s="130" t="n"/>
      <c r="GB12" s="131" t="n"/>
      <c r="GC12" s="130" t="n"/>
      <c r="GD12" s="131" t="n"/>
      <c r="GE12" s="130" t="n"/>
      <c r="GF12" s="131" t="n"/>
      <c r="GG12" s="130" t="n"/>
      <c r="GH12" s="131" t="n"/>
      <c r="GI12" s="130" t="n"/>
      <c r="GJ12" s="131" t="n"/>
      <c r="GK12" s="132" t="n"/>
      <c r="GL12" s="133" t="n"/>
      <c r="GM12" s="134" t="n"/>
      <c r="GN12" s="133" t="n"/>
      <c r="GO12" s="134" t="n"/>
      <c r="GP12" s="133" t="n"/>
      <c r="GQ12" s="134" t="n"/>
      <c r="GR12" s="133" t="n"/>
      <c r="GS12" s="134" t="n"/>
      <c r="GT12" s="133" t="n"/>
      <c r="GU12" s="134" t="n"/>
      <c r="GV12" s="133" t="n"/>
      <c r="GW12" s="134" t="n"/>
      <c r="GX12" s="133" t="n"/>
      <c r="GY12" s="134" t="n"/>
      <c r="GZ12" s="133" t="n"/>
      <c r="HA12" s="134" t="n"/>
      <c r="HB12" s="135" t="n"/>
      <c r="HC12">
        <f>97-SUMPRODUCT(MAX(($G$4:$HB$4="ح")*($G12:$HB12=TRUE)*(97-$G$47:$HB$47)))</f>
        <v>97</v>
      </c>
      <c r="HD12">
        <f>SUMPRODUCT(($G$4:$HB$4="ح")*($G12:$HB12=TRUE)*($G$47:$HB$47&gt;$HC$1-8))</f>
        <v>0</v>
      </c>
      <c r="HE12">
        <f>(COUNTIF($G12:$V12,TRUE)&gt;0)*($W12&lt;&gt;TRUE)+(COUNTIF($X12:$AM12,TRUE)&gt;0)*($AN12&lt;&gt;TRUE)+(COUNTIF($AO12:$BD12,TRUE)&gt;0)*($BE12&lt;&gt;TRUE)+(COUNTIF($BF12:$BU12,TRUE)&gt;0)*($BV12&lt;&gt;TRUE)+(COUNTIF($BW12:$CL12,TRUE)&gt;0)*($CM12&lt;&gt;TRUE)+(COUNTIF($CN12:$DC12,TRUE)&gt;0)*($DD12&lt;&gt;TRUE)+(COUNTIF($DE12:$DT12,TRUE)&gt;0)*($DU12&lt;&gt;TRUE)+(COUNTIF($DV12:$EK12,TRUE)&gt;0)*($EL12&lt;&gt;TRUE)+(COUNTIF($EM12:$FB12,TRUE)&gt;0)*($FC12&lt;&gt;TRUE)+(COUNTIF($FD12:$FS12,TRUE)&gt;0)*($FT12&lt;&gt;TRUE)+(COUNTIF($FU12:$GJ12,TRUE)&gt;0)*($GK12&lt;&gt;TRUE)+(COUNTIF($GL12:$HA12,TRUE)&gt;0)*($HB12&lt;&gt;TRUE)</f>
        <v>0</v>
      </c>
      <c r="HF12">
        <f>IF($HE12=0,0,13-MAX((COUNTIF($G12:$V12,TRUE)&gt;0)*($W12&lt;&gt;TRUE)*12,(COUNTIF($X12:$AM12,TRUE)&gt;0)*($AN12&lt;&gt;TRUE)*11,(COUNTIF($AO12:$BD12,TRUE)&gt;0)*($BE12&lt;&gt;TRUE)*10,(COUNTIF($BF12:$BU12,TRUE)&gt;0)*($BV12&lt;&gt;TRUE)*9,(COUNTIF($BW12:$CL12,TRUE)&gt;0)*($CM12&lt;&gt;TRUE)*8,(COUNTIF($CN12:$DC12,TRUE)&gt;0)*($DD12&lt;&gt;TRUE)*7,(COUNTIF($DE12:$DT12,TRUE)&gt;0)*($DU12&lt;&gt;TRUE)*6,(COUNTIF($DV12:$EK12,TRUE)&gt;0)*($EL12&lt;&gt;TRUE)*5,(COUNTIF($EM12:$FB12,TRUE)&gt;0)*($FC12&lt;&gt;TRUE)*4,(COUNTIF($FD12:$FS12,TRUE)&gt;0)*($FT12&lt;&gt;TRUE)*3,(COUNTIF($FU12:$GJ12,TRUE)&gt;0)*($GK12&lt;&gt;TRUE)*2,(COUNTIF($GL12:$HA12,TRUE)&gt;0)*($HB12&lt;&gt;TRUE)*1))</f>
        <v>0</v>
      </c>
    </row>
    <row r="13" ht="22.5" customHeight="1">
      <c r="A13" s="36" t="n">
        <v>9</v>
      </c>
      <c r="B13" s="97" t="n"/>
      <c r="C13" s="28" t="n"/>
      <c r="D13" s="98" t="str">
        <f>IF($B13="","",IF($HC13=97,"-",IF($HD13=0,"متوقف",SUMPRODUCT(($G$4:$HB$4="ح")*($G$20:$HB$20&gt;0)*($G13:$HB13&lt;&gt;TRUE)*($G$47:$HB$47&gt;$HC$1-8)*($G$47:$HB$47&gt;=$HC13)))))</f>
        <v/>
      </c>
      <c r="E13" s="98" t="str">
        <f>IF(OR($B13="",$HC13=97),"",SUMPRODUCT(($G$4:$HA$4="ح")*($G13:$HA13=TRUE)*($H13:$HB13&lt;&gt;TRUE)*($G$47:$HA$47&gt;$HC$1-8)))</f>
        <v/>
      </c>
      <c r="F13" s="99" t="str">
        <f>IF($B13="","",IF($HE13=0,IF($HC13=97,"-","تمام"),IF($HE13=1,IF(INDEX($G$1:$HB$1,1,17*($HF13-1)+1)="","شهر "&amp;$HF13,INDEX($G$1:$HB$1,1,17*($HF13-1)+1)),IF($HE13=2,"شهرين",$HE13&amp;" شهور"))))</f>
        <v/>
      </c>
      <c r="G13" s="100" t="n"/>
      <c r="H13" s="101" t="n"/>
      <c r="I13" s="100" t="n"/>
      <c r="J13" s="101" t="n"/>
      <c r="K13" s="100" t="n"/>
      <c r="L13" s="101" t="n"/>
      <c r="M13" s="100" t="n"/>
      <c r="N13" s="101" t="n"/>
      <c r="O13" s="100" t="n"/>
      <c r="P13" s="101" t="n"/>
      <c r="Q13" s="100" t="n"/>
      <c r="R13" s="101" t="n"/>
      <c r="S13" s="100" t="n"/>
      <c r="T13" s="101" t="n"/>
      <c r="U13" s="100" t="n"/>
      <c r="V13" s="101" t="n"/>
      <c r="W13" s="102" t="n"/>
      <c r="X13" s="103" t="n"/>
      <c r="Y13" s="104" t="n"/>
      <c r="Z13" s="103" t="n"/>
      <c r="AA13" s="104" t="n"/>
      <c r="AB13" s="103" t="n"/>
      <c r="AC13" s="104" t="n"/>
      <c r="AD13" s="103" t="n"/>
      <c r="AE13" s="104" t="n"/>
      <c r="AF13" s="103" t="n"/>
      <c r="AG13" s="104" t="n"/>
      <c r="AH13" s="103" t="n"/>
      <c r="AI13" s="104" t="n"/>
      <c r="AJ13" s="103" t="n"/>
      <c r="AK13" s="104" t="n"/>
      <c r="AL13" s="103" t="n"/>
      <c r="AM13" s="104" t="n"/>
      <c r="AN13" s="105" t="n"/>
      <c r="AO13" s="106" t="n"/>
      <c r="AP13" s="107" t="n"/>
      <c r="AQ13" s="106" t="n"/>
      <c r="AR13" s="107" t="n"/>
      <c r="AS13" s="106" t="n"/>
      <c r="AT13" s="107" t="n"/>
      <c r="AU13" s="106" t="n"/>
      <c r="AV13" s="107" t="n"/>
      <c r="AW13" s="106" t="n"/>
      <c r="AX13" s="107" t="n"/>
      <c r="AY13" s="106" t="n"/>
      <c r="AZ13" s="107" t="n"/>
      <c r="BA13" s="106" t="n"/>
      <c r="BB13" s="107" t="n"/>
      <c r="BC13" s="106" t="n"/>
      <c r="BD13" s="107" t="n"/>
      <c r="BE13" s="108" t="n"/>
      <c r="BF13" s="109" t="n"/>
      <c r="BG13" s="110" t="n"/>
      <c r="BH13" s="109" t="n"/>
      <c r="BI13" s="110" t="n"/>
      <c r="BJ13" s="109" t="n"/>
      <c r="BK13" s="110" t="n"/>
      <c r="BL13" s="109" t="n"/>
      <c r="BM13" s="110" t="n"/>
      <c r="BN13" s="109" t="n"/>
      <c r="BO13" s="110" t="n"/>
      <c r="BP13" s="109" t="n"/>
      <c r="BQ13" s="110" t="n"/>
      <c r="BR13" s="109" t="n"/>
      <c r="BS13" s="110" t="n"/>
      <c r="BT13" s="109" t="n"/>
      <c r="BU13" s="110" t="n"/>
      <c r="BV13" s="111" t="n"/>
      <c r="BW13" s="112" t="n"/>
      <c r="BX13" s="113" t="n"/>
      <c r="BY13" s="112" t="n"/>
      <c r="BZ13" s="113" t="n"/>
      <c r="CA13" s="112" t="n"/>
      <c r="CB13" s="113" t="n"/>
      <c r="CC13" s="112" t="n"/>
      <c r="CD13" s="113" t="n"/>
      <c r="CE13" s="112" t="n"/>
      <c r="CF13" s="113" t="n"/>
      <c r="CG13" s="112" t="n"/>
      <c r="CH13" s="113" t="n"/>
      <c r="CI13" s="112" t="n"/>
      <c r="CJ13" s="113" t="n"/>
      <c r="CK13" s="112" t="n"/>
      <c r="CL13" s="113" t="n"/>
      <c r="CM13" s="114" t="n"/>
      <c r="CN13" s="115" t="n"/>
      <c r="CO13" s="116" t="n"/>
      <c r="CP13" s="115" t="n"/>
      <c r="CQ13" s="116" t="n"/>
      <c r="CR13" s="115" t="n"/>
      <c r="CS13" s="116" t="n"/>
      <c r="CT13" s="115" t="n"/>
      <c r="CU13" s="116" t="n"/>
      <c r="CV13" s="115" t="n"/>
      <c r="CW13" s="116" t="n"/>
      <c r="CX13" s="115" t="n"/>
      <c r="CY13" s="116" t="n"/>
      <c r="CZ13" s="115" t="n"/>
      <c r="DA13" s="116" t="n"/>
      <c r="DB13" s="115" t="n"/>
      <c r="DC13" s="116" t="n"/>
      <c r="DD13" s="117" t="n"/>
      <c r="DE13" s="118" t="n"/>
      <c r="DF13" s="119" t="n"/>
      <c r="DG13" s="118" t="n"/>
      <c r="DH13" s="119" t="n"/>
      <c r="DI13" s="118" t="n"/>
      <c r="DJ13" s="119" t="n"/>
      <c r="DK13" s="118" t="n"/>
      <c r="DL13" s="119" t="n"/>
      <c r="DM13" s="118" t="n"/>
      <c r="DN13" s="119" t="n"/>
      <c r="DO13" s="118" t="n"/>
      <c r="DP13" s="119" t="n"/>
      <c r="DQ13" s="118" t="n"/>
      <c r="DR13" s="119" t="n"/>
      <c r="DS13" s="118" t="n"/>
      <c r="DT13" s="119" t="n"/>
      <c r="DU13" s="120" t="n"/>
      <c r="DV13" s="121" t="n"/>
      <c r="DW13" s="122" t="n"/>
      <c r="DX13" s="121" t="n"/>
      <c r="DY13" s="122" t="n"/>
      <c r="DZ13" s="121" t="n"/>
      <c r="EA13" s="122" t="n"/>
      <c r="EB13" s="121" t="n"/>
      <c r="EC13" s="122" t="n"/>
      <c r="ED13" s="121" t="n"/>
      <c r="EE13" s="122" t="n"/>
      <c r="EF13" s="121" t="n"/>
      <c r="EG13" s="122" t="n"/>
      <c r="EH13" s="121" t="n"/>
      <c r="EI13" s="122" t="n"/>
      <c r="EJ13" s="121" t="n"/>
      <c r="EK13" s="122" t="n"/>
      <c r="EL13" s="123" t="n"/>
      <c r="EM13" s="124" t="n"/>
      <c r="EN13" s="125" t="n"/>
      <c r="EO13" s="124" t="n"/>
      <c r="EP13" s="125" t="n"/>
      <c r="EQ13" s="124" t="n"/>
      <c r="ER13" s="125" t="n"/>
      <c r="ES13" s="124" t="n"/>
      <c r="ET13" s="125" t="n"/>
      <c r="EU13" s="124" t="n"/>
      <c r="EV13" s="125" t="n"/>
      <c r="EW13" s="124" t="n"/>
      <c r="EX13" s="125" t="n"/>
      <c r="EY13" s="124" t="n"/>
      <c r="EZ13" s="125" t="n"/>
      <c r="FA13" s="124" t="n"/>
      <c r="FB13" s="125" t="n"/>
      <c r="FC13" s="126" t="n"/>
      <c r="FD13" s="127" t="n"/>
      <c r="FE13" s="128" t="n"/>
      <c r="FF13" s="127" t="n"/>
      <c r="FG13" s="128" t="n"/>
      <c r="FH13" s="127" t="n"/>
      <c r="FI13" s="128" t="n"/>
      <c r="FJ13" s="127" t="n"/>
      <c r="FK13" s="128" t="n"/>
      <c r="FL13" s="127" t="n"/>
      <c r="FM13" s="128" t="n"/>
      <c r="FN13" s="127" t="n"/>
      <c r="FO13" s="128" t="n"/>
      <c r="FP13" s="127" t="n"/>
      <c r="FQ13" s="128" t="n"/>
      <c r="FR13" s="127" t="n"/>
      <c r="FS13" s="128" t="n"/>
      <c r="FT13" s="129" t="n"/>
      <c r="FU13" s="130" t="n"/>
      <c r="FV13" s="131" t="n"/>
      <c r="FW13" s="130" t="n"/>
      <c r="FX13" s="131" t="n"/>
      <c r="FY13" s="130" t="n"/>
      <c r="FZ13" s="131" t="n"/>
      <c r="GA13" s="130" t="n"/>
      <c r="GB13" s="131" t="n"/>
      <c r="GC13" s="130" t="n"/>
      <c r="GD13" s="131" t="n"/>
      <c r="GE13" s="130" t="n"/>
      <c r="GF13" s="131" t="n"/>
      <c r="GG13" s="130" t="n"/>
      <c r="GH13" s="131" t="n"/>
      <c r="GI13" s="130" t="n"/>
      <c r="GJ13" s="131" t="n"/>
      <c r="GK13" s="132" t="n"/>
      <c r="GL13" s="133" t="n"/>
      <c r="GM13" s="134" t="n"/>
      <c r="GN13" s="133" t="n"/>
      <c r="GO13" s="134" t="n"/>
      <c r="GP13" s="133" t="n"/>
      <c r="GQ13" s="134" t="n"/>
      <c r="GR13" s="133" t="n"/>
      <c r="GS13" s="134" t="n"/>
      <c r="GT13" s="133" t="n"/>
      <c r="GU13" s="134" t="n"/>
      <c r="GV13" s="133" t="n"/>
      <c r="GW13" s="134" t="n"/>
      <c r="GX13" s="133" t="n"/>
      <c r="GY13" s="134" t="n"/>
      <c r="GZ13" s="133" t="n"/>
      <c r="HA13" s="134" t="n"/>
      <c r="HB13" s="135" t="n"/>
      <c r="HC13">
        <f>97-SUMPRODUCT(MAX(($G$4:$HB$4="ح")*($G13:$HB13=TRUE)*(97-$G$47:$HB$47)))</f>
        <v>97</v>
      </c>
      <c r="HD13">
        <f>SUMPRODUCT(($G$4:$HB$4="ح")*($G13:$HB13=TRUE)*($G$47:$HB$47&gt;$HC$1-8))</f>
        <v>0</v>
      </c>
      <c r="HE13">
        <f>(COUNTIF($G13:$V13,TRUE)&gt;0)*($W13&lt;&gt;TRUE)+(COUNTIF($X13:$AM13,TRUE)&gt;0)*($AN13&lt;&gt;TRUE)+(COUNTIF($AO13:$BD13,TRUE)&gt;0)*($BE13&lt;&gt;TRUE)+(COUNTIF($BF13:$BU13,TRUE)&gt;0)*($BV13&lt;&gt;TRUE)+(COUNTIF($BW13:$CL13,TRUE)&gt;0)*($CM13&lt;&gt;TRUE)+(COUNTIF($CN13:$DC13,TRUE)&gt;0)*($DD13&lt;&gt;TRUE)+(COUNTIF($DE13:$DT13,TRUE)&gt;0)*($DU13&lt;&gt;TRUE)+(COUNTIF($DV13:$EK13,TRUE)&gt;0)*($EL13&lt;&gt;TRUE)+(COUNTIF($EM13:$FB13,TRUE)&gt;0)*($FC13&lt;&gt;TRUE)+(COUNTIF($FD13:$FS13,TRUE)&gt;0)*($FT13&lt;&gt;TRUE)+(COUNTIF($FU13:$GJ13,TRUE)&gt;0)*($GK13&lt;&gt;TRUE)+(COUNTIF($GL13:$HA13,TRUE)&gt;0)*($HB13&lt;&gt;TRUE)</f>
        <v>0</v>
      </c>
      <c r="HF13">
        <f>IF($HE13=0,0,13-MAX((COUNTIF($G13:$V13,TRUE)&gt;0)*($W13&lt;&gt;TRUE)*12,(COUNTIF($X13:$AM13,TRUE)&gt;0)*($AN13&lt;&gt;TRUE)*11,(COUNTIF($AO13:$BD13,TRUE)&gt;0)*($BE13&lt;&gt;TRUE)*10,(COUNTIF($BF13:$BU13,TRUE)&gt;0)*($BV13&lt;&gt;TRUE)*9,(COUNTIF($BW13:$CL13,TRUE)&gt;0)*($CM13&lt;&gt;TRUE)*8,(COUNTIF($CN13:$DC13,TRUE)&gt;0)*($DD13&lt;&gt;TRUE)*7,(COUNTIF($DE13:$DT13,TRUE)&gt;0)*($DU13&lt;&gt;TRUE)*6,(COUNTIF($DV13:$EK13,TRUE)&gt;0)*($EL13&lt;&gt;TRUE)*5,(COUNTIF($EM13:$FB13,TRUE)&gt;0)*($FC13&lt;&gt;TRUE)*4,(COUNTIF($FD13:$FS13,TRUE)&gt;0)*($FT13&lt;&gt;TRUE)*3,(COUNTIF($FU13:$GJ13,TRUE)&gt;0)*($GK13&lt;&gt;TRUE)*2,(COUNTIF($GL13:$HA13,TRUE)&gt;0)*($HB13&lt;&gt;TRUE)*1))</f>
        <v>0</v>
      </c>
    </row>
    <row r="14" ht="22.5" customHeight="1">
      <c r="A14" s="36" t="n">
        <v>10</v>
      </c>
      <c r="B14" s="97" t="n"/>
      <c r="C14" s="28" t="n"/>
      <c r="D14" s="98" t="str">
        <f>IF($B14="","",IF($HC14=97,"-",IF($HD14=0,"متوقف",SUMPRODUCT(($G$4:$HB$4="ح")*($G$20:$HB$20&gt;0)*($G14:$HB14&lt;&gt;TRUE)*($G$47:$HB$47&gt;$HC$1-8)*($G$47:$HB$47&gt;=$HC14)))))</f>
        <v/>
      </c>
      <c r="E14" s="98" t="str">
        <f>IF(OR($B14="",$HC14=97),"",SUMPRODUCT(($G$4:$HA$4="ح")*($G14:$HA14=TRUE)*($H14:$HB14&lt;&gt;TRUE)*($G$47:$HA$47&gt;$HC$1-8)))</f>
        <v/>
      </c>
      <c r="F14" s="99" t="str">
        <f>IF($B14="","",IF($HE14=0,IF($HC14=97,"-","تمام"),IF($HE14=1,IF(INDEX($G$1:$HB$1,1,17*($HF14-1)+1)="","شهر "&amp;$HF14,INDEX($G$1:$HB$1,1,17*($HF14-1)+1)),IF($HE14=2,"شهرين",$HE14&amp;" شهور"))))</f>
        <v/>
      </c>
      <c r="G14" s="100" t="n"/>
      <c r="H14" s="101" t="n"/>
      <c r="I14" s="100" t="n"/>
      <c r="J14" s="101" t="n"/>
      <c r="K14" s="100" t="n"/>
      <c r="L14" s="101" t="n"/>
      <c r="M14" s="100" t="n"/>
      <c r="N14" s="101" t="n"/>
      <c r="O14" s="100" t="n"/>
      <c r="P14" s="101" t="n"/>
      <c r="Q14" s="100" t="n"/>
      <c r="R14" s="101" t="n"/>
      <c r="S14" s="100" t="n"/>
      <c r="T14" s="101" t="n"/>
      <c r="U14" s="100" t="n"/>
      <c r="V14" s="101" t="n"/>
      <c r="W14" s="102" t="n"/>
      <c r="X14" s="103" t="n"/>
      <c r="Y14" s="104" t="n"/>
      <c r="Z14" s="103" t="n"/>
      <c r="AA14" s="104" t="n"/>
      <c r="AB14" s="103" t="n"/>
      <c r="AC14" s="104" t="n"/>
      <c r="AD14" s="103" t="n"/>
      <c r="AE14" s="104" t="n"/>
      <c r="AF14" s="103" t="n"/>
      <c r="AG14" s="104" t="n"/>
      <c r="AH14" s="103" t="n"/>
      <c r="AI14" s="104" t="n"/>
      <c r="AJ14" s="103" t="n"/>
      <c r="AK14" s="104" t="n"/>
      <c r="AL14" s="103" t="n"/>
      <c r="AM14" s="104" t="n"/>
      <c r="AN14" s="105" t="n"/>
      <c r="AO14" s="106" t="n"/>
      <c r="AP14" s="107" t="n"/>
      <c r="AQ14" s="106" t="n"/>
      <c r="AR14" s="107" t="n"/>
      <c r="AS14" s="106" t="n"/>
      <c r="AT14" s="107" t="n"/>
      <c r="AU14" s="106" t="n"/>
      <c r="AV14" s="107" t="n"/>
      <c r="AW14" s="106" t="n"/>
      <c r="AX14" s="107" t="n"/>
      <c r="AY14" s="106" t="n"/>
      <c r="AZ14" s="107" t="n"/>
      <c r="BA14" s="106" t="n"/>
      <c r="BB14" s="107" t="n"/>
      <c r="BC14" s="106" t="n"/>
      <c r="BD14" s="107" t="n"/>
      <c r="BE14" s="108" t="n"/>
      <c r="BF14" s="109" t="n"/>
      <c r="BG14" s="110" t="n"/>
      <c r="BH14" s="109" t="n"/>
      <c r="BI14" s="110" t="n"/>
      <c r="BJ14" s="109" t="n"/>
      <c r="BK14" s="110" t="n"/>
      <c r="BL14" s="109" t="n"/>
      <c r="BM14" s="110" t="n"/>
      <c r="BN14" s="109" t="n"/>
      <c r="BO14" s="110" t="n"/>
      <c r="BP14" s="109" t="n"/>
      <c r="BQ14" s="110" t="n"/>
      <c r="BR14" s="109" t="n"/>
      <c r="BS14" s="110" t="n"/>
      <c r="BT14" s="109" t="n"/>
      <c r="BU14" s="110" t="n"/>
      <c r="BV14" s="111" t="n"/>
      <c r="BW14" s="112" t="n"/>
      <c r="BX14" s="113" t="n"/>
      <c r="BY14" s="112" t="n"/>
      <c r="BZ14" s="113" t="n"/>
      <c r="CA14" s="112" t="n"/>
      <c r="CB14" s="113" t="n"/>
      <c r="CC14" s="112" t="n"/>
      <c r="CD14" s="113" t="n"/>
      <c r="CE14" s="112" t="n"/>
      <c r="CF14" s="113" t="n"/>
      <c r="CG14" s="112" t="n"/>
      <c r="CH14" s="113" t="n"/>
      <c r="CI14" s="112" t="n"/>
      <c r="CJ14" s="113" t="n"/>
      <c r="CK14" s="112" t="n"/>
      <c r="CL14" s="113" t="n"/>
      <c r="CM14" s="114" t="n"/>
      <c r="CN14" s="115" t="n"/>
      <c r="CO14" s="116" t="n"/>
      <c r="CP14" s="115" t="n"/>
      <c r="CQ14" s="116" t="n"/>
      <c r="CR14" s="115" t="n"/>
      <c r="CS14" s="116" t="n"/>
      <c r="CT14" s="115" t="n"/>
      <c r="CU14" s="116" t="n"/>
      <c r="CV14" s="115" t="n"/>
      <c r="CW14" s="116" t="n"/>
      <c r="CX14" s="115" t="n"/>
      <c r="CY14" s="116" t="n"/>
      <c r="CZ14" s="115" t="n"/>
      <c r="DA14" s="116" t="n"/>
      <c r="DB14" s="115" t="n"/>
      <c r="DC14" s="116" t="n"/>
      <c r="DD14" s="117" t="n"/>
      <c r="DE14" s="118" t="n"/>
      <c r="DF14" s="119" t="n"/>
      <c r="DG14" s="118" t="n"/>
      <c r="DH14" s="119" t="n"/>
      <c r="DI14" s="118" t="n"/>
      <c r="DJ14" s="119" t="n"/>
      <c r="DK14" s="118" t="n"/>
      <c r="DL14" s="119" t="n"/>
      <c r="DM14" s="118" t="n"/>
      <c r="DN14" s="119" t="n"/>
      <c r="DO14" s="118" t="n"/>
      <c r="DP14" s="119" t="n"/>
      <c r="DQ14" s="118" t="n"/>
      <c r="DR14" s="119" t="n"/>
      <c r="DS14" s="118" t="n"/>
      <c r="DT14" s="119" t="n"/>
      <c r="DU14" s="120" t="n"/>
      <c r="DV14" s="121" t="n"/>
      <c r="DW14" s="122" t="n"/>
      <c r="DX14" s="121" t="n"/>
      <c r="DY14" s="122" t="n"/>
      <c r="DZ14" s="121" t="n"/>
      <c r="EA14" s="122" t="n"/>
      <c r="EB14" s="121" t="n"/>
      <c r="EC14" s="122" t="n"/>
      <c r="ED14" s="121" t="n"/>
      <c r="EE14" s="122" t="n"/>
      <c r="EF14" s="121" t="n"/>
      <c r="EG14" s="122" t="n"/>
      <c r="EH14" s="121" t="n"/>
      <c r="EI14" s="122" t="n"/>
      <c r="EJ14" s="121" t="n"/>
      <c r="EK14" s="122" t="n"/>
      <c r="EL14" s="123" t="n"/>
      <c r="EM14" s="124" t="n"/>
      <c r="EN14" s="125" t="n"/>
      <c r="EO14" s="124" t="n"/>
      <c r="EP14" s="125" t="n"/>
      <c r="EQ14" s="124" t="n"/>
      <c r="ER14" s="125" t="n"/>
      <c r="ES14" s="124" t="n"/>
      <c r="ET14" s="125" t="n"/>
      <c r="EU14" s="124" t="n"/>
      <c r="EV14" s="125" t="n"/>
      <c r="EW14" s="124" t="n"/>
      <c r="EX14" s="125" t="n"/>
      <c r="EY14" s="124" t="n"/>
      <c r="EZ14" s="125" t="n"/>
      <c r="FA14" s="124" t="n"/>
      <c r="FB14" s="125" t="n"/>
      <c r="FC14" s="126" t="n"/>
      <c r="FD14" s="127" t="n"/>
      <c r="FE14" s="128" t="n"/>
      <c r="FF14" s="127" t="n"/>
      <c r="FG14" s="128" t="n"/>
      <c r="FH14" s="127" t="n"/>
      <c r="FI14" s="128" t="n"/>
      <c r="FJ14" s="127" t="n"/>
      <c r="FK14" s="128" t="n"/>
      <c r="FL14" s="127" t="n"/>
      <c r="FM14" s="128" t="n"/>
      <c r="FN14" s="127" t="n"/>
      <c r="FO14" s="128" t="n"/>
      <c r="FP14" s="127" t="n"/>
      <c r="FQ14" s="128" t="n"/>
      <c r="FR14" s="127" t="n"/>
      <c r="FS14" s="128" t="n"/>
      <c r="FT14" s="129" t="n"/>
      <c r="FU14" s="130" t="n"/>
      <c r="FV14" s="131" t="n"/>
      <c r="FW14" s="130" t="n"/>
      <c r="FX14" s="131" t="n"/>
      <c r="FY14" s="130" t="n"/>
      <c r="FZ14" s="131" t="n"/>
      <c r="GA14" s="130" t="n"/>
      <c r="GB14" s="131" t="n"/>
      <c r="GC14" s="130" t="n"/>
      <c r="GD14" s="131" t="n"/>
      <c r="GE14" s="130" t="n"/>
      <c r="GF14" s="131" t="n"/>
      <c r="GG14" s="130" t="n"/>
      <c r="GH14" s="131" t="n"/>
      <c r="GI14" s="130" t="n"/>
      <c r="GJ14" s="131" t="n"/>
      <c r="GK14" s="132" t="n"/>
      <c r="GL14" s="133" t="n"/>
      <c r="GM14" s="134" t="n"/>
      <c r="GN14" s="133" t="n"/>
      <c r="GO14" s="134" t="n"/>
      <c r="GP14" s="133" t="n"/>
      <c r="GQ14" s="134" t="n"/>
      <c r="GR14" s="133" t="n"/>
      <c r="GS14" s="134" t="n"/>
      <c r="GT14" s="133" t="n"/>
      <c r="GU14" s="134" t="n"/>
      <c r="GV14" s="133" t="n"/>
      <c r="GW14" s="134" t="n"/>
      <c r="GX14" s="133" t="n"/>
      <c r="GY14" s="134" t="n"/>
      <c r="GZ14" s="133" t="n"/>
      <c r="HA14" s="134" t="n"/>
      <c r="HB14" s="135" t="n"/>
      <c r="HC14">
        <f>97-SUMPRODUCT(MAX(($G$4:$HB$4="ح")*($G14:$HB14=TRUE)*(97-$G$47:$HB$47)))</f>
        <v>97</v>
      </c>
      <c r="HD14">
        <f>SUMPRODUCT(($G$4:$HB$4="ح")*($G14:$HB14=TRUE)*($G$47:$HB$47&gt;$HC$1-8))</f>
        <v>0</v>
      </c>
      <c r="HE14">
        <f>(COUNTIF($G14:$V14,TRUE)&gt;0)*($W14&lt;&gt;TRUE)+(COUNTIF($X14:$AM14,TRUE)&gt;0)*($AN14&lt;&gt;TRUE)+(COUNTIF($AO14:$BD14,TRUE)&gt;0)*($BE14&lt;&gt;TRUE)+(COUNTIF($BF14:$BU14,TRUE)&gt;0)*($BV14&lt;&gt;TRUE)+(COUNTIF($BW14:$CL14,TRUE)&gt;0)*($CM14&lt;&gt;TRUE)+(COUNTIF($CN14:$DC14,TRUE)&gt;0)*($DD14&lt;&gt;TRUE)+(COUNTIF($DE14:$DT14,TRUE)&gt;0)*($DU14&lt;&gt;TRUE)+(COUNTIF($DV14:$EK14,TRUE)&gt;0)*($EL14&lt;&gt;TRUE)+(COUNTIF($EM14:$FB14,TRUE)&gt;0)*($FC14&lt;&gt;TRUE)+(COUNTIF($FD14:$FS14,TRUE)&gt;0)*($FT14&lt;&gt;TRUE)+(COUNTIF($FU14:$GJ14,TRUE)&gt;0)*($GK14&lt;&gt;TRUE)+(COUNTIF($GL14:$HA14,TRUE)&gt;0)*($HB14&lt;&gt;TRUE)</f>
        <v>0</v>
      </c>
      <c r="HF14">
        <f>IF($HE14=0,0,13-MAX((COUNTIF($G14:$V14,TRUE)&gt;0)*($W14&lt;&gt;TRUE)*12,(COUNTIF($X14:$AM14,TRUE)&gt;0)*($AN14&lt;&gt;TRUE)*11,(COUNTIF($AO14:$BD14,TRUE)&gt;0)*($BE14&lt;&gt;TRUE)*10,(COUNTIF($BF14:$BU14,TRUE)&gt;0)*($BV14&lt;&gt;TRUE)*9,(COUNTIF($BW14:$CL14,TRUE)&gt;0)*($CM14&lt;&gt;TRUE)*8,(COUNTIF($CN14:$DC14,TRUE)&gt;0)*($DD14&lt;&gt;TRUE)*7,(COUNTIF($DE14:$DT14,TRUE)&gt;0)*($DU14&lt;&gt;TRUE)*6,(COUNTIF($DV14:$EK14,TRUE)&gt;0)*($EL14&lt;&gt;TRUE)*5,(COUNTIF($EM14:$FB14,TRUE)&gt;0)*($FC14&lt;&gt;TRUE)*4,(COUNTIF($FD14:$FS14,TRUE)&gt;0)*($FT14&lt;&gt;TRUE)*3,(COUNTIF($FU14:$GJ14,TRUE)&gt;0)*($GK14&lt;&gt;TRUE)*2,(COUNTIF($GL14:$HA14,TRUE)&gt;0)*($HB14&lt;&gt;TRUE)*1))</f>
        <v>0</v>
      </c>
    </row>
    <row r="15" ht="22.5" customHeight="1">
      <c r="A15" s="36" t="n">
        <v>11</v>
      </c>
      <c r="B15" s="97" t="n"/>
      <c r="C15" s="28" t="n"/>
      <c r="D15" s="98" t="str">
        <f>IF($B15="","",IF($HC15=97,"-",IF($HD15=0,"متوقف",SUMPRODUCT(($G$4:$HB$4="ح")*($G$20:$HB$20&gt;0)*($G15:$HB15&lt;&gt;TRUE)*($G$47:$HB$47&gt;$HC$1-8)*($G$47:$HB$47&gt;=$HC15)))))</f>
        <v/>
      </c>
      <c r="E15" s="98" t="str">
        <f>IF(OR($B15="",$HC15=97),"",SUMPRODUCT(($G$4:$HA$4="ح")*($G15:$HA15=TRUE)*($H15:$HB15&lt;&gt;TRUE)*($G$47:$HA$47&gt;$HC$1-8)))</f>
        <v/>
      </c>
      <c r="F15" s="99" t="str">
        <f>IF($B15="","",IF($HE15=0,IF($HC15=97,"-","تمام"),IF($HE15=1,IF(INDEX($G$1:$HB$1,1,17*($HF15-1)+1)="","شهر "&amp;$HF15,INDEX($G$1:$HB$1,1,17*($HF15-1)+1)),IF($HE15=2,"شهرين",$HE15&amp;" شهور"))))</f>
        <v/>
      </c>
      <c r="G15" s="100" t="n"/>
      <c r="H15" s="101" t="n"/>
      <c r="I15" s="100" t="n"/>
      <c r="J15" s="101" t="n"/>
      <c r="K15" s="100" t="n"/>
      <c r="L15" s="101" t="n"/>
      <c r="M15" s="100" t="n"/>
      <c r="N15" s="101" t="n"/>
      <c r="O15" s="100" t="n"/>
      <c r="P15" s="101" t="n"/>
      <c r="Q15" s="100" t="n"/>
      <c r="R15" s="101" t="n"/>
      <c r="S15" s="100" t="n"/>
      <c r="T15" s="101" t="n"/>
      <c r="U15" s="100" t="n"/>
      <c r="V15" s="101" t="n"/>
      <c r="W15" s="102" t="n"/>
      <c r="X15" s="103" t="n"/>
      <c r="Y15" s="104" t="n"/>
      <c r="Z15" s="103" t="n"/>
      <c r="AA15" s="104" t="n"/>
      <c r="AB15" s="103" t="n"/>
      <c r="AC15" s="104" t="n"/>
      <c r="AD15" s="103" t="n"/>
      <c r="AE15" s="104" t="n"/>
      <c r="AF15" s="103" t="n"/>
      <c r="AG15" s="104" t="n"/>
      <c r="AH15" s="103" t="n"/>
      <c r="AI15" s="104" t="n"/>
      <c r="AJ15" s="103" t="n"/>
      <c r="AK15" s="104" t="n"/>
      <c r="AL15" s="103" t="n"/>
      <c r="AM15" s="104" t="n"/>
      <c r="AN15" s="105" t="n"/>
      <c r="AO15" s="106" t="n"/>
      <c r="AP15" s="107" t="n"/>
      <c r="AQ15" s="106" t="n"/>
      <c r="AR15" s="107" t="n"/>
      <c r="AS15" s="106" t="n"/>
      <c r="AT15" s="107" t="n"/>
      <c r="AU15" s="106" t="n"/>
      <c r="AV15" s="107" t="n"/>
      <c r="AW15" s="106" t="n"/>
      <c r="AX15" s="107" t="n"/>
      <c r="AY15" s="106" t="n"/>
      <c r="AZ15" s="107" t="n"/>
      <c r="BA15" s="106" t="n"/>
      <c r="BB15" s="107" t="n"/>
      <c r="BC15" s="106" t="n"/>
      <c r="BD15" s="107" t="n"/>
      <c r="BE15" s="108" t="n"/>
      <c r="BF15" s="109" t="n"/>
      <c r="BG15" s="110" t="n"/>
      <c r="BH15" s="109" t="n"/>
      <c r="BI15" s="110" t="n"/>
      <c r="BJ15" s="109" t="n"/>
      <c r="BK15" s="110" t="n"/>
      <c r="BL15" s="109" t="n"/>
      <c r="BM15" s="110" t="n"/>
      <c r="BN15" s="109" t="n"/>
      <c r="BO15" s="110" t="n"/>
      <c r="BP15" s="109" t="n"/>
      <c r="BQ15" s="110" t="n"/>
      <c r="BR15" s="109" t="n"/>
      <c r="BS15" s="110" t="n"/>
      <c r="BT15" s="109" t="n"/>
      <c r="BU15" s="110" t="n"/>
      <c r="BV15" s="111" t="n"/>
      <c r="BW15" s="112" t="n"/>
      <c r="BX15" s="113" t="n"/>
      <c r="BY15" s="112" t="n"/>
      <c r="BZ15" s="113" t="n"/>
      <c r="CA15" s="112" t="n"/>
      <c r="CB15" s="113" t="n"/>
      <c r="CC15" s="112" t="n"/>
      <c r="CD15" s="113" t="n"/>
      <c r="CE15" s="112" t="n"/>
      <c r="CF15" s="113" t="n"/>
      <c r="CG15" s="112" t="n"/>
      <c r="CH15" s="113" t="n"/>
      <c r="CI15" s="112" t="n"/>
      <c r="CJ15" s="113" t="n"/>
      <c r="CK15" s="112" t="n"/>
      <c r="CL15" s="113" t="n"/>
      <c r="CM15" s="114" t="n"/>
      <c r="CN15" s="115" t="n"/>
      <c r="CO15" s="116" t="n"/>
      <c r="CP15" s="115" t="n"/>
      <c r="CQ15" s="116" t="n"/>
      <c r="CR15" s="115" t="n"/>
      <c r="CS15" s="116" t="n"/>
      <c r="CT15" s="115" t="n"/>
      <c r="CU15" s="116" t="n"/>
      <c r="CV15" s="115" t="n"/>
      <c r="CW15" s="116" t="n"/>
      <c r="CX15" s="115" t="n"/>
      <c r="CY15" s="116" t="n"/>
      <c r="CZ15" s="115" t="n"/>
      <c r="DA15" s="116" t="n"/>
      <c r="DB15" s="115" t="n"/>
      <c r="DC15" s="116" t="n"/>
      <c r="DD15" s="117" t="n"/>
      <c r="DE15" s="118" t="n"/>
      <c r="DF15" s="119" t="n"/>
      <c r="DG15" s="118" t="n"/>
      <c r="DH15" s="119" t="n"/>
      <c r="DI15" s="118" t="n"/>
      <c r="DJ15" s="119" t="n"/>
      <c r="DK15" s="118" t="n"/>
      <c r="DL15" s="119" t="n"/>
      <c r="DM15" s="118" t="n"/>
      <c r="DN15" s="119" t="n"/>
      <c r="DO15" s="118" t="n"/>
      <c r="DP15" s="119" t="n"/>
      <c r="DQ15" s="118" t="n"/>
      <c r="DR15" s="119" t="n"/>
      <c r="DS15" s="118" t="n"/>
      <c r="DT15" s="119" t="n"/>
      <c r="DU15" s="120" t="n"/>
      <c r="DV15" s="121" t="n"/>
      <c r="DW15" s="122" t="n"/>
      <c r="DX15" s="121" t="n"/>
      <c r="DY15" s="122" t="n"/>
      <c r="DZ15" s="121" t="n"/>
      <c r="EA15" s="122" t="n"/>
      <c r="EB15" s="121" t="n"/>
      <c r="EC15" s="122" t="n"/>
      <c r="ED15" s="121" t="n"/>
      <c r="EE15" s="122" t="n"/>
      <c r="EF15" s="121" t="n"/>
      <c r="EG15" s="122" t="n"/>
      <c r="EH15" s="121" t="n"/>
      <c r="EI15" s="122" t="n"/>
      <c r="EJ15" s="121" t="n"/>
      <c r="EK15" s="122" t="n"/>
      <c r="EL15" s="123" t="n"/>
      <c r="EM15" s="124" t="n"/>
      <c r="EN15" s="125" t="n"/>
      <c r="EO15" s="124" t="n"/>
      <c r="EP15" s="125" t="n"/>
      <c r="EQ15" s="124" t="n"/>
      <c r="ER15" s="125" t="n"/>
      <c r="ES15" s="124" t="n"/>
      <c r="ET15" s="125" t="n"/>
      <c r="EU15" s="124" t="n"/>
      <c r="EV15" s="125" t="n"/>
      <c r="EW15" s="124" t="n"/>
      <c r="EX15" s="125" t="n"/>
      <c r="EY15" s="124" t="n"/>
      <c r="EZ15" s="125" t="n"/>
      <c r="FA15" s="124" t="n"/>
      <c r="FB15" s="125" t="n"/>
      <c r="FC15" s="126" t="n"/>
      <c r="FD15" s="127" t="n"/>
      <c r="FE15" s="128" t="n"/>
      <c r="FF15" s="127" t="n"/>
      <c r="FG15" s="128" t="n"/>
      <c r="FH15" s="127" t="n"/>
      <c r="FI15" s="128" t="n"/>
      <c r="FJ15" s="127" t="n"/>
      <c r="FK15" s="128" t="n"/>
      <c r="FL15" s="127" t="n"/>
      <c r="FM15" s="128" t="n"/>
      <c r="FN15" s="127" t="n"/>
      <c r="FO15" s="128" t="n"/>
      <c r="FP15" s="127" t="n"/>
      <c r="FQ15" s="128" t="n"/>
      <c r="FR15" s="127" t="n"/>
      <c r="FS15" s="128" t="n"/>
      <c r="FT15" s="129" t="n"/>
      <c r="FU15" s="130" t="n"/>
      <c r="FV15" s="131" t="n"/>
      <c r="FW15" s="130" t="n"/>
      <c r="FX15" s="131" t="n"/>
      <c r="FY15" s="130" t="n"/>
      <c r="FZ15" s="131" t="n"/>
      <c r="GA15" s="130" t="n"/>
      <c r="GB15" s="131" t="n"/>
      <c r="GC15" s="130" t="n"/>
      <c r="GD15" s="131" t="n"/>
      <c r="GE15" s="130" t="n"/>
      <c r="GF15" s="131" t="n"/>
      <c r="GG15" s="130" t="n"/>
      <c r="GH15" s="131" t="n"/>
      <c r="GI15" s="130" t="n"/>
      <c r="GJ15" s="131" t="n"/>
      <c r="GK15" s="132" t="n"/>
      <c r="GL15" s="133" t="n"/>
      <c r="GM15" s="134" t="n"/>
      <c r="GN15" s="133" t="n"/>
      <c r="GO15" s="134" t="n"/>
      <c r="GP15" s="133" t="n"/>
      <c r="GQ15" s="134" t="n"/>
      <c r="GR15" s="133" t="n"/>
      <c r="GS15" s="134" t="n"/>
      <c r="GT15" s="133" t="n"/>
      <c r="GU15" s="134" t="n"/>
      <c r="GV15" s="133" t="n"/>
      <c r="GW15" s="134" t="n"/>
      <c r="GX15" s="133" t="n"/>
      <c r="GY15" s="134" t="n"/>
      <c r="GZ15" s="133" t="n"/>
      <c r="HA15" s="134" t="n"/>
      <c r="HB15" s="135" t="n"/>
      <c r="HC15">
        <f>97-SUMPRODUCT(MAX(($G$4:$HB$4="ح")*($G15:$HB15=TRUE)*(97-$G$47:$HB$47)))</f>
        <v>97</v>
      </c>
      <c r="HD15">
        <f>SUMPRODUCT(($G$4:$HB$4="ح")*($G15:$HB15=TRUE)*($G$47:$HB$47&gt;$HC$1-8))</f>
        <v>0</v>
      </c>
      <c r="HE15">
        <f>(COUNTIF($G15:$V15,TRUE)&gt;0)*($W15&lt;&gt;TRUE)+(COUNTIF($X15:$AM15,TRUE)&gt;0)*($AN15&lt;&gt;TRUE)+(COUNTIF($AO15:$BD15,TRUE)&gt;0)*($BE15&lt;&gt;TRUE)+(COUNTIF($BF15:$BU15,TRUE)&gt;0)*($BV15&lt;&gt;TRUE)+(COUNTIF($BW15:$CL15,TRUE)&gt;0)*($CM15&lt;&gt;TRUE)+(COUNTIF($CN15:$DC15,TRUE)&gt;0)*($DD15&lt;&gt;TRUE)+(COUNTIF($DE15:$DT15,TRUE)&gt;0)*($DU15&lt;&gt;TRUE)+(COUNTIF($DV15:$EK15,TRUE)&gt;0)*($EL15&lt;&gt;TRUE)+(COUNTIF($EM15:$FB15,TRUE)&gt;0)*($FC15&lt;&gt;TRUE)+(COUNTIF($FD15:$FS15,TRUE)&gt;0)*($FT15&lt;&gt;TRUE)+(COUNTIF($FU15:$GJ15,TRUE)&gt;0)*($GK15&lt;&gt;TRUE)+(COUNTIF($GL15:$HA15,TRUE)&gt;0)*($HB15&lt;&gt;TRUE)</f>
        <v>0</v>
      </c>
      <c r="HF15">
        <f>IF($HE15=0,0,13-MAX((COUNTIF($G15:$V15,TRUE)&gt;0)*($W15&lt;&gt;TRUE)*12,(COUNTIF($X15:$AM15,TRUE)&gt;0)*($AN15&lt;&gt;TRUE)*11,(COUNTIF($AO15:$BD15,TRUE)&gt;0)*($BE15&lt;&gt;TRUE)*10,(COUNTIF($BF15:$BU15,TRUE)&gt;0)*($BV15&lt;&gt;TRUE)*9,(COUNTIF($BW15:$CL15,TRUE)&gt;0)*($CM15&lt;&gt;TRUE)*8,(COUNTIF($CN15:$DC15,TRUE)&gt;0)*($DD15&lt;&gt;TRUE)*7,(COUNTIF($DE15:$DT15,TRUE)&gt;0)*($DU15&lt;&gt;TRUE)*6,(COUNTIF($DV15:$EK15,TRUE)&gt;0)*($EL15&lt;&gt;TRUE)*5,(COUNTIF($EM15:$FB15,TRUE)&gt;0)*($FC15&lt;&gt;TRUE)*4,(COUNTIF($FD15:$FS15,TRUE)&gt;0)*($FT15&lt;&gt;TRUE)*3,(COUNTIF($FU15:$GJ15,TRUE)&gt;0)*($GK15&lt;&gt;TRUE)*2,(COUNTIF($GL15:$HA15,TRUE)&gt;0)*($HB15&lt;&gt;TRUE)*1))</f>
        <v>0</v>
      </c>
    </row>
    <row r="16" ht="22.5" customHeight="1">
      <c r="A16" s="36" t="n">
        <v>12</v>
      </c>
      <c r="B16" s="97" t="n"/>
      <c r="C16" s="28" t="n"/>
      <c r="D16" s="98" t="str">
        <f>IF($B16="","",IF($HC16=97,"-",IF($HD16=0,"متوقف",SUMPRODUCT(($G$4:$HB$4="ح")*($G$20:$HB$20&gt;0)*($G16:$HB16&lt;&gt;TRUE)*($G$47:$HB$47&gt;$HC$1-8)*($G$47:$HB$47&gt;=$HC16)))))</f>
        <v/>
      </c>
      <c r="E16" s="98" t="str">
        <f>IF(OR($B16="",$HC16=97),"",SUMPRODUCT(($G$4:$HA$4="ح")*($G16:$HA16=TRUE)*($H16:$HB16&lt;&gt;TRUE)*($G$47:$HA$47&gt;$HC$1-8)))</f>
        <v/>
      </c>
      <c r="F16" s="99" t="str">
        <f>IF($B16="","",IF($HE16=0,IF($HC16=97,"-","تمام"),IF($HE16=1,IF(INDEX($G$1:$HB$1,1,17*($HF16-1)+1)="","شهر "&amp;$HF16,INDEX($G$1:$HB$1,1,17*($HF16-1)+1)),IF($HE16=2,"شهرين",$HE16&amp;" شهور"))))</f>
        <v/>
      </c>
      <c r="G16" s="100" t="n"/>
      <c r="H16" s="101" t="n"/>
      <c r="I16" s="100" t="n"/>
      <c r="J16" s="101" t="n"/>
      <c r="K16" s="100" t="n"/>
      <c r="L16" s="101" t="n"/>
      <c r="M16" s="100" t="n"/>
      <c r="N16" s="101" t="n"/>
      <c r="O16" s="100" t="n"/>
      <c r="P16" s="101" t="n"/>
      <c r="Q16" s="100" t="n"/>
      <c r="R16" s="101" t="n"/>
      <c r="S16" s="100" t="n"/>
      <c r="T16" s="101" t="n"/>
      <c r="U16" s="100" t="n"/>
      <c r="V16" s="101" t="n"/>
      <c r="W16" s="102" t="n"/>
      <c r="X16" s="103" t="n"/>
      <c r="Y16" s="104" t="n"/>
      <c r="Z16" s="103" t="n"/>
      <c r="AA16" s="104" t="n"/>
      <c r="AB16" s="103" t="n"/>
      <c r="AC16" s="104" t="n"/>
      <c r="AD16" s="103" t="n"/>
      <c r="AE16" s="104" t="n"/>
      <c r="AF16" s="103" t="n"/>
      <c r="AG16" s="104" t="n"/>
      <c r="AH16" s="103" t="n"/>
      <c r="AI16" s="104" t="n"/>
      <c r="AJ16" s="103" t="n"/>
      <c r="AK16" s="104" t="n"/>
      <c r="AL16" s="103" t="n"/>
      <c r="AM16" s="104" t="n"/>
      <c r="AN16" s="105" t="n"/>
      <c r="AO16" s="106" t="n"/>
      <c r="AP16" s="107" t="n"/>
      <c r="AQ16" s="106" t="n"/>
      <c r="AR16" s="107" t="n"/>
      <c r="AS16" s="106" t="n"/>
      <c r="AT16" s="107" t="n"/>
      <c r="AU16" s="106" t="n"/>
      <c r="AV16" s="107" t="n"/>
      <c r="AW16" s="106" t="n"/>
      <c r="AX16" s="107" t="n"/>
      <c r="AY16" s="106" t="n"/>
      <c r="AZ16" s="107" t="n"/>
      <c r="BA16" s="106" t="n"/>
      <c r="BB16" s="107" t="n"/>
      <c r="BC16" s="106" t="n"/>
      <c r="BD16" s="107" t="n"/>
      <c r="BE16" s="108" t="n"/>
      <c r="BF16" s="109" t="n"/>
      <c r="BG16" s="110" t="n"/>
      <c r="BH16" s="109" t="n"/>
      <c r="BI16" s="110" t="n"/>
      <c r="BJ16" s="109" t="n"/>
      <c r="BK16" s="110" t="n"/>
      <c r="BL16" s="109" t="n"/>
      <c r="BM16" s="110" t="n"/>
      <c r="BN16" s="109" t="n"/>
      <c r="BO16" s="110" t="n"/>
      <c r="BP16" s="109" t="n"/>
      <c r="BQ16" s="110" t="n"/>
      <c r="BR16" s="109" t="n"/>
      <c r="BS16" s="110" t="n"/>
      <c r="BT16" s="109" t="n"/>
      <c r="BU16" s="110" t="n"/>
      <c r="BV16" s="111" t="n"/>
      <c r="BW16" s="112" t="n"/>
      <c r="BX16" s="113" t="n"/>
      <c r="BY16" s="112" t="n"/>
      <c r="BZ16" s="113" t="n"/>
      <c r="CA16" s="112" t="n"/>
      <c r="CB16" s="113" t="n"/>
      <c r="CC16" s="112" t="n"/>
      <c r="CD16" s="113" t="n"/>
      <c r="CE16" s="112" t="n"/>
      <c r="CF16" s="113" t="n"/>
      <c r="CG16" s="112" t="n"/>
      <c r="CH16" s="113" t="n"/>
      <c r="CI16" s="112" t="n"/>
      <c r="CJ16" s="113" t="n"/>
      <c r="CK16" s="112" t="n"/>
      <c r="CL16" s="113" t="n"/>
      <c r="CM16" s="114" t="n"/>
      <c r="CN16" s="115" t="n"/>
      <c r="CO16" s="116" t="n"/>
      <c r="CP16" s="115" t="n"/>
      <c r="CQ16" s="116" t="n"/>
      <c r="CR16" s="115" t="n"/>
      <c r="CS16" s="116" t="n"/>
      <c r="CT16" s="115" t="n"/>
      <c r="CU16" s="116" t="n"/>
      <c r="CV16" s="115" t="n"/>
      <c r="CW16" s="116" t="n"/>
      <c r="CX16" s="115" t="n"/>
      <c r="CY16" s="116" t="n"/>
      <c r="CZ16" s="115" t="n"/>
      <c r="DA16" s="116" t="n"/>
      <c r="DB16" s="115" t="n"/>
      <c r="DC16" s="116" t="n"/>
      <c r="DD16" s="117" t="n"/>
      <c r="DE16" s="118" t="n"/>
      <c r="DF16" s="119" t="n"/>
      <c r="DG16" s="118" t="n"/>
      <c r="DH16" s="119" t="n"/>
      <c r="DI16" s="118" t="n"/>
      <c r="DJ16" s="119" t="n"/>
      <c r="DK16" s="118" t="n"/>
      <c r="DL16" s="119" t="n"/>
      <c r="DM16" s="118" t="n"/>
      <c r="DN16" s="119" t="n"/>
      <c r="DO16" s="118" t="n"/>
      <c r="DP16" s="119" t="n"/>
      <c r="DQ16" s="118" t="n"/>
      <c r="DR16" s="119" t="n"/>
      <c r="DS16" s="118" t="n"/>
      <c r="DT16" s="119" t="n"/>
      <c r="DU16" s="120" t="n"/>
      <c r="DV16" s="121" t="n"/>
      <c r="DW16" s="122" t="n"/>
      <c r="DX16" s="121" t="n"/>
      <c r="DY16" s="122" t="n"/>
      <c r="DZ16" s="121" t="n"/>
      <c r="EA16" s="122" t="n"/>
      <c r="EB16" s="121" t="n"/>
      <c r="EC16" s="122" t="n"/>
      <c r="ED16" s="121" t="n"/>
      <c r="EE16" s="122" t="n"/>
      <c r="EF16" s="121" t="n"/>
      <c r="EG16" s="122" t="n"/>
      <c r="EH16" s="121" t="n"/>
      <c r="EI16" s="122" t="n"/>
      <c r="EJ16" s="121" t="n"/>
      <c r="EK16" s="122" t="n"/>
      <c r="EL16" s="123" t="n"/>
      <c r="EM16" s="124" t="n"/>
      <c r="EN16" s="125" t="n"/>
      <c r="EO16" s="124" t="n"/>
      <c r="EP16" s="125" t="n"/>
      <c r="EQ16" s="124" t="n"/>
      <c r="ER16" s="125" t="n"/>
      <c r="ES16" s="124" t="n"/>
      <c r="ET16" s="125" t="n"/>
      <c r="EU16" s="124" t="n"/>
      <c r="EV16" s="125" t="n"/>
      <c r="EW16" s="124" t="n"/>
      <c r="EX16" s="125" t="n"/>
      <c r="EY16" s="124" t="n"/>
      <c r="EZ16" s="125" t="n"/>
      <c r="FA16" s="124" t="n"/>
      <c r="FB16" s="125" t="n"/>
      <c r="FC16" s="126" t="n"/>
      <c r="FD16" s="127" t="n"/>
      <c r="FE16" s="128" t="n"/>
      <c r="FF16" s="127" t="n"/>
      <c r="FG16" s="128" t="n"/>
      <c r="FH16" s="127" t="n"/>
      <c r="FI16" s="128" t="n"/>
      <c r="FJ16" s="127" t="n"/>
      <c r="FK16" s="128" t="n"/>
      <c r="FL16" s="127" t="n"/>
      <c r="FM16" s="128" t="n"/>
      <c r="FN16" s="127" t="n"/>
      <c r="FO16" s="128" t="n"/>
      <c r="FP16" s="127" t="n"/>
      <c r="FQ16" s="128" t="n"/>
      <c r="FR16" s="127" t="n"/>
      <c r="FS16" s="128" t="n"/>
      <c r="FT16" s="129" t="n"/>
      <c r="FU16" s="130" t="n"/>
      <c r="FV16" s="131" t="n"/>
      <c r="FW16" s="130" t="n"/>
      <c r="FX16" s="131" t="n"/>
      <c r="FY16" s="130" t="n"/>
      <c r="FZ16" s="131" t="n"/>
      <c r="GA16" s="130" t="n"/>
      <c r="GB16" s="131" t="n"/>
      <c r="GC16" s="130" t="n"/>
      <c r="GD16" s="131" t="n"/>
      <c r="GE16" s="130" t="n"/>
      <c r="GF16" s="131" t="n"/>
      <c r="GG16" s="130" t="n"/>
      <c r="GH16" s="131" t="n"/>
      <c r="GI16" s="130" t="n"/>
      <c r="GJ16" s="131" t="n"/>
      <c r="GK16" s="132" t="n"/>
      <c r="GL16" s="133" t="n"/>
      <c r="GM16" s="134" t="n"/>
      <c r="GN16" s="133" t="n"/>
      <c r="GO16" s="134" t="n"/>
      <c r="GP16" s="133" t="n"/>
      <c r="GQ16" s="134" t="n"/>
      <c r="GR16" s="133" t="n"/>
      <c r="GS16" s="134" t="n"/>
      <c r="GT16" s="133" t="n"/>
      <c r="GU16" s="134" t="n"/>
      <c r="GV16" s="133" t="n"/>
      <c r="GW16" s="134" t="n"/>
      <c r="GX16" s="133" t="n"/>
      <c r="GY16" s="134" t="n"/>
      <c r="GZ16" s="133" t="n"/>
      <c r="HA16" s="134" t="n"/>
      <c r="HB16" s="135" t="n"/>
      <c r="HC16">
        <f>97-SUMPRODUCT(MAX(($G$4:$HB$4="ح")*($G16:$HB16=TRUE)*(97-$G$47:$HB$47)))</f>
        <v>97</v>
      </c>
      <c r="HD16">
        <f>SUMPRODUCT(($G$4:$HB$4="ح")*($G16:$HB16=TRUE)*($G$47:$HB$47&gt;$HC$1-8))</f>
        <v>0</v>
      </c>
      <c r="HE16">
        <f>(COUNTIF($G16:$V16,TRUE)&gt;0)*($W16&lt;&gt;TRUE)+(COUNTIF($X16:$AM16,TRUE)&gt;0)*($AN16&lt;&gt;TRUE)+(COUNTIF($AO16:$BD16,TRUE)&gt;0)*($BE16&lt;&gt;TRUE)+(COUNTIF($BF16:$BU16,TRUE)&gt;0)*($BV16&lt;&gt;TRUE)+(COUNTIF($BW16:$CL16,TRUE)&gt;0)*($CM16&lt;&gt;TRUE)+(COUNTIF($CN16:$DC16,TRUE)&gt;0)*($DD16&lt;&gt;TRUE)+(COUNTIF($DE16:$DT16,TRUE)&gt;0)*($DU16&lt;&gt;TRUE)+(COUNTIF($DV16:$EK16,TRUE)&gt;0)*($EL16&lt;&gt;TRUE)+(COUNTIF($EM16:$FB16,TRUE)&gt;0)*($FC16&lt;&gt;TRUE)+(COUNTIF($FD16:$FS16,TRUE)&gt;0)*($FT16&lt;&gt;TRUE)+(COUNTIF($FU16:$GJ16,TRUE)&gt;0)*($GK16&lt;&gt;TRUE)+(COUNTIF($GL16:$HA16,TRUE)&gt;0)*($HB16&lt;&gt;TRUE)</f>
        <v>0</v>
      </c>
      <c r="HF16">
        <f>IF($HE16=0,0,13-MAX((COUNTIF($G16:$V16,TRUE)&gt;0)*($W16&lt;&gt;TRUE)*12,(COUNTIF($X16:$AM16,TRUE)&gt;0)*($AN16&lt;&gt;TRUE)*11,(COUNTIF($AO16:$BD16,TRUE)&gt;0)*($BE16&lt;&gt;TRUE)*10,(COUNTIF($BF16:$BU16,TRUE)&gt;0)*($BV16&lt;&gt;TRUE)*9,(COUNTIF($BW16:$CL16,TRUE)&gt;0)*($CM16&lt;&gt;TRUE)*8,(COUNTIF($CN16:$DC16,TRUE)&gt;0)*($DD16&lt;&gt;TRUE)*7,(COUNTIF($DE16:$DT16,TRUE)&gt;0)*($DU16&lt;&gt;TRUE)*6,(COUNTIF($DV16:$EK16,TRUE)&gt;0)*($EL16&lt;&gt;TRUE)*5,(COUNTIF($EM16:$FB16,TRUE)&gt;0)*($FC16&lt;&gt;TRUE)*4,(COUNTIF($FD16:$FS16,TRUE)&gt;0)*($FT16&lt;&gt;TRUE)*3,(COUNTIF($FU16:$GJ16,TRUE)&gt;0)*($GK16&lt;&gt;TRUE)*2,(COUNTIF($GL16:$HA16,TRUE)&gt;0)*($HB16&lt;&gt;TRUE)*1))</f>
        <v>0</v>
      </c>
    </row>
    <row r="17" ht="22.5" customHeight="1">
      <c r="A17" s="36" t="n">
        <v>13</v>
      </c>
      <c r="B17" s="97" t="n"/>
      <c r="C17" s="28" t="n"/>
      <c r="D17" s="98" t="str">
        <f>IF($B17="","",IF($HC17=97,"-",IF($HD17=0,"متوقف",SUMPRODUCT(($G$4:$HB$4="ح")*($G$20:$HB$20&gt;0)*($G17:$HB17&lt;&gt;TRUE)*($G$47:$HB$47&gt;$HC$1-8)*($G$47:$HB$47&gt;=$HC17)))))</f>
        <v/>
      </c>
      <c r="E17" s="98" t="str">
        <f>IF(OR($B17="",$HC17=97),"",SUMPRODUCT(($G$4:$HA$4="ح")*($G17:$HA17=TRUE)*($H17:$HB17&lt;&gt;TRUE)*($G$47:$HA$47&gt;$HC$1-8)))</f>
        <v/>
      </c>
      <c r="F17" s="99" t="str">
        <f>IF($B17="","",IF($HE17=0,IF($HC17=97,"-","تمام"),IF($HE17=1,IF(INDEX($G$1:$HB$1,1,17*($HF17-1)+1)="","شهر "&amp;$HF17,INDEX($G$1:$HB$1,1,17*($HF17-1)+1)),IF($HE17=2,"شهرين",$HE17&amp;" شهور"))))</f>
        <v/>
      </c>
      <c r="G17" s="100" t="n"/>
      <c r="H17" s="101" t="n"/>
      <c r="I17" s="100" t="n"/>
      <c r="J17" s="101" t="n"/>
      <c r="K17" s="100" t="n"/>
      <c r="L17" s="101" t="n"/>
      <c r="M17" s="100" t="n"/>
      <c r="N17" s="101" t="n"/>
      <c r="O17" s="100" t="n"/>
      <c r="P17" s="101" t="n"/>
      <c r="Q17" s="100" t="n"/>
      <c r="R17" s="101" t="n"/>
      <c r="S17" s="100" t="n"/>
      <c r="T17" s="101" t="n"/>
      <c r="U17" s="100" t="n"/>
      <c r="V17" s="101" t="n"/>
      <c r="W17" s="102" t="n"/>
      <c r="X17" s="103" t="n"/>
      <c r="Y17" s="104" t="n"/>
      <c r="Z17" s="103" t="n"/>
      <c r="AA17" s="104" t="n"/>
      <c r="AB17" s="103" t="n"/>
      <c r="AC17" s="104" t="n"/>
      <c r="AD17" s="103" t="n"/>
      <c r="AE17" s="104" t="n"/>
      <c r="AF17" s="103" t="n"/>
      <c r="AG17" s="104" t="n"/>
      <c r="AH17" s="103" t="n"/>
      <c r="AI17" s="104" t="n"/>
      <c r="AJ17" s="103" t="n"/>
      <c r="AK17" s="104" t="n"/>
      <c r="AL17" s="103" t="n"/>
      <c r="AM17" s="104" t="n"/>
      <c r="AN17" s="105" t="n"/>
      <c r="AO17" s="106" t="n"/>
      <c r="AP17" s="107" t="n"/>
      <c r="AQ17" s="106" t="n"/>
      <c r="AR17" s="107" t="n"/>
      <c r="AS17" s="106" t="n"/>
      <c r="AT17" s="107" t="n"/>
      <c r="AU17" s="106" t="n"/>
      <c r="AV17" s="107" t="n"/>
      <c r="AW17" s="106" t="n"/>
      <c r="AX17" s="107" t="n"/>
      <c r="AY17" s="106" t="n"/>
      <c r="AZ17" s="107" t="n"/>
      <c r="BA17" s="106" t="n"/>
      <c r="BB17" s="107" t="n"/>
      <c r="BC17" s="106" t="n"/>
      <c r="BD17" s="107" t="n"/>
      <c r="BE17" s="108" t="n"/>
      <c r="BF17" s="109" t="n"/>
      <c r="BG17" s="110" t="n"/>
      <c r="BH17" s="109" t="n"/>
      <c r="BI17" s="110" t="n"/>
      <c r="BJ17" s="109" t="n"/>
      <c r="BK17" s="110" t="n"/>
      <c r="BL17" s="109" t="n"/>
      <c r="BM17" s="110" t="n"/>
      <c r="BN17" s="109" t="n"/>
      <c r="BO17" s="110" t="n"/>
      <c r="BP17" s="109" t="n"/>
      <c r="BQ17" s="110" t="n"/>
      <c r="BR17" s="109" t="n"/>
      <c r="BS17" s="110" t="n"/>
      <c r="BT17" s="109" t="n"/>
      <c r="BU17" s="110" t="n"/>
      <c r="BV17" s="111" t="n"/>
      <c r="BW17" s="112" t="n"/>
      <c r="BX17" s="113" t="n"/>
      <c r="BY17" s="112" t="n"/>
      <c r="BZ17" s="113" t="n"/>
      <c r="CA17" s="112" t="n"/>
      <c r="CB17" s="113" t="n"/>
      <c r="CC17" s="112" t="n"/>
      <c r="CD17" s="113" t="n"/>
      <c r="CE17" s="112" t="n"/>
      <c r="CF17" s="113" t="n"/>
      <c r="CG17" s="112" t="n"/>
      <c r="CH17" s="113" t="n"/>
      <c r="CI17" s="112" t="n"/>
      <c r="CJ17" s="113" t="n"/>
      <c r="CK17" s="112" t="n"/>
      <c r="CL17" s="113" t="n"/>
      <c r="CM17" s="114" t="n"/>
      <c r="CN17" s="115" t="n"/>
      <c r="CO17" s="116" t="n"/>
      <c r="CP17" s="115" t="n"/>
      <c r="CQ17" s="116" t="n"/>
      <c r="CR17" s="115" t="n"/>
      <c r="CS17" s="116" t="n"/>
      <c r="CT17" s="115" t="n"/>
      <c r="CU17" s="116" t="n"/>
      <c r="CV17" s="115" t="n"/>
      <c r="CW17" s="116" t="n"/>
      <c r="CX17" s="115" t="n"/>
      <c r="CY17" s="116" t="n"/>
      <c r="CZ17" s="115" t="n"/>
      <c r="DA17" s="116" t="n"/>
      <c r="DB17" s="115" t="n"/>
      <c r="DC17" s="116" t="n"/>
      <c r="DD17" s="117" t="n"/>
      <c r="DE17" s="118" t="n"/>
      <c r="DF17" s="119" t="n"/>
      <c r="DG17" s="118" t="n"/>
      <c r="DH17" s="119" t="n"/>
      <c r="DI17" s="118" t="n"/>
      <c r="DJ17" s="119" t="n"/>
      <c r="DK17" s="118" t="n"/>
      <c r="DL17" s="119" t="n"/>
      <c r="DM17" s="118" t="n"/>
      <c r="DN17" s="119" t="n"/>
      <c r="DO17" s="118" t="n"/>
      <c r="DP17" s="119" t="n"/>
      <c r="DQ17" s="118" t="n"/>
      <c r="DR17" s="119" t="n"/>
      <c r="DS17" s="118" t="n"/>
      <c r="DT17" s="119" t="n"/>
      <c r="DU17" s="120" t="n"/>
      <c r="DV17" s="121" t="n"/>
      <c r="DW17" s="122" t="n"/>
      <c r="DX17" s="121" t="n"/>
      <c r="DY17" s="122" t="n"/>
      <c r="DZ17" s="121" t="n"/>
      <c r="EA17" s="122" t="n"/>
      <c r="EB17" s="121" t="n"/>
      <c r="EC17" s="122" t="n"/>
      <c r="ED17" s="121" t="n"/>
      <c r="EE17" s="122" t="n"/>
      <c r="EF17" s="121" t="n"/>
      <c r="EG17" s="122" t="n"/>
      <c r="EH17" s="121" t="n"/>
      <c r="EI17" s="122" t="n"/>
      <c r="EJ17" s="121" t="n"/>
      <c r="EK17" s="122" t="n"/>
      <c r="EL17" s="123" t="n"/>
      <c r="EM17" s="124" t="n"/>
      <c r="EN17" s="125" t="n"/>
      <c r="EO17" s="124" t="n"/>
      <c r="EP17" s="125" t="n"/>
      <c r="EQ17" s="124" t="n"/>
      <c r="ER17" s="125" t="n"/>
      <c r="ES17" s="124" t="n"/>
      <c r="ET17" s="125" t="n"/>
      <c r="EU17" s="124" t="n"/>
      <c r="EV17" s="125" t="n"/>
      <c r="EW17" s="124" t="n"/>
      <c r="EX17" s="125" t="n"/>
      <c r="EY17" s="124" t="n"/>
      <c r="EZ17" s="125" t="n"/>
      <c r="FA17" s="124" t="n"/>
      <c r="FB17" s="125" t="n"/>
      <c r="FC17" s="126" t="n"/>
      <c r="FD17" s="127" t="n"/>
      <c r="FE17" s="128" t="n"/>
      <c r="FF17" s="127" t="n"/>
      <c r="FG17" s="128" t="n"/>
      <c r="FH17" s="127" t="n"/>
      <c r="FI17" s="128" t="n"/>
      <c r="FJ17" s="127" t="n"/>
      <c r="FK17" s="128" t="n"/>
      <c r="FL17" s="127" t="n"/>
      <c r="FM17" s="128" t="n"/>
      <c r="FN17" s="127" t="n"/>
      <c r="FO17" s="128" t="n"/>
      <c r="FP17" s="127" t="n"/>
      <c r="FQ17" s="128" t="n"/>
      <c r="FR17" s="127" t="n"/>
      <c r="FS17" s="128" t="n"/>
      <c r="FT17" s="129" t="n"/>
      <c r="FU17" s="130" t="n"/>
      <c r="FV17" s="131" t="n"/>
      <c r="FW17" s="130" t="n"/>
      <c r="FX17" s="131" t="n"/>
      <c r="FY17" s="130" t="n"/>
      <c r="FZ17" s="131" t="n"/>
      <c r="GA17" s="130" t="n"/>
      <c r="GB17" s="131" t="n"/>
      <c r="GC17" s="130" t="n"/>
      <c r="GD17" s="131" t="n"/>
      <c r="GE17" s="130" t="n"/>
      <c r="GF17" s="131" t="n"/>
      <c r="GG17" s="130" t="n"/>
      <c r="GH17" s="131" t="n"/>
      <c r="GI17" s="130" t="n"/>
      <c r="GJ17" s="131" t="n"/>
      <c r="GK17" s="132" t="n"/>
      <c r="GL17" s="133" t="n"/>
      <c r="GM17" s="134" t="n"/>
      <c r="GN17" s="133" t="n"/>
      <c r="GO17" s="134" t="n"/>
      <c r="GP17" s="133" t="n"/>
      <c r="GQ17" s="134" t="n"/>
      <c r="GR17" s="133" t="n"/>
      <c r="GS17" s="134" t="n"/>
      <c r="GT17" s="133" t="n"/>
      <c r="GU17" s="134" t="n"/>
      <c r="GV17" s="133" t="n"/>
      <c r="GW17" s="134" t="n"/>
      <c r="GX17" s="133" t="n"/>
      <c r="GY17" s="134" t="n"/>
      <c r="GZ17" s="133" t="n"/>
      <c r="HA17" s="134" t="n"/>
      <c r="HB17" s="135" t="n"/>
      <c r="HC17">
        <f>97-SUMPRODUCT(MAX(($G$4:$HB$4="ح")*($G17:$HB17=TRUE)*(97-$G$47:$HB$47)))</f>
        <v>97</v>
      </c>
      <c r="HD17">
        <f>SUMPRODUCT(($G$4:$HB$4="ح")*($G17:$HB17=TRUE)*($G$47:$HB$47&gt;$HC$1-8))</f>
        <v>0</v>
      </c>
      <c r="HE17">
        <f>(COUNTIF($G17:$V17,TRUE)&gt;0)*($W17&lt;&gt;TRUE)+(COUNTIF($X17:$AM17,TRUE)&gt;0)*($AN17&lt;&gt;TRUE)+(COUNTIF($AO17:$BD17,TRUE)&gt;0)*($BE17&lt;&gt;TRUE)+(COUNTIF($BF17:$BU17,TRUE)&gt;0)*($BV17&lt;&gt;TRUE)+(COUNTIF($BW17:$CL17,TRUE)&gt;0)*($CM17&lt;&gt;TRUE)+(COUNTIF($CN17:$DC17,TRUE)&gt;0)*($DD17&lt;&gt;TRUE)+(COUNTIF($DE17:$DT17,TRUE)&gt;0)*($DU17&lt;&gt;TRUE)+(COUNTIF($DV17:$EK17,TRUE)&gt;0)*($EL17&lt;&gt;TRUE)+(COUNTIF($EM17:$FB17,TRUE)&gt;0)*($FC17&lt;&gt;TRUE)+(COUNTIF($FD17:$FS17,TRUE)&gt;0)*($FT17&lt;&gt;TRUE)+(COUNTIF($FU17:$GJ17,TRUE)&gt;0)*($GK17&lt;&gt;TRUE)+(COUNTIF($GL17:$HA17,TRUE)&gt;0)*($HB17&lt;&gt;TRUE)</f>
        <v>0</v>
      </c>
      <c r="HF17">
        <f>IF($HE17=0,0,13-MAX((COUNTIF($G17:$V17,TRUE)&gt;0)*($W17&lt;&gt;TRUE)*12,(COUNTIF($X17:$AM17,TRUE)&gt;0)*($AN17&lt;&gt;TRUE)*11,(COUNTIF($AO17:$BD17,TRUE)&gt;0)*($BE17&lt;&gt;TRUE)*10,(COUNTIF($BF17:$BU17,TRUE)&gt;0)*($BV17&lt;&gt;TRUE)*9,(COUNTIF($BW17:$CL17,TRUE)&gt;0)*($CM17&lt;&gt;TRUE)*8,(COUNTIF($CN17:$DC17,TRUE)&gt;0)*($DD17&lt;&gt;TRUE)*7,(COUNTIF($DE17:$DT17,TRUE)&gt;0)*($DU17&lt;&gt;TRUE)*6,(COUNTIF($DV17:$EK17,TRUE)&gt;0)*($EL17&lt;&gt;TRUE)*5,(COUNTIF($EM17:$FB17,TRUE)&gt;0)*($FC17&lt;&gt;TRUE)*4,(COUNTIF($FD17:$FS17,TRUE)&gt;0)*($FT17&lt;&gt;TRUE)*3,(COUNTIF($FU17:$GJ17,TRUE)&gt;0)*($GK17&lt;&gt;TRUE)*2,(COUNTIF($GL17:$HA17,TRUE)&gt;0)*($HB17&lt;&gt;TRUE)*1))</f>
        <v>0</v>
      </c>
    </row>
    <row r="18" ht="22.5" customHeight="1">
      <c r="A18" s="36" t="n">
        <v>14</v>
      </c>
      <c r="B18" s="97" t="n"/>
      <c r="C18" s="28" t="n"/>
      <c r="D18" s="98" t="str">
        <f>IF($B18="","",IF($HC18=97,"-",IF($HD18=0,"متوقف",SUMPRODUCT(($G$4:$HB$4="ح")*($G$20:$HB$20&gt;0)*($G18:$HB18&lt;&gt;TRUE)*($G$47:$HB$47&gt;$HC$1-8)*($G$47:$HB$47&gt;=$HC18)))))</f>
        <v/>
      </c>
      <c r="E18" s="98" t="str">
        <f>IF(OR($B18="",$HC18=97),"",SUMPRODUCT(($G$4:$HA$4="ح")*($G18:$HA18=TRUE)*($H18:$HB18&lt;&gt;TRUE)*($G$47:$HA$47&gt;$HC$1-8)))</f>
        <v/>
      </c>
      <c r="F18" s="99" t="str">
        <f>IF($B18="","",IF($HE18=0,IF($HC18=97,"-","تمام"),IF($HE18=1,IF(INDEX($G$1:$HB$1,1,17*($HF18-1)+1)="","شهر "&amp;$HF18,INDEX($G$1:$HB$1,1,17*($HF18-1)+1)),IF($HE18=2,"شهرين",$HE18&amp;" شهور"))))</f>
        <v/>
      </c>
      <c r="G18" s="100" t="n"/>
      <c r="H18" s="101" t="n"/>
      <c r="I18" s="100" t="n"/>
      <c r="J18" s="101" t="n"/>
      <c r="K18" s="100" t="n"/>
      <c r="L18" s="101" t="n"/>
      <c r="M18" s="100" t="n"/>
      <c r="N18" s="101" t="n"/>
      <c r="O18" s="100" t="n"/>
      <c r="P18" s="101" t="n"/>
      <c r="Q18" s="100" t="n"/>
      <c r="R18" s="101" t="n"/>
      <c r="S18" s="100" t="n"/>
      <c r="T18" s="101" t="n"/>
      <c r="U18" s="100" t="n"/>
      <c r="V18" s="101" t="n"/>
      <c r="W18" s="102" t="n"/>
      <c r="X18" s="103" t="n"/>
      <c r="Y18" s="104" t="n"/>
      <c r="Z18" s="103" t="n"/>
      <c r="AA18" s="104" t="n"/>
      <c r="AB18" s="103" t="n"/>
      <c r="AC18" s="104" t="n"/>
      <c r="AD18" s="103" t="n"/>
      <c r="AE18" s="104" t="n"/>
      <c r="AF18" s="103" t="n"/>
      <c r="AG18" s="104" t="n"/>
      <c r="AH18" s="103" t="n"/>
      <c r="AI18" s="104" t="n"/>
      <c r="AJ18" s="103" t="n"/>
      <c r="AK18" s="104" t="n"/>
      <c r="AL18" s="103" t="n"/>
      <c r="AM18" s="104" t="n"/>
      <c r="AN18" s="105" t="n"/>
      <c r="AO18" s="106" t="n"/>
      <c r="AP18" s="107" t="n"/>
      <c r="AQ18" s="106" t="n"/>
      <c r="AR18" s="107" t="n"/>
      <c r="AS18" s="106" t="n"/>
      <c r="AT18" s="107" t="n"/>
      <c r="AU18" s="106" t="n"/>
      <c r="AV18" s="107" t="n"/>
      <c r="AW18" s="106" t="n"/>
      <c r="AX18" s="107" t="n"/>
      <c r="AY18" s="106" t="n"/>
      <c r="AZ18" s="107" t="n"/>
      <c r="BA18" s="106" t="n"/>
      <c r="BB18" s="107" t="n"/>
      <c r="BC18" s="106" t="n"/>
      <c r="BD18" s="107" t="n"/>
      <c r="BE18" s="108" t="n"/>
      <c r="BF18" s="109" t="n"/>
      <c r="BG18" s="110" t="n"/>
      <c r="BH18" s="109" t="n"/>
      <c r="BI18" s="110" t="n"/>
      <c r="BJ18" s="109" t="n"/>
      <c r="BK18" s="110" t="n"/>
      <c r="BL18" s="109" t="n"/>
      <c r="BM18" s="110" t="n"/>
      <c r="BN18" s="109" t="n"/>
      <c r="BO18" s="110" t="n"/>
      <c r="BP18" s="109" t="n"/>
      <c r="BQ18" s="110" t="n"/>
      <c r="BR18" s="109" t="n"/>
      <c r="BS18" s="110" t="n"/>
      <c r="BT18" s="109" t="n"/>
      <c r="BU18" s="110" t="n"/>
      <c r="BV18" s="111" t="n"/>
      <c r="BW18" s="112" t="n"/>
      <c r="BX18" s="113" t="n"/>
      <c r="BY18" s="112" t="n"/>
      <c r="BZ18" s="113" t="n"/>
      <c r="CA18" s="112" t="n"/>
      <c r="CB18" s="113" t="n"/>
      <c r="CC18" s="112" t="n"/>
      <c r="CD18" s="113" t="n"/>
      <c r="CE18" s="112" t="n"/>
      <c r="CF18" s="113" t="n"/>
      <c r="CG18" s="112" t="n"/>
      <c r="CH18" s="113" t="n"/>
      <c r="CI18" s="112" t="n"/>
      <c r="CJ18" s="113" t="n"/>
      <c r="CK18" s="112" t="n"/>
      <c r="CL18" s="113" t="n"/>
      <c r="CM18" s="114" t="n"/>
      <c r="CN18" s="115" t="n"/>
      <c r="CO18" s="116" t="n"/>
      <c r="CP18" s="115" t="n"/>
      <c r="CQ18" s="116" t="n"/>
      <c r="CR18" s="115" t="n"/>
      <c r="CS18" s="116" t="n"/>
      <c r="CT18" s="115" t="n"/>
      <c r="CU18" s="116" t="n"/>
      <c r="CV18" s="115" t="n"/>
      <c r="CW18" s="116" t="n"/>
      <c r="CX18" s="115" t="n"/>
      <c r="CY18" s="116" t="n"/>
      <c r="CZ18" s="115" t="n"/>
      <c r="DA18" s="116" t="n"/>
      <c r="DB18" s="115" t="n"/>
      <c r="DC18" s="116" t="n"/>
      <c r="DD18" s="117" t="n"/>
      <c r="DE18" s="118" t="n"/>
      <c r="DF18" s="119" t="n"/>
      <c r="DG18" s="118" t="n"/>
      <c r="DH18" s="119" t="n"/>
      <c r="DI18" s="118" t="n"/>
      <c r="DJ18" s="119" t="n"/>
      <c r="DK18" s="118" t="n"/>
      <c r="DL18" s="119" t="n"/>
      <c r="DM18" s="118" t="n"/>
      <c r="DN18" s="119" t="n"/>
      <c r="DO18" s="118" t="n"/>
      <c r="DP18" s="119" t="n"/>
      <c r="DQ18" s="118" t="n"/>
      <c r="DR18" s="119" t="n"/>
      <c r="DS18" s="118" t="n"/>
      <c r="DT18" s="119" t="n"/>
      <c r="DU18" s="120" t="n"/>
      <c r="DV18" s="121" t="n"/>
      <c r="DW18" s="122" t="n"/>
      <c r="DX18" s="121" t="n"/>
      <c r="DY18" s="122" t="n"/>
      <c r="DZ18" s="121" t="n"/>
      <c r="EA18" s="122" t="n"/>
      <c r="EB18" s="121" t="n"/>
      <c r="EC18" s="122" t="n"/>
      <c r="ED18" s="121" t="n"/>
      <c r="EE18" s="122" t="n"/>
      <c r="EF18" s="121" t="n"/>
      <c r="EG18" s="122" t="n"/>
      <c r="EH18" s="121" t="n"/>
      <c r="EI18" s="122" t="n"/>
      <c r="EJ18" s="121" t="n"/>
      <c r="EK18" s="122" t="n"/>
      <c r="EL18" s="123" t="n"/>
      <c r="EM18" s="124" t="n"/>
      <c r="EN18" s="125" t="n"/>
      <c r="EO18" s="124" t="n"/>
      <c r="EP18" s="125" t="n"/>
      <c r="EQ18" s="124" t="n"/>
      <c r="ER18" s="125" t="n"/>
      <c r="ES18" s="124" t="n"/>
      <c r="ET18" s="125" t="n"/>
      <c r="EU18" s="124" t="n"/>
      <c r="EV18" s="125" t="n"/>
      <c r="EW18" s="124" t="n"/>
      <c r="EX18" s="125" t="n"/>
      <c r="EY18" s="124" t="n"/>
      <c r="EZ18" s="125" t="n"/>
      <c r="FA18" s="124" t="n"/>
      <c r="FB18" s="125" t="n"/>
      <c r="FC18" s="126" t="n"/>
      <c r="FD18" s="127" t="n"/>
      <c r="FE18" s="128" t="n"/>
      <c r="FF18" s="127" t="n"/>
      <c r="FG18" s="128" t="n"/>
      <c r="FH18" s="127" t="n"/>
      <c r="FI18" s="128" t="n"/>
      <c r="FJ18" s="127" t="n"/>
      <c r="FK18" s="128" t="n"/>
      <c r="FL18" s="127" t="n"/>
      <c r="FM18" s="128" t="n"/>
      <c r="FN18" s="127" t="n"/>
      <c r="FO18" s="128" t="n"/>
      <c r="FP18" s="127" t="n"/>
      <c r="FQ18" s="128" t="n"/>
      <c r="FR18" s="127" t="n"/>
      <c r="FS18" s="128" t="n"/>
      <c r="FT18" s="129" t="n"/>
      <c r="FU18" s="130" t="n"/>
      <c r="FV18" s="131" t="n"/>
      <c r="FW18" s="130" t="n"/>
      <c r="FX18" s="131" t="n"/>
      <c r="FY18" s="130" t="n"/>
      <c r="FZ18" s="131" t="n"/>
      <c r="GA18" s="130" t="n"/>
      <c r="GB18" s="131" t="n"/>
      <c r="GC18" s="130" t="n"/>
      <c r="GD18" s="131" t="n"/>
      <c r="GE18" s="130" t="n"/>
      <c r="GF18" s="131" t="n"/>
      <c r="GG18" s="130" t="n"/>
      <c r="GH18" s="131" t="n"/>
      <c r="GI18" s="130" t="n"/>
      <c r="GJ18" s="131" t="n"/>
      <c r="GK18" s="132" t="n"/>
      <c r="GL18" s="133" t="n"/>
      <c r="GM18" s="134" t="n"/>
      <c r="GN18" s="133" t="n"/>
      <c r="GO18" s="134" t="n"/>
      <c r="GP18" s="133" t="n"/>
      <c r="GQ18" s="134" t="n"/>
      <c r="GR18" s="133" t="n"/>
      <c r="GS18" s="134" t="n"/>
      <c r="GT18" s="133" t="n"/>
      <c r="GU18" s="134" t="n"/>
      <c r="GV18" s="133" t="n"/>
      <c r="GW18" s="134" t="n"/>
      <c r="GX18" s="133" t="n"/>
      <c r="GY18" s="134" t="n"/>
      <c r="GZ18" s="133" t="n"/>
      <c r="HA18" s="134" t="n"/>
      <c r="HB18" s="135" t="n"/>
      <c r="HC18">
        <f>97-SUMPRODUCT(MAX(($G$4:$HB$4="ح")*($G18:$HB18=TRUE)*(97-$G$47:$HB$47)))</f>
        <v>97</v>
      </c>
      <c r="HD18">
        <f>SUMPRODUCT(($G$4:$HB$4="ح")*($G18:$HB18=TRUE)*($G$47:$HB$47&gt;$HC$1-8))</f>
        <v>0</v>
      </c>
      <c r="HE18">
        <f>(COUNTIF($G18:$V18,TRUE)&gt;0)*($W18&lt;&gt;TRUE)+(COUNTIF($X18:$AM18,TRUE)&gt;0)*($AN18&lt;&gt;TRUE)+(COUNTIF($AO18:$BD18,TRUE)&gt;0)*($BE18&lt;&gt;TRUE)+(COUNTIF($BF18:$BU18,TRUE)&gt;0)*($BV18&lt;&gt;TRUE)+(COUNTIF($BW18:$CL18,TRUE)&gt;0)*($CM18&lt;&gt;TRUE)+(COUNTIF($CN18:$DC18,TRUE)&gt;0)*($DD18&lt;&gt;TRUE)+(COUNTIF($DE18:$DT18,TRUE)&gt;0)*($DU18&lt;&gt;TRUE)+(COUNTIF($DV18:$EK18,TRUE)&gt;0)*($EL18&lt;&gt;TRUE)+(COUNTIF($EM18:$FB18,TRUE)&gt;0)*($FC18&lt;&gt;TRUE)+(COUNTIF($FD18:$FS18,TRUE)&gt;0)*($FT18&lt;&gt;TRUE)+(COUNTIF($FU18:$GJ18,TRUE)&gt;0)*($GK18&lt;&gt;TRUE)+(COUNTIF($GL18:$HA18,TRUE)&gt;0)*($HB18&lt;&gt;TRUE)</f>
        <v>0</v>
      </c>
      <c r="HF18">
        <f>IF($HE18=0,0,13-MAX((COUNTIF($G18:$V18,TRUE)&gt;0)*($W18&lt;&gt;TRUE)*12,(COUNTIF($X18:$AM18,TRUE)&gt;0)*($AN18&lt;&gt;TRUE)*11,(COUNTIF($AO18:$BD18,TRUE)&gt;0)*($BE18&lt;&gt;TRUE)*10,(COUNTIF($BF18:$BU18,TRUE)&gt;0)*($BV18&lt;&gt;TRUE)*9,(COUNTIF($BW18:$CL18,TRUE)&gt;0)*($CM18&lt;&gt;TRUE)*8,(COUNTIF($CN18:$DC18,TRUE)&gt;0)*($DD18&lt;&gt;TRUE)*7,(COUNTIF($DE18:$DT18,TRUE)&gt;0)*($DU18&lt;&gt;TRUE)*6,(COUNTIF($DV18:$EK18,TRUE)&gt;0)*($EL18&lt;&gt;TRUE)*5,(COUNTIF($EM18:$FB18,TRUE)&gt;0)*($FC18&lt;&gt;TRUE)*4,(COUNTIF($FD18:$FS18,TRUE)&gt;0)*($FT18&lt;&gt;TRUE)*3,(COUNTIF($FU18:$GJ18,TRUE)&gt;0)*($GK18&lt;&gt;TRUE)*2,(COUNTIF($GL18:$HA18,TRUE)&gt;0)*($HB18&lt;&gt;TRUE)*1))</f>
        <v>0</v>
      </c>
    </row>
    <row r="19" ht="22.5" customHeight="1">
      <c r="A19" s="36" t="n">
        <v>15</v>
      </c>
      <c r="B19" s="97" t="n"/>
      <c r="C19" s="28" t="n"/>
      <c r="D19" s="98" t="str">
        <f>IF($B19="","",IF($HC19=97,"-",IF($HD19=0,"متوقف",SUMPRODUCT(($G$4:$HB$4="ح")*($G$20:$HB$20&gt;0)*($G19:$HB19&lt;&gt;TRUE)*($G$47:$HB$47&gt;$HC$1-8)*($G$47:$HB$47&gt;=$HC19)))))</f>
        <v/>
      </c>
      <c r="E19" s="98" t="str">
        <f>IF(OR($B19="",$HC19=97),"",SUMPRODUCT(($G$4:$HA$4="ح")*($G19:$HA19=TRUE)*($H19:$HB19&lt;&gt;TRUE)*($G$47:$HA$47&gt;$HC$1-8)))</f>
        <v/>
      </c>
      <c r="F19" s="99" t="str">
        <f>IF($B19="","",IF($HE19=0,IF($HC19=97,"-","تمام"),IF($HE19=1,IF(INDEX($G$1:$HB$1,1,17*($HF19-1)+1)="","شهر "&amp;$HF19,INDEX($G$1:$HB$1,1,17*($HF19-1)+1)),IF($HE19=2,"شهرين",$HE19&amp;" شهور"))))</f>
        <v/>
      </c>
      <c r="G19" s="100" t="n"/>
      <c r="H19" s="101" t="n"/>
      <c r="I19" s="100" t="n"/>
      <c r="J19" s="101" t="n"/>
      <c r="K19" s="100" t="n"/>
      <c r="L19" s="101" t="n"/>
      <c r="M19" s="100" t="n"/>
      <c r="N19" s="101" t="n"/>
      <c r="O19" s="100" t="n"/>
      <c r="P19" s="101" t="n"/>
      <c r="Q19" s="100" t="n"/>
      <c r="R19" s="101" t="n"/>
      <c r="S19" s="100" t="n"/>
      <c r="T19" s="101" t="n"/>
      <c r="U19" s="100" t="n"/>
      <c r="V19" s="101" t="n"/>
      <c r="W19" s="102" t="n"/>
      <c r="X19" s="103" t="n"/>
      <c r="Y19" s="104" t="n"/>
      <c r="Z19" s="103" t="n"/>
      <c r="AA19" s="104" t="n"/>
      <c r="AB19" s="103" t="n"/>
      <c r="AC19" s="104" t="n"/>
      <c r="AD19" s="103" t="n"/>
      <c r="AE19" s="104" t="n"/>
      <c r="AF19" s="103" t="n"/>
      <c r="AG19" s="104" t="n"/>
      <c r="AH19" s="103" t="n"/>
      <c r="AI19" s="104" t="n"/>
      <c r="AJ19" s="103" t="n"/>
      <c r="AK19" s="104" t="n"/>
      <c r="AL19" s="103" t="n"/>
      <c r="AM19" s="104" t="n"/>
      <c r="AN19" s="105" t="n"/>
      <c r="AO19" s="106" t="n"/>
      <c r="AP19" s="107" t="n"/>
      <c r="AQ19" s="106" t="n"/>
      <c r="AR19" s="107" t="n"/>
      <c r="AS19" s="106" t="n"/>
      <c r="AT19" s="107" t="n"/>
      <c r="AU19" s="106" t="n"/>
      <c r="AV19" s="107" t="n"/>
      <c r="AW19" s="106" t="n"/>
      <c r="AX19" s="107" t="n"/>
      <c r="AY19" s="106" t="n"/>
      <c r="AZ19" s="107" t="n"/>
      <c r="BA19" s="106" t="n"/>
      <c r="BB19" s="107" t="n"/>
      <c r="BC19" s="106" t="n"/>
      <c r="BD19" s="107" t="n"/>
      <c r="BE19" s="108" t="n"/>
      <c r="BF19" s="109" t="n"/>
      <c r="BG19" s="110" t="n"/>
      <c r="BH19" s="109" t="n"/>
      <c r="BI19" s="110" t="n"/>
      <c r="BJ19" s="109" t="n"/>
      <c r="BK19" s="110" t="n"/>
      <c r="BL19" s="109" t="n"/>
      <c r="BM19" s="110" t="n"/>
      <c r="BN19" s="109" t="n"/>
      <c r="BO19" s="110" t="n"/>
      <c r="BP19" s="109" t="n"/>
      <c r="BQ19" s="110" t="n"/>
      <c r="BR19" s="109" t="n"/>
      <c r="BS19" s="110" t="n"/>
      <c r="BT19" s="109" t="n"/>
      <c r="BU19" s="110" t="n"/>
      <c r="BV19" s="111" t="n"/>
      <c r="BW19" s="112" t="n"/>
      <c r="BX19" s="113" t="n"/>
      <c r="BY19" s="112" t="n"/>
      <c r="BZ19" s="113" t="n"/>
      <c r="CA19" s="112" t="n"/>
      <c r="CB19" s="113" t="n"/>
      <c r="CC19" s="112" t="n"/>
      <c r="CD19" s="113" t="n"/>
      <c r="CE19" s="112" t="n"/>
      <c r="CF19" s="113" t="n"/>
      <c r="CG19" s="112" t="n"/>
      <c r="CH19" s="113" t="n"/>
      <c r="CI19" s="112" t="n"/>
      <c r="CJ19" s="113" t="n"/>
      <c r="CK19" s="112" t="n"/>
      <c r="CL19" s="113" t="n"/>
      <c r="CM19" s="114" t="n"/>
      <c r="CN19" s="115" t="n"/>
      <c r="CO19" s="116" t="n"/>
      <c r="CP19" s="115" t="n"/>
      <c r="CQ19" s="116" t="n"/>
      <c r="CR19" s="115" t="n"/>
      <c r="CS19" s="116" t="n"/>
      <c r="CT19" s="115" t="n"/>
      <c r="CU19" s="116" t="n"/>
      <c r="CV19" s="115" t="n"/>
      <c r="CW19" s="116" t="n"/>
      <c r="CX19" s="115" t="n"/>
      <c r="CY19" s="116" t="n"/>
      <c r="CZ19" s="115" t="n"/>
      <c r="DA19" s="116" t="n"/>
      <c r="DB19" s="115" t="n"/>
      <c r="DC19" s="116" t="n"/>
      <c r="DD19" s="117" t="n"/>
      <c r="DE19" s="118" t="n"/>
      <c r="DF19" s="119" t="n"/>
      <c r="DG19" s="118" t="n"/>
      <c r="DH19" s="119" t="n"/>
      <c r="DI19" s="118" t="n"/>
      <c r="DJ19" s="119" t="n"/>
      <c r="DK19" s="118" t="n"/>
      <c r="DL19" s="119" t="n"/>
      <c r="DM19" s="118" t="n"/>
      <c r="DN19" s="119" t="n"/>
      <c r="DO19" s="118" t="n"/>
      <c r="DP19" s="119" t="n"/>
      <c r="DQ19" s="118" t="n"/>
      <c r="DR19" s="119" t="n"/>
      <c r="DS19" s="118" t="n"/>
      <c r="DT19" s="119" t="n"/>
      <c r="DU19" s="120" t="n"/>
      <c r="DV19" s="121" t="n"/>
      <c r="DW19" s="122" t="n"/>
      <c r="DX19" s="121" t="n"/>
      <c r="DY19" s="122" t="n"/>
      <c r="DZ19" s="121" t="n"/>
      <c r="EA19" s="122" t="n"/>
      <c r="EB19" s="121" t="n"/>
      <c r="EC19" s="122" t="n"/>
      <c r="ED19" s="121" t="n"/>
      <c r="EE19" s="122" t="n"/>
      <c r="EF19" s="121" t="n"/>
      <c r="EG19" s="122" t="n"/>
      <c r="EH19" s="121" t="n"/>
      <c r="EI19" s="122" t="n"/>
      <c r="EJ19" s="121" t="n"/>
      <c r="EK19" s="122" t="n"/>
      <c r="EL19" s="123" t="n"/>
      <c r="EM19" s="124" t="n"/>
      <c r="EN19" s="125" t="n"/>
      <c r="EO19" s="124" t="n"/>
      <c r="EP19" s="125" t="n"/>
      <c r="EQ19" s="124" t="n"/>
      <c r="ER19" s="125" t="n"/>
      <c r="ES19" s="124" t="n"/>
      <c r="ET19" s="125" t="n"/>
      <c r="EU19" s="124" t="n"/>
      <c r="EV19" s="125" t="n"/>
      <c r="EW19" s="124" t="n"/>
      <c r="EX19" s="125" t="n"/>
      <c r="EY19" s="124" t="n"/>
      <c r="EZ19" s="125" t="n"/>
      <c r="FA19" s="124" t="n"/>
      <c r="FB19" s="125" t="n"/>
      <c r="FC19" s="126" t="n"/>
      <c r="FD19" s="127" t="n"/>
      <c r="FE19" s="128" t="n"/>
      <c r="FF19" s="127" t="n"/>
      <c r="FG19" s="128" t="n"/>
      <c r="FH19" s="127" t="n"/>
      <c r="FI19" s="128" t="n"/>
      <c r="FJ19" s="127" t="n"/>
      <c r="FK19" s="128" t="n"/>
      <c r="FL19" s="127" t="n"/>
      <c r="FM19" s="128" t="n"/>
      <c r="FN19" s="127" t="n"/>
      <c r="FO19" s="128" t="n"/>
      <c r="FP19" s="127" t="n"/>
      <c r="FQ19" s="128" t="n"/>
      <c r="FR19" s="127" t="n"/>
      <c r="FS19" s="128" t="n"/>
      <c r="FT19" s="129" t="n"/>
      <c r="FU19" s="130" t="n"/>
      <c r="FV19" s="131" t="n"/>
      <c r="FW19" s="130" t="n"/>
      <c r="FX19" s="131" t="n"/>
      <c r="FY19" s="130" t="n"/>
      <c r="FZ19" s="131" t="n"/>
      <c r="GA19" s="130" t="n"/>
      <c r="GB19" s="131" t="n"/>
      <c r="GC19" s="130" t="n"/>
      <c r="GD19" s="131" t="n"/>
      <c r="GE19" s="130" t="n"/>
      <c r="GF19" s="131" t="n"/>
      <c r="GG19" s="130" t="n"/>
      <c r="GH19" s="131" t="n"/>
      <c r="GI19" s="130" t="n"/>
      <c r="GJ19" s="131" t="n"/>
      <c r="GK19" s="132" t="n"/>
      <c r="GL19" s="133" t="n"/>
      <c r="GM19" s="134" t="n"/>
      <c r="GN19" s="133" t="n"/>
      <c r="GO19" s="134" t="n"/>
      <c r="GP19" s="133" t="n"/>
      <c r="GQ19" s="134" t="n"/>
      <c r="GR19" s="133" t="n"/>
      <c r="GS19" s="134" t="n"/>
      <c r="GT19" s="133" t="n"/>
      <c r="GU19" s="134" t="n"/>
      <c r="GV19" s="133" t="n"/>
      <c r="GW19" s="134" t="n"/>
      <c r="GX19" s="133" t="n"/>
      <c r="GY19" s="134" t="n"/>
      <c r="GZ19" s="133" t="n"/>
      <c r="HA19" s="134" t="n"/>
      <c r="HB19" s="135" t="n"/>
      <c r="HC19">
        <f>97-SUMPRODUCT(MAX(($G$4:$HB$4="ح")*($G19:$HB19=TRUE)*(97-$G$47:$HB$47)))</f>
        <v>97</v>
      </c>
      <c r="HD19">
        <f>SUMPRODUCT(($G$4:$HB$4="ح")*($G19:$HB19=TRUE)*($G$47:$HB$47&gt;$HC$1-8))</f>
        <v>0</v>
      </c>
      <c r="HE19">
        <f>(COUNTIF($G19:$V19,TRUE)&gt;0)*($W19&lt;&gt;TRUE)+(COUNTIF($X19:$AM19,TRUE)&gt;0)*($AN19&lt;&gt;TRUE)+(COUNTIF($AO19:$BD19,TRUE)&gt;0)*($BE19&lt;&gt;TRUE)+(COUNTIF($BF19:$BU19,TRUE)&gt;0)*($BV19&lt;&gt;TRUE)+(COUNTIF($BW19:$CL19,TRUE)&gt;0)*($CM19&lt;&gt;TRUE)+(COUNTIF($CN19:$DC19,TRUE)&gt;0)*($DD19&lt;&gt;TRUE)+(COUNTIF($DE19:$DT19,TRUE)&gt;0)*($DU19&lt;&gt;TRUE)+(COUNTIF($DV19:$EK19,TRUE)&gt;0)*($EL19&lt;&gt;TRUE)+(COUNTIF($EM19:$FB19,TRUE)&gt;0)*($FC19&lt;&gt;TRUE)+(COUNTIF($FD19:$FS19,TRUE)&gt;0)*($FT19&lt;&gt;TRUE)+(COUNTIF($FU19:$GJ19,TRUE)&gt;0)*($GK19&lt;&gt;TRUE)+(COUNTIF($GL19:$HA19,TRUE)&gt;0)*($HB19&lt;&gt;TRUE)</f>
        <v>0</v>
      </c>
      <c r="HF19">
        <f>IF($HE19=0,0,13-MAX((COUNTIF($G19:$V19,TRUE)&gt;0)*($W19&lt;&gt;TRUE)*12,(COUNTIF($X19:$AM19,TRUE)&gt;0)*($AN19&lt;&gt;TRUE)*11,(COUNTIF($AO19:$BD19,TRUE)&gt;0)*($BE19&lt;&gt;TRUE)*10,(COUNTIF($BF19:$BU19,TRUE)&gt;0)*($BV19&lt;&gt;TRUE)*9,(COUNTIF($BW19:$CL19,TRUE)&gt;0)*($CM19&lt;&gt;TRUE)*8,(COUNTIF($CN19:$DC19,TRUE)&gt;0)*($DD19&lt;&gt;TRUE)*7,(COUNTIF($DE19:$DT19,TRUE)&gt;0)*($DU19&lt;&gt;TRUE)*6,(COUNTIF($DV19:$EK19,TRUE)&gt;0)*($EL19&lt;&gt;TRUE)*5,(COUNTIF($EM19:$FB19,TRUE)&gt;0)*($FC19&lt;&gt;TRUE)*4,(COUNTIF($FD19:$FS19,TRUE)&gt;0)*($FT19&lt;&gt;TRUE)*3,(COUNTIF($FU19:$GJ19,TRUE)&gt;0)*($GK19&lt;&gt;TRUE)*2,(COUNTIF($GL19:$HA19,TRUE)&gt;0)*($HB19&lt;&gt;TRUE)*1))</f>
        <v>0</v>
      </c>
    </row>
    <row r="20" ht="16.5" customHeight="1">
      <c r="A20" s="36" t="inlineStr">
        <is>
          <t>العدد</t>
        </is>
      </c>
      <c r="B20" s="4" t="n"/>
      <c r="C20" s="136" t="n"/>
      <c r="D20" s="13" t="n"/>
      <c r="E20" s="13" t="n"/>
      <c r="F20" s="4" t="n"/>
      <c r="G20" s="137">
        <f>COUNTIF(G5:G19,TRUE)</f>
        <v>0</v>
      </c>
      <c r="H20" s="137">
        <f>COUNTIF(H5:H19,TRUE)</f>
        <v>0</v>
      </c>
      <c r="I20" s="137">
        <f>COUNTIF(I5:I19,TRUE)</f>
        <v>0</v>
      </c>
      <c r="J20" s="137">
        <f>COUNTIF(J5:J19,TRUE)</f>
        <v>0</v>
      </c>
      <c r="K20" s="137">
        <f>COUNTIF(K5:K19,TRUE)</f>
        <v>0</v>
      </c>
      <c r="L20" s="137">
        <f>COUNTIF(L5:L19,TRUE)</f>
        <v>0</v>
      </c>
      <c r="M20" s="137">
        <f>COUNTIF(M5:M19,TRUE)</f>
        <v>0</v>
      </c>
      <c r="N20" s="137">
        <f>COUNTIF(N5:N19,TRUE)</f>
        <v>0</v>
      </c>
      <c r="O20" s="137">
        <f>COUNTIF(O5:O19,TRUE)</f>
        <v>0</v>
      </c>
      <c r="P20" s="137">
        <f>COUNTIF(P5:P19,TRUE)</f>
        <v>0</v>
      </c>
      <c r="Q20" s="137">
        <f>COUNTIF(Q5:Q19,TRUE)</f>
        <v>0</v>
      </c>
      <c r="R20" s="137">
        <f>COUNTIF(R5:R19,TRUE)</f>
        <v>0</v>
      </c>
      <c r="S20" s="137">
        <f>COUNTIF(S5:S19,TRUE)</f>
        <v>0</v>
      </c>
      <c r="T20" s="137">
        <f>COUNTIF(T5:T19,TRUE)</f>
        <v>0</v>
      </c>
      <c r="U20" s="137">
        <f>COUNTIF(U5:U19,TRUE)</f>
        <v>0</v>
      </c>
      <c r="V20" s="137">
        <f>COUNTIF(V5:V19,TRUE)</f>
        <v>0</v>
      </c>
      <c r="W20" s="137">
        <f>COUNTIF(W5:W19,TRUE)</f>
        <v>0</v>
      </c>
      <c r="X20" s="137">
        <f>COUNTIF(X5:X19,TRUE)</f>
        <v>0</v>
      </c>
      <c r="Y20" s="137">
        <f>COUNTIF(Y5:Y19,TRUE)</f>
        <v>0</v>
      </c>
      <c r="Z20" s="137">
        <f>COUNTIF(Z5:Z19,TRUE)</f>
        <v>0</v>
      </c>
      <c r="AA20" s="137">
        <f>COUNTIF(AA5:AA19,TRUE)</f>
        <v>0</v>
      </c>
      <c r="AB20" s="137">
        <f>COUNTIF(AB5:AB19,TRUE)</f>
        <v>0</v>
      </c>
      <c r="AC20" s="137">
        <f>COUNTIF(AC5:AC19,TRUE)</f>
        <v>0</v>
      </c>
      <c r="AD20" s="137">
        <f>COUNTIF(AD5:AD19,TRUE)</f>
        <v>0</v>
      </c>
      <c r="AE20" s="137">
        <f>COUNTIF(AE5:AE19,TRUE)</f>
        <v>0</v>
      </c>
      <c r="AF20" s="137">
        <f>COUNTIF(AF5:AF19,TRUE)</f>
        <v>0</v>
      </c>
      <c r="AG20" s="137">
        <f>COUNTIF(AG5:AG19,TRUE)</f>
        <v>0</v>
      </c>
      <c r="AH20" s="137">
        <f>COUNTIF(AH5:AH19,TRUE)</f>
        <v>0</v>
      </c>
      <c r="AI20" s="137">
        <f>COUNTIF(AI5:AI19,TRUE)</f>
        <v>0</v>
      </c>
      <c r="AJ20" s="137">
        <f>COUNTIF(AJ5:AJ19,TRUE)</f>
        <v>0</v>
      </c>
      <c r="AK20" s="137">
        <f>COUNTIF(AK5:AK19,TRUE)</f>
        <v>0</v>
      </c>
      <c r="AL20" s="137">
        <f>COUNTIF(AL5:AL19,TRUE)</f>
        <v>0</v>
      </c>
      <c r="AM20" s="137">
        <f>COUNTIF(AM5:AM19,TRUE)</f>
        <v>0</v>
      </c>
      <c r="AN20" s="137">
        <f>COUNTIF(AN5:AN19,TRUE)</f>
        <v>0</v>
      </c>
      <c r="AO20" s="137">
        <f>COUNTIF(AO5:AO19,TRUE)</f>
        <v>0</v>
      </c>
      <c r="AP20" s="137">
        <f>COUNTIF(AP5:AP19,TRUE)</f>
        <v>0</v>
      </c>
      <c r="AQ20" s="137">
        <f>COUNTIF(AQ5:AQ19,TRUE)</f>
        <v>0</v>
      </c>
      <c r="AR20" s="137">
        <f>COUNTIF(AR5:AR19,TRUE)</f>
        <v>0</v>
      </c>
      <c r="AS20" s="137">
        <f>COUNTIF(AS5:AS19,TRUE)</f>
        <v>0</v>
      </c>
      <c r="AT20" s="137">
        <f>COUNTIF(AT5:AT19,TRUE)</f>
        <v>0</v>
      </c>
      <c r="AU20" s="137">
        <f>COUNTIF(AU5:AU19,TRUE)</f>
        <v>0</v>
      </c>
      <c r="AV20" s="137">
        <f>COUNTIF(AV5:AV19,TRUE)</f>
        <v>0</v>
      </c>
      <c r="AW20" s="137">
        <f>COUNTIF(AW5:AW19,TRUE)</f>
        <v>0</v>
      </c>
      <c r="AX20" s="137">
        <f>COUNTIF(AX5:AX19,TRUE)</f>
        <v>0</v>
      </c>
      <c r="AY20" s="137">
        <f>COUNTIF(AY5:AY19,TRUE)</f>
        <v>0</v>
      </c>
      <c r="AZ20" s="137">
        <f>COUNTIF(AZ5:AZ19,TRUE)</f>
        <v>0</v>
      </c>
      <c r="BA20" s="137">
        <f>COUNTIF(BA5:BA19,TRUE)</f>
        <v>0</v>
      </c>
      <c r="BB20" s="137">
        <f>COUNTIF(BB5:BB19,TRUE)</f>
        <v>0</v>
      </c>
      <c r="BC20" s="137">
        <f>COUNTIF(BC5:BC19,TRUE)</f>
        <v>0</v>
      </c>
      <c r="BD20" s="137">
        <f>COUNTIF(BD5:BD19,TRUE)</f>
        <v>0</v>
      </c>
      <c r="BE20" s="137">
        <f>COUNTIF(BE5:BE19,TRUE)</f>
        <v>0</v>
      </c>
      <c r="BF20" s="137">
        <f>COUNTIF(BF5:BF19,TRUE)</f>
        <v>0</v>
      </c>
      <c r="BG20" s="137">
        <f>COUNTIF(BG5:BG19,TRUE)</f>
        <v>0</v>
      </c>
      <c r="BH20" s="137">
        <f>COUNTIF(BH5:BH19,TRUE)</f>
        <v>0</v>
      </c>
      <c r="BI20" s="137">
        <f>COUNTIF(BI5:BI19,TRUE)</f>
        <v>0</v>
      </c>
      <c r="BJ20" s="137">
        <f>COUNTIF(BJ5:BJ19,TRUE)</f>
        <v>0</v>
      </c>
      <c r="BK20" s="137">
        <f>COUNTIF(BK5:BK19,TRUE)</f>
        <v>0</v>
      </c>
      <c r="BL20" s="137">
        <f>COUNTIF(BL5:BL19,TRUE)</f>
        <v>0</v>
      </c>
      <c r="BM20" s="137">
        <f>COUNTIF(BM5:BM19,TRUE)</f>
        <v>0</v>
      </c>
      <c r="BN20" s="137">
        <f>COUNTIF(BN5:BN19,TRUE)</f>
        <v>0</v>
      </c>
      <c r="BO20" s="137">
        <f>COUNTIF(BO5:BO19,TRUE)</f>
        <v>0</v>
      </c>
      <c r="BP20" s="137">
        <f>COUNTIF(BP5:BP19,TRUE)</f>
        <v>0</v>
      </c>
      <c r="BQ20" s="137">
        <f>COUNTIF(BQ5:BQ19,TRUE)</f>
        <v>0</v>
      </c>
      <c r="BR20" s="137">
        <f>COUNTIF(BR5:BR19,TRUE)</f>
        <v>0</v>
      </c>
      <c r="BS20" s="137">
        <f>COUNTIF(BS5:BS19,TRUE)</f>
        <v>0</v>
      </c>
      <c r="BT20" s="137">
        <f>COUNTIF(BT5:BT19,TRUE)</f>
        <v>0</v>
      </c>
      <c r="BU20" s="137">
        <f>COUNTIF(BU5:BU19,TRUE)</f>
        <v>0</v>
      </c>
      <c r="BV20" s="137">
        <f>COUNTIF(BV5:BV19,TRUE)</f>
        <v>0</v>
      </c>
      <c r="BW20" s="137">
        <f>COUNTIF(BW5:BW19,TRUE)</f>
        <v>0</v>
      </c>
      <c r="BX20" s="137">
        <f>COUNTIF(BX5:BX19,TRUE)</f>
        <v>0</v>
      </c>
      <c r="BY20" s="137">
        <f>COUNTIF(BY5:BY19,TRUE)</f>
        <v>0</v>
      </c>
      <c r="BZ20" s="137">
        <f>COUNTIF(BZ5:BZ19,TRUE)</f>
        <v>0</v>
      </c>
      <c r="CA20" s="137">
        <f>COUNTIF(CA5:CA19,TRUE)</f>
        <v>0</v>
      </c>
      <c r="CB20" s="137">
        <f>COUNTIF(CB5:CB19,TRUE)</f>
        <v>0</v>
      </c>
      <c r="CC20" s="137">
        <f>COUNTIF(CC5:CC19,TRUE)</f>
        <v>0</v>
      </c>
      <c r="CD20" s="137">
        <f>COUNTIF(CD5:CD19,TRUE)</f>
        <v>0</v>
      </c>
      <c r="CE20" s="137">
        <f>COUNTIF(CE5:CE19,TRUE)</f>
        <v>0</v>
      </c>
      <c r="CF20" s="137">
        <f>COUNTIF(CF5:CF19,TRUE)</f>
        <v>0</v>
      </c>
      <c r="CG20" s="137">
        <f>COUNTIF(CG5:CG19,TRUE)</f>
        <v>0</v>
      </c>
      <c r="CH20" s="137">
        <f>COUNTIF(CH5:CH19,TRUE)</f>
        <v>0</v>
      </c>
      <c r="CI20" s="137">
        <f>COUNTIF(CI5:CI19,TRUE)</f>
        <v>0</v>
      </c>
      <c r="CJ20" s="137">
        <f>COUNTIF(CJ5:CJ19,TRUE)</f>
        <v>0</v>
      </c>
      <c r="CK20" s="137">
        <f>COUNTIF(CK5:CK19,TRUE)</f>
        <v>0</v>
      </c>
      <c r="CL20" s="137">
        <f>COUNTIF(CL5:CL19,TRUE)</f>
        <v>0</v>
      </c>
      <c r="CM20" s="137">
        <f>COUNTIF(CM5:CM19,TRUE)</f>
        <v>0</v>
      </c>
      <c r="CN20" s="137">
        <f>COUNTIF(CN5:CN19,TRUE)</f>
        <v>0</v>
      </c>
      <c r="CO20" s="137">
        <f>COUNTIF(CO5:CO19,TRUE)</f>
        <v>0</v>
      </c>
      <c r="CP20" s="137">
        <f>COUNTIF(CP5:CP19,TRUE)</f>
        <v>0</v>
      </c>
      <c r="CQ20" s="137">
        <f>COUNTIF(CQ5:CQ19,TRUE)</f>
        <v>0</v>
      </c>
      <c r="CR20" s="137">
        <f>COUNTIF(CR5:CR19,TRUE)</f>
        <v>0</v>
      </c>
      <c r="CS20" s="137">
        <f>COUNTIF(CS5:CS19,TRUE)</f>
        <v>0</v>
      </c>
      <c r="CT20" s="137">
        <f>COUNTIF(CT5:CT19,TRUE)</f>
        <v>0</v>
      </c>
      <c r="CU20" s="137">
        <f>COUNTIF(CU5:CU19,TRUE)</f>
        <v>0</v>
      </c>
      <c r="CV20" s="137">
        <f>COUNTIF(CV5:CV19,TRUE)</f>
        <v>0</v>
      </c>
      <c r="CW20" s="137">
        <f>COUNTIF(CW5:CW19,TRUE)</f>
        <v>0</v>
      </c>
      <c r="CX20" s="137">
        <f>COUNTIF(CX5:CX19,TRUE)</f>
        <v>0</v>
      </c>
      <c r="CY20" s="137">
        <f>COUNTIF(CY5:CY19,TRUE)</f>
        <v>0</v>
      </c>
      <c r="CZ20" s="137">
        <f>COUNTIF(CZ5:CZ19,TRUE)</f>
        <v>0</v>
      </c>
      <c r="DA20" s="137">
        <f>COUNTIF(DA5:DA19,TRUE)</f>
        <v>0</v>
      </c>
      <c r="DB20" s="137">
        <f>COUNTIF(DB5:DB19,TRUE)</f>
        <v>0</v>
      </c>
      <c r="DC20" s="137">
        <f>COUNTIF(DC5:DC19,TRUE)</f>
        <v>0</v>
      </c>
      <c r="DD20" s="137">
        <f>COUNTIF(DD5:DD19,TRUE)</f>
        <v>0</v>
      </c>
      <c r="DE20" s="137">
        <f>COUNTIF(DE5:DE19,TRUE)</f>
        <v>0</v>
      </c>
      <c r="DF20" s="137">
        <f>COUNTIF(DF5:DF19,TRUE)</f>
        <v>0</v>
      </c>
      <c r="DG20" s="137">
        <f>COUNTIF(DG5:DG19,TRUE)</f>
        <v>0</v>
      </c>
      <c r="DH20" s="137">
        <f>COUNTIF(DH5:DH19,TRUE)</f>
        <v>0</v>
      </c>
      <c r="DI20" s="137">
        <f>COUNTIF(DI5:DI19,TRUE)</f>
        <v>0</v>
      </c>
      <c r="DJ20" s="137">
        <f>COUNTIF(DJ5:DJ19,TRUE)</f>
        <v>0</v>
      </c>
      <c r="DK20" s="137">
        <f>COUNTIF(DK5:DK19,TRUE)</f>
        <v>0</v>
      </c>
      <c r="DL20" s="137">
        <f>COUNTIF(DL5:DL19,TRUE)</f>
        <v>0</v>
      </c>
      <c r="DM20" s="137">
        <f>COUNTIF(DM5:DM19,TRUE)</f>
        <v>0</v>
      </c>
      <c r="DN20" s="137">
        <f>COUNTIF(DN5:DN19,TRUE)</f>
        <v>0</v>
      </c>
      <c r="DO20" s="137">
        <f>COUNTIF(DO5:DO19,TRUE)</f>
        <v>0</v>
      </c>
      <c r="DP20" s="137">
        <f>COUNTIF(DP5:DP19,TRUE)</f>
        <v>0</v>
      </c>
      <c r="DQ20" s="137">
        <f>COUNTIF(DQ5:DQ19,TRUE)</f>
        <v>0</v>
      </c>
      <c r="DR20" s="137">
        <f>COUNTIF(DR5:DR19,TRUE)</f>
        <v>0</v>
      </c>
      <c r="DS20" s="137">
        <f>COUNTIF(DS5:DS19,TRUE)</f>
        <v>0</v>
      </c>
      <c r="DT20" s="137">
        <f>COUNTIF(DT5:DT19,TRUE)</f>
        <v>0</v>
      </c>
      <c r="DU20" s="137">
        <f>COUNTIF(DU5:DU19,TRUE)</f>
        <v>0</v>
      </c>
      <c r="DV20" s="137">
        <f>COUNTIF(DV5:DV19,TRUE)</f>
        <v>0</v>
      </c>
      <c r="DW20" s="137">
        <f>COUNTIF(DW5:DW19,TRUE)</f>
        <v>0</v>
      </c>
      <c r="DX20" s="137">
        <f>COUNTIF(DX5:DX19,TRUE)</f>
        <v>0</v>
      </c>
      <c r="DY20" s="137">
        <f>COUNTIF(DY5:DY19,TRUE)</f>
        <v>0</v>
      </c>
      <c r="DZ20" s="137">
        <f>COUNTIF(DZ5:DZ19,TRUE)</f>
        <v>0</v>
      </c>
      <c r="EA20" s="137">
        <f>COUNTIF(EA5:EA19,TRUE)</f>
        <v>0</v>
      </c>
      <c r="EB20" s="137">
        <f>COUNTIF(EB5:EB19,TRUE)</f>
        <v>0</v>
      </c>
      <c r="EC20" s="137">
        <f>COUNTIF(EC5:EC19,TRUE)</f>
        <v>0</v>
      </c>
      <c r="ED20" s="137">
        <f>COUNTIF(ED5:ED19,TRUE)</f>
        <v>0</v>
      </c>
      <c r="EE20" s="137">
        <f>COUNTIF(EE5:EE19,TRUE)</f>
        <v>0</v>
      </c>
      <c r="EF20" s="137">
        <f>COUNTIF(EF5:EF19,TRUE)</f>
        <v>0</v>
      </c>
      <c r="EG20" s="137">
        <f>COUNTIF(EG5:EG19,TRUE)</f>
        <v>0</v>
      </c>
      <c r="EH20" s="137">
        <f>COUNTIF(EH5:EH19,TRUE)</f>
        <v>0</v>
      </c>
      <c r="EI20" s="137">
        <f>COUNTIF(EI5:EI19,TRUE)</f>
        <v>0</v>
      </c>
      <c r="EJ20" s="137">
        <f>COUNTIF(EJ5:EJ19,TRUE)</f>
        <v>0</v>
      </c>
      <c r="EK20" s="137">
        <f>COUNTIF(EK5:EK19,TRUE)</f>
        <v>0</v>
      </c>
      <c r="EL20" s="137">
        <f>COUNTIF(EL5:EL19,TRUE)</f>
        <v>0</v>
      </c>
      <c r="EM20" s="137">
        <f>COUNTIF(EM5:EM19,TRUE)</f>
        <v>0</v>
      </c>
      <c r="EN20" s="137">
        <f>COUNTIF(EN5:EN19,TRUE)</f>
        <v>0</v>
      </c>
      <c r="EO20" s="137">
        <f>COUNTIF(EO5:EO19,TRUE)</f>
        <v>0</v>
      </c>
      <c r="EP20" s="137">
        <f>COUNTIF(EP5:EP19,TRUE)</f>
        <v>0</v>
      </c>
      <c r="EQ20" s="137">
        <f>COUNTIF(EQ5:EQ19,TRUE)</f>
        <v>0</v>
      </c>
      <c r="ER20" s="137">
        <f>COUNTIF(ER5:ER19,TRUE)</f>
        <v>0</v>
      </c>
      <c r="ES20" s="137">
        <f>COUNTIF(ES5:ES19,TRUE)</f>
        <v>0</v>
      </c>
      <c r="ET20" s="137">
        <f>COUNTIF(ET5:ET19,TRUE)</f>
        <v>0</v>
      </c>
      <c r="EU20" s="137">
        <f>COUNTIF(EU5:EU19,TRUE)</f>
        <v>0</v>
      </c>
      <c r="EV20" s="137">
        <f>COUNTIF(EV5:EV19,TRUE)</f>
        <v>0</v>
      </c>
      <c r="EW20" s="137">
        <f>COUNTIF(EW5:EW19,TRUE)</f>
        <v>0</v>
      </c>
      <c r="EX20" s="137">
        <f>COUNTIF(EX5:EX19,TRUE)</f>
        <v>0</v>
      </c>
      <c r="EY20" s="137">
        <f>COUNTIF(EY5:EY19,TRUE)</f>
        <v>0</v>
      </c>
      <c r="EZ20" s="137">
        <f>COUNTIF(EZ5:EZ19,TRUE)</f>
        <v>0</v>
      </c>
      <c r="FA20" s="137">
        <f>COUNTIF(FA5:FA19,TRUE)</f>
        <v>0</v>
      </c>
      <c r="FB20" s="137">
        <f>COUNTIF(FB5:FB19,TRUE)</f>
        <v>0</v>
      </c>
      <c r="FC20" s="137">
        <f>COUNTIF(FC5:FC19,TRUE)</f>
        <v>0</v>
      </c>
      <c r="FD20" s="137">
        <f>COUNTIF(FD5:FD19,TRUE)</f>
        <v>0</v>
      </c>
      <c r="FE20" s="137">
        <f>COUNTIF(FE5:FE19,TRUE)</f>
        <v>0</v>
      </c>
      <c r="FF20" s="137">
        <f>COUNTIF(FF5:FF19,TRUE)</f>
        <v>0</v>
      </c>
      <c r="FG20" s="137">
        <f>COUNTIF(FG5:FG19,TRUE)</f>
        <v>0</v>
      </c>
      <c r="FH20" s="137">
        <f>COUNTIF(FH5:FH19,TRUE)</f>
        <v>0</v>
      </c>
      <c r="FI20" s="137">
        <f>COUNTIF(FI5:FI19,TRUE)</f>
        <v>0</v>
      </c>
      <c r="FJ20" s="137">
        <f>COUNTIF(FJ5:FJ19,TRUE)</f>
        <v>0</v>
      </c>
      <c r="FK20" s="137">
        <f>COUNTIF(FK5:FK19,TRUE)</f>
        <v>0</v>
      </c>
      <c r="FL20" s="137">
        <f>COUNTIF(FL5:FL19,TRUE)</f>
        <v>0</v>
      </c>
      <c r="FM20" s="137">
        <f>COUNTIF(FM5:FM19,TRUE)</f>
        <v>0</v>
      </c>
      <c r="FN20" s="137">
        <f>COUNTIF(FN5:FN19,TRUE)</f>
        <v>0</v>
      </c>
      <c r="FO20" s="137">
        <f>COUNTIF(FO5:FO19,TRUE)</f>
        <v>0</v>
      </c>
      <c r="FP20" s="137">
        <f>COUNTIF(FP5:FP19,TRUE)</f>
        <v>0</v>
      </c>
      <c r="FQ20" s="137">
        <f>COUNTIF(FQ5:FQ19,TRUE)</f>
        <v>0</v>
      </c>
      <c r="FR20" s="137">
        <f>COUNTIF(FR5:FR19,TRUE)</f>
        <v>0</v>
      </c>
      <c r="FS20" s="137">
        <f>COUNTIF(FS5:FS19,TRUE)</f>
        <v>0</v>
      </c>
      <c r="FT20" s="137">
        <f>COUNTIF(FT5:FT19,TRUE)</f>
        <v>0</v>
      </c>
      <c r="FU20" s="137">
        <f>COUNTIF(FU5:FU19,TRUE)</f>
        <v>0</v>
      </c>
      <c r="FV20" s="137">
        <f>COUNTIF(FV5:FV19,TRUE)</f>
        <v>0</v>
      </c>
      <c r="FW20" s="137">
        <f>COUNTIF(FW5:FW19,TRUE)</f>
        <v>0</v>
      </c>
      <c r="FX20" s="137">
        <f>COUNTIF(FX5:FX19,TRUE)</f>
        <v>0</v>
      </c>
      <c r="FY20" s="137">
        <f>COUNTIF(FY5:FY19,TRUE)</f>
        <v>0</v>
      </c>
      <c r="FZ20" s="137">
        <f>COUNTIF(FZ5:FZ19,TRUE)</f>
        <v>0</v>
      </c>
      <c r="GA20" s="137">
        <f>COUNTIF(GA5:GA19,TRUE)</f>
        <v>0</v>
      </c>
      <c r="GB20" s="137">
        <f>COUNTIF(GB5:GB19,TRUE)</f>
        <v>0</v>
      </c>
      <c r="GC20" s="137">
        <f>COUNTIF(GC5:GC19,TRUE)</f>
        <v>0</v>
      </c>
      <c r="GD20" s="137">
        <f>COUNTIF(GD5:GD19,TRUE)</f>
        <v>0</v>
      </c>
      <c r="GE20" s="137">
        <f>COUNTIF(GE5:GE19,TRUE)</f>
        <v>0</v>
      </c>
      <c r="GF20" s="137">
        <f>COUNTIF(GF5:GF19,TRUE)</f>
        <v>0</v>
      </c>
      <c r="GG20" s="137">
        <f>COUNTIF(GG5:GG19,TRUE)</f>
        <v>0</v>
      </c>
      <c r="GH20" s="137">
        <f>COUNTIF(GH5:GH19,TRUE)</f>
        <v>0</v>
      </c>
      <c r="GI20" s="137">
        <f>COUNTIF(GI5:GI19,TRUE)</f>
        <v>0</v>
      </c>
      <c r="GJ20" s="137">
        <f>COUNTIF(GJ5:GJ19,TRUE)</f>
        <v>0</v>
      </c>
      <c r="GK20" s="137">
        <f>COUNTIF(GK5:GK19,TRUE)</f>
        <v>0</v>
      </c>
      <c r="GL20" s="137">
        <f>COUNTIF(GL5:GL19,TRUE)</f>
        <v>0</v>
      </c>
      <c r="GM20" s="137">
        <f>COUNTIF(GM5:GM19,TRUE)</f>
        <v>0</v>
      </c>
      <c r="GN20" s="137">
        <f>COUNTIF(GN5:GN19,TRUE)</f>
        <v>0</v>
      </c>
      <c r="GO20" s="137">
        <f>COUNTIF(GO5:GO19,TRUE)</f>
        <v>0</v>
      </c>
      <c r="GP20" s="137">
        <f>COUNTIF(GP5:GP19,TRUE)</f>
        <v>0</v>
      </c>
      <c r="GQ20" s="137">
        <f>COUNTIF(GQ5:GQ19,TRUE)</f>
        <v>0</v>
      </c>
      <c r="GR20" s="137">
        <f>COUNTIF(GR5:GR19,TRUE)</f>
        <v>0</v>
      </c>
      <c r="GS20" s="137">
        <f>COUNTIF(GS5:GS19,TRUE)</f>
        <v>0</v>
      </c>
      <c r="GT20" s="137">
        <f>COUNTIF(GT5:GT19,TRUE)</f>
        <v>0</v>
      </c>
      <c r="GU20" s="137">
        <f>COUNTIF(GU5:GU19,TRUE)</f>
        <v>0</v>
      </c>
      <c r="GV20" s="137">
        <f>COUNTIF(GV5:GV19,TRUE)</f>
        <v>0</v>
      </c>
      <c r="GW20" s="137">
        <f>COUNTIF(GW5:GW19,TRUE)</f>
        <v>0</v>
      </c>
      <c r="GX20" s="137">
        <f>COUNTIF(GX5:GX19,TRUE)</f>
        <v>0</v>
      </c>
      <c r="GY20" s="137">
        <f>COUNTIF(GY5:GY19,TRUE)</f>
        <v>0</v>
      </c>
      <c r="GZ20" s="137">
        <f>COUNTIF(GZ5:GZ19,TRUE)</f>
        <v>0</v>
      </c>
      <c r="HA20" s="137">
        <f>COUNTIF(HA5:HA19,TRUE)</f>
        <v>0</v>
      </c>
      <c r="HB20" s="137">
        <f>COUNTIF(HB5:HB19,TRUE)</f>
        <v>0</v>
      </c>
    </row>
    <row r="21" ht="7.5" customHeight="1"/>
    <row r="22" ht="15" customHeight="1">
      <c r="A22" s="138" t="inlineStr">
        <is>
          <t>الحصة الجاية: هنعمل إيه؟</t>
        </is>
      </c>
      <c r="B22" s="4" t="n"/>
      <c r="C22" s="138" t="inlineStr">
        <is>
          <t>ميعادها حسب صفحة المواعيد</t>
        </is>
      </c>
      <c r="D22" s="13" t="n"/>
      <c r="E22" s="13" t="n"/>
      <c r="F22" s="4" t="n"/>
    </row>
    <row r="23" ht="42" customHeight="1">
      <c r="A23" s="139" t="n"/>
      <c r="B23" s="4" t="n"/>
      <c r="C23" s="140" t="str">
        <f>IF($HF$4="","مفيش ميعاد للمجموعة دي في صفحة المواعيد",$HF$4)</f>
        <v>بكرة 3/10 – 5:00 م</v>
      </c>
      <c r="D23" s="13" t="n"/>
      <c r="E23" s="13" t="n"/>
      <c r="F23" s="4" t="n"/>
    </row>
    <row r="24" ht="15" customHeight="1">
      <c r="A24" s="138" t="inlineStr">
        <is>
          <t>ميعاد مختلف؟ (اختياري)</t>
        </is>
      </c>
      <c r="B24" s="4" t="n"/>
      <c r="C24" s="141" t="inlineStr">
        <is>
          <t>لو الحصة اتأجلت أو في حصة إضافية، اكتبي ميعادها في الخانة البيضا</t>
        </is>
      </c>
      <c r="D24" s="42" t="n"/>
      <c r="E24" s="42" t="n"/>
      <c r="F24" s="43" t="n"/>
    </row>
    <row r="25" ht="22.5" customHeight="1">
      <c r="A25" s="139" t="n"/>
      <c r="B25" s="4" t="n"/>
      <c r="C25" s="71" t="n"/>
      <c r="D25" s="73" t="n"/>
      <c r="E25" s="73" t="n"/>
      <c r="F25" s="72" t="n"/>
    </row>
    <row r="26" ht="10.5" customHeight="1"/>
    <row r="27" ht="21" customHeight="1">
      <c r="A27" s="76" t="inlineStr">
        <is>
          <t>الدرجات · نوع الامتحان</t>
        </is>
      </c>
      <c r="B27" s="4" t="n"/>
      <c r="C27" s="142" t="inlineStr">
        <is>
          <t>النسبة والترتيب على:</t>
        </is>
      </c>
      <c r="D27" s="13" t="n"/>
      <c r="E27" s="4" t="n"/>
      <c r="F27" s="15" t="inlineStr">
        <is>
          <t>الكل</t>
        </is>
      </c>
      <c r="G27" s="143" t="n"/>
      <c r="H27" s="4" t="n"/>
      <c r="I27" s="143" t="n"/>
      <c r="J27" s="4" t="n"/>
      <c r="K27" s="143" t="n"/>
      <c r="L27" s="4" t="n"/>
      <c r="M27" s="143" t="n"/>
      <c r="N27" s="4" t="n"/>
      <c r="O27" s="143" t="n"/>
      <c r="P27" s="4" t="n"/>
      <c r="Q27" s="143" t="n"/>
      <c r="R27" s="4" t="n"/>
      <c r="S27" s="143" t="n"/>
      <c r="T27" s="4" t="n"/>
      <c r="U27" s="143" t="n"/>
      <c r="V27" s="4" t="n"/>
      <c r="W27" s="144" t="inlineStr">
        <is>
          <t>ملاحظات
(سبب الغياب)</t>
        </is>
      </c>
      <c r="X27" s="143" t="n"/>
      <c r="Y27" s="4" t="n"/>
      <c r="Z27" s="143" t="n"/>
      <c r="AA27" s="4" t="n"/>
      <c r="AB27" s="143" t="n"/>
      <c r="AC27" s="4" t="n"/>
      <c r="AD27" s="143" t="n"/>
      <c r="AE27" s="4" t="n"/>
      <c r="AF27" s="143" t="n"/>
      <c r="AG27" s="4" t="n"/>
      <c r="AH27" s="143" t="n"/>
      <c r="AI27" s="4" t="n"/>
      <c r="AJ27" s="143" t="n"/>
      <c r="AK27" s="4" t="n"/>
      <c r="AL27" s="143" t="n"/>
      <c r="AM27" s="4" t="n"/>
      <c r="AN27" s="145" t="inlineStr">
        <is>
          <t>ملاحظات
(سبب الغياب)</t>
        </is>
      </c>
      <c r="AO27" s="143" t="n"/>
      <c r="AP27" s="4" t="n"/>
      <c r="AQ27" s="143" t="n"/>
      <c r="AR27" s="4" t="n"/>
      <c r="AS27" s="143" t="n"/>
      <c r="AT27" s="4" t="n"/>
      <c r="AU27" s="143" t="n"/>
      <c r="AV27" s="4" t="n"/>
      <c r="AW27" s="143" t="n"/>
      <c r="AX27" s="4" t="n"/>
      <c r="AY27" s="143" t="n"/>
      <c r="AZ27" s="4" t="n"/>
      <c r="BA27" s="143" t="n"/>
      <c r="BB27" s="4" t="n"/>
      <c r="BC27" s="143" t="n"/>
      <c r="BD27" s="4" t="n"/>
      <c r="BE27" s="146" t="inlineStr">
        <is>
          <t>ملاحظات
(سبب الغياب)</t>
        </is>
      </c>
      <c r="BF27" s="143" t="n"/>
      <c r="BG27" s="4" t="n"/>
      <c r="BH27" s="143" t="n"/>
      <c r="BI27" s="4" t="n"/>
      <c r="BJ27" s="143" t="n"/>
      <c r="BK27" s="4" t="n"/>
      <c r="BL27" s="143" t="n"/>
      <c r="BM27" s="4" t="n"/>
      <c r="BN27" s="143" t="n"/>
      <c r="BO27" s="4" t="n"/>
      <c r="BP27" s="143" t="n"/>
      <c r="BQ27" s="4" t="n"/>
      <c r="BR27" s="143" t="n"/>
      <c r="BS27" s="4" t="n"/>
      <c r="BT27" s="143" t="n"/>
      <c r="BU27" s="4" t="n"/>
      <c r="BV27" s="147" t="inlineStr">
        <is>
          <t>ملاحظات
(سبب الغياب)</t>
        </is>
      </c>
      <c r="BW27" s="143" t="n"/>
      <c r="BX27" s="4" t="n"/>
      <c r="BY27" s="143" t="n"/>
      <c r="BZ27" s="4" t="n"/>
      <c r="CA27" s="143" t="n"/>
      <c r="CB27" s="4" t="n"/>
      <c r="CC27" s="143" t="n"/>
      <c r="CD27" s="4" t="n"/>
      <c r="CE27" s="143" t="n"/>
      <c r="CF27" s="4" t="n"/>
      <c r="CG27" s="143" t="n"/>
      <c r="CH27" s="4" t="n"/>
      <c r="CI27" s="143" t="n"/>
      <c r="CJ27" s="4" t="n"/>
      <c r="CK27" s="143" t="n"/>
      <c r="CL27" s="4" t="n"/>
      <c r="CM27" s="148" t="inlineStr">
        <is>
          <t>ملاحظات
(سبب الغياب)</t>
        </is>
      </c>
      <c r="CN27" s="143" t="n"/>
      <c r="CO27" s="4" t="n"/>
      <c r="CP27" s="143" t="n"/>
      <c r="CQ27" s="4" t="n"/>
      <c r="CR27" s="143" t="n"/>
      <c r="CS27" s="4" t="n"/>
      <c r="CT27" s="143" t="n"/>
      <c r="CU27" s="4" t="n"/>
      <c r="CV27" s="143" t="n"/>
      <c r="CW27" s="4" t="n"/>
      <c r="CX27" s="143" t="n"/>
      <c r="CY27" s="4" t="n"/>
      <c r="CZ27" s="143" t="n"/>
      <c r="DA27" s="4" t="n"/>
      <c r="DB27" s="143" t="n"/>
      <c r="DC27" s="4" t="n"/>
      <c r="DD27" s="149" t="inlineStr">
        <is>
          <t>ملاحظات
(سبب الغياب)</t>
        </is>
      </c>
      <c r="DE27" s="143" t="n"/>
      <c r="DF27" s="4" t="n"/>
      <c r="DG27" s="143" t="n"/>
      <c r="DH27" s="4" t="n"/>
      <c r="DI27" s="143" t="n"/>
      <c r="DJ27" s="4" t="n"/>
      <c r="DK27" s="143" t="n"/>
      <c r="DL27" s="4" t="n"/>
      <c r="DM27" s="143" t="n"/>
      <c r="DN27" s="4" t="n"/>
      <c r="DO27" s="143" t="n"/>
      <c r="DP27" s="4" t="n"/>
      <c r="DQ27" s="143" t="n"/>
      <c r="DR27" s="4" t="n"/>
      <c r="DS27" s="143" t="n"/>
      <c r="DT27" s="4" t="n"/>
      <c r="DU27" s="150" t="inlineStr">
        <is>
          <t>ملاحظات
(سبب الغياب)</t>
        </is>
      </c>
      <c r="DV27" s="143" t="n"/>
      <c r="DW27" s="4" t="n"/>
      <c r="DX27" s="143" t="n"/>
      <c r="DY27" s="4" t="n"/>
      <c r="DZ27" s="143" t="n"/>
      <c r="EA27" s="4" t="n"/>
      <c r="EB27" s="143" t="n"/>
      <c r="EC27" s="4" t="n"/>
      <c r="ED27" s="143" t="n"/>
      <c r="EE27" s="4" t="n"/>
      <c r="EF27" s="143" t="n"/>
      <c r="EG27" s="4" t="n"/>
      <c r="EH27" s="143" t="n"/>
      <c r="EI27" s="4" t="n"/>
      <c r="EJ27" s="143" t="n"/>
      <c r="EK27" s="4" t="n"/>
      <c r="EL27" s="151" t="inlineStr">
        <is>
          <t>ملاحظات
(سبب الغياب)</t>
        </is>
      </c>
      <c r="EM27" s="143" t="n"/>
      <c r="EN27" s="4" t="n"/>
      <c r="EO27" s="143" t="n"/>
      <c r="EP27" s="4" t="n"/>
      <c r="EQ27" s="143" t="n"/>
      <c r="ER27" s="4" t="n"/>
      <c r="ES27" s="143" t="n"/>
      <c r="ET27" s="4" t="n"/>
      <c r="EU27" s="143" t="n"/>
      <c r="EV27" s="4" t="n"/>
      <c r="EW27" s="143" t="n"/>
      <c r="EX27" s="4" t="n"/>
      <c r="EY27" s="143" t="n"/>
      <c r="EZ27" s="4" t="n"/>
      <c r="FA27" s="143" t="n"/>
      <c r="FB27" s="4" t="n"/>
      <c r="FC27" s="152" t="inlineStr">
        <is>
          <t>ملاحظات
(سبب الغياب)</t>
        </is>
      </c>
      <c r="FD27" s="143" t="n"/>
      <c r="FE27" s="4" t="n"/>
      <c r="FF27" s="143" t="n"/>
      <c r="FG27" s="4" t="n"/>
      <c r="FH27" s="143" t="n"/>
      <c r="FI27" s="4" t="n"/>
      <c r="FJ27" s="143" t="n"/>
      <c r="FK27" s="4" t="n"/>
      <c r="FL27" s="143" t="n"/>
      <c r="FM27" s="4" t="n"/>
      <c r="FN27" s="143" t="n"/>
      <c r="FO27" s="4" t="n"/>
      <c r="FP27" s="143" t="n"/>
      <c r="FQ27" s="4" t="n"/>
      <c r="FR27" s="143" t="n"/>
      <c r="FS27" s="4" t="n"/>
      <c r="FT27" s="153" t="inlineStr">
        <is>
          <t>ملاحظات
(سبب الغياب)</t>
        </is>
      </c>
      <c r="FU27" s="143" t="n"/>
      <c r="FV27" s="4" t="n"/>
      <c r="FW27" s="143" t="n"/>
      <c r="FX27" s="4" t="n"/>
      <c r="FY27" s="143" t="n"/>
      <c r="FZ27" s="4" t="n"/>
      <c r="GA27" s="143" t="n"/>
      <c r="GB27" s="4" t="n"/>
      <c r="GC27" s="143" t="n"/>
      <c r="GD27" s="4" t="n"/>
      <c r="GE27" s="143" t="n"/>
      <c r="GF27" s="4" t="n"/>
      <c r="GG27" s="143" t="n"/>
      <c r="GH27" s="4" t="n"/>
      <c r="GI27" s="143" t="n"/>
      <c r="GJ27" s="4" t="n"/>
      <c r="GK27" s="154" t="inlineStr">
        <is>
          <t>ملاحظات
(سبب الغياب)</t>
        </is>
      </c>
      <c r="GL27" s="143" t="n"/>
      <c r="GM27" s="4" t="n"/>
      <c r="GN27" s="143" t="n"/>
      <c r="GO27" s="4" t="n"/>
      <c r="GP27" s="143" t="n"/>
      <c r="GQ27" s="4" t="n"/>
      <c r="GR27" s="143" t="n"/>
      <c r="GS27" s="4" t="n"/>
      <c r="GT27" s="143" t="n"/>
      <c r="GU27" s="4" t="n"/>
      <c r="GV27" s="143" t="n"/>
      <c r="GW27" s="4" t="n"/>
      <c r="GX27" s="143" t="n"/>
      <c r="GY27" s="4" t="n"/>
      <c r="GZ27" s="143" t="n"/>
      <c r="HA27" s="4" t="n"/>
      <c r="HB27" s="155" t="inlineStr">
        <is>
          <t>ملاحظات
(سبب الغياب)</t>
        </is>
      </c>
    </row>
    <row r="28" ht="21" customHeight="1">
      <c r="A28" s="142" t="inlineStr">
        <is>
          <t>الدرجة النهائية (من كام)</t>
        </is>
      </c>
      <c r="B28" s="4" t="n"/>
      <c r="C28" s="156" t="inlineStr">
        <is>
          <t>الدرجة ما بتتحسبش من غير نهائية</t>
        </is>
      </c>
      <c r="D28" s="13" t="n"/>
      <c r="E28" s="13" t="n"/>
      <c r="F28" s="4" t="n"/>
      <c r="G28" s="15" t="n"/>
      <c r="H28" s="15" t="n"/>
      <c r="I28" s="15" t="n"/>
      <c r="J28" s="15" t="n"/>
      <c r="K28" s="15" t="n"/>
      <c r="L28" s="15" t="n"/>
      <c r="M28" s="15" t="n"/>
      <c r="N28" s="15" t="n"/>
      <c r="O28" s="15" t="n"/>
      <c r="P28" s="15" t="n"/>
      <c r="Q28" s="15" t="n"/>
      <c r="R28" s="15" t="n"/>
      <c r="S28" s="15" t="n"/>
      <c r="T28" s="15" t="n"/>
      <c r="U28" s="15" t="n"/>
      <c r="V28" s="15" t="n"/>
      <c r="W28" s="75" t="n"/>
      <c r="X28" s="15" t="n"/>
      <c r="Y28" s="15" t="n"/>
      <c r="Z28" s="15" t="n"/>
      <c r="AA28" s="15" t="n"/>
      <c r="AB28" s="15" t="n"/>
      <c r="AC28" s="15" t="n"/>
      <c r="AD28" s="15" t="n"/>
      <c r="AE28" s="15" t="n"/>
      <c r="AF28" s="15" t="n"/>
      <c r="AG28" s="15" t="n"/>
      <c r="AH28" s="15" t="n"/>
      <c r="AI28" s="15" t="n"/>
      <c r="AJ28" s="15" t="n"/>
      <c r="AK28" s="15" t="n"/>
      <c r="AL28" s="15" t="n"/>
      <c r="AM28" s="15" t="n"/>
      <c r="AN28" s="75" t="n"/>
      <c r="AO28" s="15" t="n"/>
      <c r="AP28" s="15" t="n"/>
      <c r="AQ28" s="15" t="n"/>
      <c r="AR28" s="15" t="n"/>
      <c r="AS28" s="15" t="n"/>
      <c r="AT28" s="15" t="n"/>
      <c r="AU28" s="15" t="n"/>
      <c r="AV28" s="15" t="n"/>
      <c r="AW28" s="15" t="n"/>
      <c r="AX28" s="15" t="n"/>
      <c r="AY28" s="15" t="n"/>
      <c r="AZ28" s="15" t="n"/>
      <c r="BA28" s="15" t="n"/>
      <c r="BB28" s="15" t="n"/>
      <c r="BC28" s="15" t="n"/>
      <c r="BD28" s="15" t="n"/>
      <c r="BE28" s="75" t="n"/>
      <c r="BF28" s="15" t="n"/>
      <c r="BG28" s="15" t="n"/>
      <c r="BH28" s="15" t="n"/>
      <c r="BI28" s="15" t="n"/>
      <c r="BJ28" s="15" t="n"/>
      <c r="BK28" s="15" t="n"/>
      <c r="BL28" s="15" t="n"/>
      <c r="BM28" s="15" t="n"/>
      <c r="BN28" s="15" t="n"/>
      <c r="BO28" s="15" t="n"/>
      <c r="BP28" s="15" t="n"/>
      <c r="BQ28" s="15" t="n"/>
      <c r="BR28" s="15" t="n"/>
      <c r="BS28" s="15" t="n"/>
      <c r="BT28" s="15" t="n"/>
      <c r="BU28" s="15" t="n"/>
      <c r="BV28" s="75" t="n"/>
      <c r="BW28" s="15" t="n"/>
      <c r="BX28" s="15" t="n"/>
      <c r="BY28" s="15" t="n"/>
      <c r="BZ28" s="15" t="n"/>
      <c r="CA28" s="15" t="n"/>
      <c r="CB28" s="15" t="n"/>
      <c r="CC28" s="15" t="n"/>
      <c r="CD28" s="15" t="n"/>
      <c r="CE28" s="15" t="n"/>
      <c r="CF28" s="15" t="n"/>
      <c r="CG28" s="15" t="n"/>
      <c r="CH28" s="15" t="n"/>
      <c r="CI28" s="15" t="n"/>
      <c r="CJ28" s="15" t="n"/>
      <c r="CK28" s="15" t="n"/>
      <c r="CL28" s="15" t="n"/>
      <c r="CM28" s="75" t="n"/>
      <c r="CN28" s="15" t="n"/>
      <c r="CO28" s="15" t="n"/>
      <c r="CP28" s="15" t="n"/>
      <c r="CQ28" s="15" t="n"/>
      <c r="CR28" s="15" t="n"/>
      <c r="CS28" s="15" t="n"/>
      <c r="CT28" s="15" t="n"/>
      <c r="CU28" s="15" t="n"/>
      <c r="CV28" s="15" t="n"/>
      <c r="CW28" s="15" t="n"/>
      <c r="CX28" s="15" t="n"/>
      <c r="CY28" s="15" t="n"/>
      <c r="CZ28" s="15" t="n"/>
      <c r="DA28" s="15" t="n"/>
      <c r="DB28" s="15" t="n"/>
      <c r="DC28" s="15" t="n"/>
      <c r="DD28" s="75" t="n"/>
      <c r="DE28" s="15" t="n"/>
      <c r="DF28" s="15" t="n"/>
      <c r="DG28" s="15" t="n"/>
      <c r="DH28" s="15" t="n"/>
      <c r="DI28" s="15" t="n"/>
      <c r="DJ28" s="15" t="n"/>
      <c r="DK28" s="15" t="n"/>
      <c r="DL28" s="15" t="n"/>
      <c r="DM28" s="15" t="n"/>
      <c r="DN28" s="15" t="n"/>
      <c r="DO28" s="15" t="n"/>
      <c r="DP28" s="15" t="n"/>
      <c r="DQ28" s="15" t="n"/>
      <c r="DR28" s="15" t="n"/>
      <c r="DS28" s="15" t="n"/>
      <c r="DT28" s="15" t="n"/>
      <c r="DU28" s="75" t="n"/>
      <c r="DV28" s="15" t="n"/>
      <c r="DW28" s="15" t="n"/>
      <c r="DX28" s="15" t="n"/>
      <c r="DY28" s="15" t="n"/>
      <c r="DZ28" s="15" t="n"/>
      <c r="EA28" s="15" t="n"/>
      <c r="EB28" s="15" t="n"/>
      <c r="EC28" s="15" t="n"/>
      <c r="ED28" s="15" t="n"/>
      <c r="EE28" s="15" t="n"/>
      <c r="EF28" s="15" t="n"/>
      <c r="EG28" s="15" t="n"/>
      <c r="EH28" s="15" t="n"/>
      <c r="EI28" s="15" t="n"/>
      <c r="EJ28" s="15" t="n"/>
      <c r="EK28" s="15" t="n"/>
      <c r="EL28" s="75" t="n"/>
      <c r="EM28" s="15" t="n"/>
      <c r="EN28" s="15" t="n"/>
      <c r="EO28" s="15" t="n"/>
      <c r="EP28" s="15" t="n"/>
      <c r="EQ28" s="15" t="n"/>
      <c r="ER28" s="15" t="n"/>
      <c r="ES28" s="15" t="n"/>
      <c r="ET28" s="15" t="n"/>
      <c r="EU28" s="15" t="n"/>
      <c r="EV28" s="15" t="n"/>
      <c r="EW28" s="15" t="n"/>
      <c r="EX28" s="15" t="n"/>
      <c r="EY28" s="15" t="n"/>
      <c r="EZ28" s="15" t="n"/>
      <c r="FA28" s="15" t="n"/>
      <c r="FB28" s="15" t="n"/>
      <c r="FC28" s="75" t="n"/>
      <c r="FD28" s="15" t="n"/>
      <c r="FE28" s="15" t="n"/>
      <c r="FF28" s="15" t="n"/>
      <c r="FG28" s="15" t="n"/>
      <c r="FH28" s="15" t="n"/>
      <c r="FI28" s="15" t="n"/>
      <c r="FJ28" s="15" t="n"/>
      <c r="FK28" s="15" t="n"/>
      <c r="FL28" s="15" t="n"/>
      <c r="FM28" s="15" t="n"/>
      <c r="FN28" s="15" t="n"/>
      <c r="FO28" s="15" t="n"/>
      <c r="FP28" s="15" t="n"/>
      <c r="FQ28" s="15" t="n"/>
      <c r="FR28" s="15" t="n"/>
      <c r="FS28" s="15" t="n"/>
      <c r="FT28" s="75" t="n"/>
      <c r="FU28" s="15" t="n"/>
      <c r="FV28" s="15" t="n"/>
      <c r="FW28" s="15" t="n"/>
      <c r="FX28" s="15" t="n"/>
      <c r="FY28" s="15" t="n"/>
      <c r="FZ28" s="15" t="n"/>
      <c r="GA28" s="15" t="n"/>
      <c r="GB28" s="15" t="n"/>
      <c r="GC28" s="15" t="n"/>
      <c r="GD28" s="15" t="n"/>
      <c r="GE28" s="15" t="n"/>
      <c r="GF28" s="15" t="n"/>
      <c r="GG28" s="15" t="n"/>
      <c r="GH28" s="15" t="n"/>
      <c r="GI28" s="15" t="n"/>
      <c r="GJ28" s="15" t="n"/>
      <c r="GK28" s="75" t="n"/>
      <c r="GL28" s="15" t="n"/>
      <c r="GM28" s="15" t="n"/>
      <c r="GN28" s="15" t="n"/>
      <c r="GO28" s="15" t="n"/>
      <c r="GP28" s="15" t="n"/>
      <c r="GQ28" s="15" t="n"/>
      <c r="GR28" s="15" t="n"/>
      <c r="GS28" s="15" t="n"/>
      <c r="GT28" s="15" t="n"/>
      <c r="GU28" s="15" t="n"/>
      <c r="GV28" s="15" t="n"/>
      <c r="GW28" s="15" t="n"/>
      <c r="GX28" s="15" t="n"/>
      <c r="GY28" s="15" t="n"/>
      <c r="GZ28" s="15" t="n"/>
      <c r="HA28" s="15" t="n"/>
      <c r="HB28" s="75" t="n"/>
    </row>
    <row r="29" ht="16.5" customHeight="1">
      <c r="A29" s="76" t="inlineStr">
        <is>
          <t>م</t>
        </is>
      </c>
      <c r="B29" s="76" t="inlineStr">
        <is>
          <t>الاسم</t>
        </is>
      </c>
      <c r="C29" s="76" t="inlineStr">
        <is>
          <t>المجموع</t>
        </is>
      </c>
      <c r="D29" s="76" t="inlineStr">
        <is>
          <t>%</t>
        </is>
      </c>
      <c r="E29" s="76" t="inlineStr">
        <is>
          <t>الترتيب</t>
        </is>
      </c>
      <c r="F29" s="76" t="inlineStr">
        <is>
          <t>التقدير</t>
        </is>
      </c>
      <c r="G29" s="157" t="inlineStr">
        <is>
          <t>كويز</t>
        </is>
      </c>
      <c r="H29" s="158" t="inlineStr">
        <is>
          <t>امتحان</t>
        </is>
      </c>
      <c r="I29" s="157" t="inlineStr">
        <is>
          <t>كويز</t>
        </is>
      </c>
      <c r="J29" s="158" t="inlineStr">
        <is>
          <t>امتحان</t>
        </is>
      </c>
      <c r="K29" s="157" t="inlineStr">
        <is>
          <t>كويز</t>
        </is>
      </c>
      <c r="L29" s="158" t="inlineStr">
        <is>
          <t>امتحان</t>
        </is>
      </c>
      <c r="M29" s="157" t="inlineStr">
        <is>
          <t>كويز</t>
        </is>
      </c>
      <c r="N29" s="158" t="inlineStr">
        <is>
          <t>امتحان</t>
        </is>
      </c>
      <c r="O29" s="157" t="inlineStr">
        <is>
          <t>كويز</t>
        </is>
      </c>
      <c r="P29" s="158" t="inlineStr">
        <is>
          <t>امتحان</t>
        </is>
      </c>
      <c r="Q29" s="157" t="inlineStr">
        <is>
          <t>كويز</t>
        </is>
      </c>
      <c r="R29" s="158" t="inlineStr">
        <is>
          <t>امتحان</t>
        </is>
      </c>
      <c r="S29" s="157" t="inlineStr">
        <is>
          <t>كويز</t>
        </is>
      </c>
      <c r="T29" s="158" t="inlineStr">
        <is>
          <t>امتحان</t>
        </is>
      </c>
      <c r="U29" s="157" t="inlineStr">
        <is>
          <t>كويز</t>
        </is>
      </c>
      <c r="V29" s="158" t="inlineStr">
        <is>
          <t>امتحان</t>
        </is>
      </c>
      <c r="W29" s="59" t="inlineStr">
        <is>
          <t>ملاحظات</t>
        </is>
      </c>
      <c r="X29" s="159" t="inlineStr">
        <is>
          <t>كويز</t>
        </is>
      </c>
      <c r="Y29" s="160" t="inlineStr">
        <is>
          <t>امتحان</t>
        </is>
      </c>
      <c r="Z29" s="159" t="inlineStr">
        <is>
          <t>كويز</t>
        </is>
      </c>
      <c r="AA29" s="160" t="inlineStr">
        <is>
          <t>امتحان</t>
        </is>
      </c>
      <c r="AB29" s="159" t="inlineStr">
        <is>
          <t>كويز</t>
        </is>
      </c>
      <c r="AC29" s="160" t="inlineStr">
        <is>
          <t>امتحان</t>
        </is>
      </c>
      <c r="AD29" s="159" t="inlineStr">
        <is>
          <t>كويز</t>
        </is>
      </c>
      <c r="AE29" s="160" t="inlineStr">
        <is>
          <t>امتحان</t>
        </is>
      </c>
      <c r="AF29" s="159" t="inlineStr">
        <is>
          <t>كويز</t>
        </is>
      </c>
      <c r="AG29" s="160" t="inlineStr">
        <is>
          <t>امتحان</t>
        </is>
      </c>
      <c r="AH29" s="159" t="inlineStr">
        <is>
          <t>كويز</t>
        </is>
      </c>
      <c r="AI29" s="160" t="inlineStr">
        <is>
          <t>امتحان</t>
        </is>
      </c>
      <c r="AJ29" s="159" t="inlineStr">
        <is>
          <t>كويز</t>
        </is>
      </c>
      <c r="AK29" s="160" t="inlineStr">
        <is>
          <t>امتحان</t>
        </is>
      </c>
      <c r="AL29" s="159" t="inlineStr">
        <is>
          <t>كويز</t>
        </is>
      </c>
      <c r="AM29" s="160" t="inlineStr">
        <is>
          <t>امتحان</t>
        </is>
      </c>
      <c r="AN29" s="60" t="inlineStr">
        <is>
          <t>ملاحظات</t>
        </is>
      </c>
      <c r="AO29" s="161" t="inlineStr">
        <is>
          <t>كويز</t>
        </is>
      </c>
      <c r="AP29" s="162" t="inlineStr">
        <is>
          <t>امتحان</t>
        </is>
      </c>
      <c r="AQ29" s="161" t="inlineStr">
        <is>
          <t>كويز</t>
        </is>
      </c>
      <c r="AR29" s="162" t="inlineStr">
        <is>
          <t>امتحان</t>
        </is>
      </c>
      <c r="AS29" s="161" t="inlineStr">
        <is>
          <t>كويز</t>
        </is>
      </c>
      <c r="AT29" s="162" t="inlineStr">
        <is>
          <t>امتحان</t>
        </is>
      </c>
      <c r="AU29" s="161" t="inlineStr">
        <is>
          <t>كويز</t>
        </is>
      </c>
      <c r="AV29" s="162" t="inlineStr">
        <is>
          <t>امتحان</t>
        </is>
      </c>
      <c r="AW29" s="161" t="inlineStr">
        <is>
          <t>كويز</t>
        </is>
      </c>
      <c r="AX29" s="162" t="inlineStr">
        <is>
          <t>امتحان</t>
        </is>
      </c>
      <c r="AY29" s="161" t="inlineStr">
        <is>
          <t>كويز</t>
        </is>
      </c>
      <c r="AZ29" s="162" t="inlineStr">
        <is>
          <t>امتحان</t>
        </is>
      </c>
      <c r="BA29" s="161" t="inlineStr">
        <is>
          <t>كويز</t>
        </is>
      </c>
      <c r="BB29" s="162" t="inlineStr">
        <is>
          <t>امتحان</t>
        </is>
      </c>
      <c r="BC29" s="161" t="inlineStr">
        <is>
          <t>كويز</t>
        </is>
      </c>
      <c r="BD29" s="162" t="inlineStr">
        <is>
          <t>امتحان</t>
        </is>
      </c>
      <c r="BE29" s="61" t="inlineStr">
        <is>
          <t>ملاحظات</t>
        </is>
      </c>
      <c r="BF29" s="163" t="inlineStr">
        <is>
          <t>كويز</t>
        </is>
      </c>
      <c r="BG29" s="164" t="inlineStr">
        <is>
          <t>امتحان</t>
        </is>
      </c>
      <c r="BH29" s="163" t="inlineStr">
        <is>
          <t>كويز</t>
        </is>
      </c>
      <c r="BI29" s="164" t="inlineStr">
        <is>
          <t>امتحان</t>
        </is>
      </c>
      <c r="BJ29" s="163" t="inlineStr">
        <is>
          <t>كويز</t>
        </is>
      </c>
      <c r="BK29" s="164" t="inlineStr">
        <is>
          <t>امتحان</t>
        </is>
      </c>
      <c r="BL29" s="163" t="inlineStr">
        <is>
          <t>كويز</t>
        </is>
      </c>
      <c r="BM29" s="164" t="inlineStr">
        <is>
          <t>امتحان</t>
        </is>
      </c>
      <c r="BN29" s="163" t="inlineStr">
        <is>
          <t>كويز</t>
        </is>
      </c>
      <c r="BO29" s="164" t="inlineStr">
        <is>
          <t>امتحان</t>
        </is>
      </c>
      <c r="BP29" s="163" t="inlineStr">
        <is>
          <t>كويز</t>
        </is>
      </c>
      <c r="BQ29" s="164" t="inlineStr">
        <is>
          <t>امتحان</t>
        </is>
      </c>
      <c r="BR29" s="163" t="inlineStr">
        <is>
          <t>كويز</t>
        </is>
      </c>
      <c r="BS29" s="164" t="inlineStr">
        <is>
          <t>امتحان</t>
        </is>
      </c>
      <c r="BT29" s="163" t="inlineStr">
        <is>
          <t>كويز</t>
        </is>
      </c>
      <c r="BU29" s="164" t="inlineStr">
        <is>
          <t>امتحان</t>
        </is>
      </c>
      <c r="BV29" s="62" t="inlineStr">
        <is>
          <t>ملاحظات</t>
        </is>
      </c>
      <c r="BW29" s="165" t="inlineStr">
        <is>
          <t>كويز</t>
        </is>
      </c>
      <c r="BX29" s="166" t="inlineStr">
        <is>
          <t>امتحان</t>
        </is>
      </c>
      <c r="BY29" s="165" t="inlineStr">
        <is>
          <t>كويز</t>
        </is>
      </c>
      <c r="BZ29" s="166" t="inlineStr">
        <is>
          <t>امتحان</t>
        </is>
      </c>
      <c r="CA29" s="165" t="inlineStr">
        <is>
          <t>كويز</t>
        </is>
      </c>
      <c r="CB29" s="166" t="inlineStr">
        <is>
          <t>امتحان</t>
        </is>
      </c>
      <c r="CC29" s="165" t="inlineStr">
        <is>
          <t>كويز</t>
        </is>
      </c>
      <c r="CD29" s="166" t="inlineStr">
        <is>
          <t>امتحان</t>
        </is>
      </c>
      <c r="CE29" s="165" t="inlineStr">
        <is>
          <t>كويز</t>
        </is>
      </c>
      <c r="CF29" s="166" t="inlineStr">
        <is>
          <t>امتحان</t>
        </is>
      </c>
      <c r="CG29" s="165" t="inlineStr">
        <is>
          <t>كويز</t>
        </is>
      </c>
      <c r="CH29" s="166" t="inlineStr">
        <is>
          <t>امتحان</t>
        </is>
      </c>
      <c r="CI29" s="165" t="inlineStr">
        <is>
          <t>كويز</t>
        </is>
      </c>
      <c r="CJ29" s="166" t="inlineStr">
        <is>
          <t>امتحان</t>
        </is>
      </c>
      <c r="CK29" s="165" t="inlineStr">
        <is>
          <t>كويز</t>
        </is>
      </c>
      <c r="CL29" s="166" t="inlineStr">
        <is>
          <t>امتحان</t>
        </is>
      </c>
      <c r="CM29" s="63" t="inlineStr">
        <is>
          <t>ملاحظات</t>
        </is>
      </c>
      <c r="CN29" s="167" t="inlineStr">
        <is>
          <t>كويز</t>
        </is>
      </c>
      <c r="CO29" s="168" t="inlineStr">
        <is>
          <t>امتحان</t>
        </is>
      </c>
      <c r="CP29" s="167" t="inlineStr">
        <is>
          <t>كويز</t>
        </is>
      </c>
      <c r="CQ29" s="168" t="inlineStr">
        <is>
          <t>امتحان</t>
        </is>
      </c>
      <c r="CR29" s="167" t="inlineStr">
        <is>
          <t>كويز</t>
        </is>
      </c>
      <c r="CS29" s="168" t="inlineStr">
        <is>
          <t>امتحان</t>
        </is>
      </c>
      <c r="CT29" s="167" t="inlineStr">
        <is>
          <t>كويز</t>
        </is>
      </c>
      <c r="CU29" s="168" t="inlineStr">
        <is>
          <t>امتحان</t>
        </is>
      </c>
      <c r="CV29" s="167" t="inlineStr">
        <is>
          <t>كويز</t>
        </is>
      </c>
      <c r="CW29" s="168" t="inlineStr">
        <is>
          <t>امتحان</t>
        </is>
      </c>
      <c r="CX29" s="167" t="inlineStr">
        <is>
          <t>كويز</t>
        </is>
      </c>
      <c r="CY29" s="168" t="inlineStr">
        <is>
          <t>امتحان</t>
        </is>
      </c>
      <c r="CZ29" s="167" t="inlineStr">
        <is>
          <t>كويز</t>
        </is>
      </c>
      <c r="DA29" s="168" t="inlineStr">
        <is>
          <t>امتحان</t>
        </is>
      </c>
      <c r="DB29" s="167" t="inlineStr">
        <is>
          <t>كويز</t>
        </is>
      </c>
      <c r="DC29" s="168" t="inlineStr">
        <is>
          <t>امتحان</t>
        </is>
      </c>
      <c r="DD29" s="64" t="inlineStr">
        <is>
          <t>ملاحظات</t>
        </is>
      </c>
      <c r="DE29" s="169" t="inlineStr">
        <is>
          <t>كويز</t>
        </is>
      </c>
      <c r="DF29" s="170" t="inlineStr">
        <is>
          <t>امتحان</t>
        </is>
      </c>
      <c r="DG29" s="169" t="inlineStr">
        <is>
          <t>كويز</t>
        </is>
      </c>
      <c r="DH29" s="170" t="inlineStr">
        <is>
          <t>امتحان</t>
        </is>
      </c>
      <c r="DI29" s="169" t="inlineStr">
        <is>
          <t>كويز</t>
        </is>
      </c>
      <c r="DJ29" s="170" t="inlineStr">
        <is>
          <t>امتحان</t>
        </is>
      </c>
      <c r="DK29" s="169" t="inlineStr">
        <is>
          <t>كويز</t>
        </is>
      </c>
      <c r="DL29" s="170" t="inlineStr">
        <is>
          <t>امتحان</t>
        </is>
      </c>
      <c r="DM29" s="169" t="inlineStr">
        <is>
          <t>كويز</t>
        </is>
      </c>
      <c r="DN29" s="170" t="inlineStr">
        <is>
          <t>امتحان</t>
        </is>
      </c>
      <c r="DO29" s="169" t="inlineStr">
        <is>
          <t>كويز</t>
        </is>
      </c>
      <c r="DP29" s="170" t="inlineStr">
        <is>
          <t>امتحان</t>
        </is>
      </c>
      <c r="DQ29" s="169" t="inlineStr">
        <is>
          <t>كويز</t>
        </is>
      </c>
      <c r="DR29" s="170" t="inlineStr">
        <is>
          <t>امتحان</t>
        </is>
      </c>
      <c r="DS29" s="169" t="inlineStr">
        <is>
          <t>كويز</t>
        </is>
      </c>
      <c r="DT29" s="170" t="inlineStr">
        <is>
          <t>امتحان</t>
        </is>
      </c>
      <c r="DU29" s="65" t="inlineStr">
        <is>
          <t>ملاحظات</t>
        </is>
      </c>
      <c r="DV29" s="171" t="inlineStr">
        <is>
          <t>كويز</t>
        </is>
      </c>
      <c r="DW29" s="172" t="inlineStr">
        <is>
          <t>امتحان</t>
        </is>
      </c>
      <c r="DX29" s="171" t="inlineStr">
        <is>
          <t>كويز</t>
        </is>
      </c>
      <c r="DY29" s="172" t="inlineStr">
        <is>
          <t>امتحان</t>
        </is>
      </c>
      <c r="DZ29" s="171" t="inlineStr">
        <is>
          <t>كويز</t>
        </is>
      </c>
      <c r="EA29" s="172" t="inlineStr">
        <is>
          <t>امتحان</t>
        </is>
      </c>
      <c r="EB29" s="171" t="inlineStr">
        <is>
          <t>كويز</t>
        </is>
      </c>
      <c r="EC29" s="172" t="inlineStr">
        <is>
          <t>امتحان</t>
        </is>
      </c>
      <c r="ED29" s="171" t="inlineStr">
        <is>
          <t>كويز</t>
        </is>
      </c>
      <c r="EE29" s="172" t="inlineStr">
        <is>
          <t>امتحان</t>
        </is>
      </c>
      <c r="EF29" s="171" t="inlineStr">
        <is>
          <t>كويز</t>
        </is>
      </c>
      <c r="EG29" s="172" t="inlineStr">
        <is>
          <t>امتحان</t>
        </is>
      </c>
      <c r="EH29" s="171" t="inlineStr">
        <is>
          <t>كويز</t>
        </is>
      </c>
      <c r="EI29" s="172" t="inlineStr">
        <is>
          <t>امتحان</t>
        </is>
      </c>
      <c r="EJ29" s="171" t="inlineStr">
        <is>
          <t>كويز</t>
        </is>
      </c>
      <c r="EK29" s="172" t="inlineStr">
        <is>
          <t>امتحان</t>
        </is>
      </c>
      <c r="EL29" s="66" t="inlineStr">
        <is>
          <t>ملاحظات</t>
        </is>
      </c>
      <c r="EM29" s="173" t="inlineStr">
        <is>
          <t>كويز</t>
        </is>
      </c>
      <c r="EN29" s="174" t="inlineStr">
        <is>
          <t>امتحان</t>
        </is>
      </c>
      <c r="EO29" s="173" t="inlineStr">
        <is>
          <t>كويز</t>
        </is>
      </c>
      <c r="EP29" s="174" t="inlineStr">
        <is>
          <t>امتحان</t>
        </is>
      </c>
      <c r="EQ29" s="173" t="inlineStr">
        <is>
          <t>كويز</t>
        </is>
      </c>
      <c r="ER29" s="174" t="inlineStr">
        <is>
          <t>امتحان</t>
        </is>
      </c>
      <c r="ES29" s="173" t="inlineStr">
        <is>
          <t>كويز</t>
        </is>
      </c>
      <c r="ET29" s="174" t="inlineStr">
        <is>
          <t>امتحان</t>
        </is>
      </c>
      <c r="EU29" s="173" t="inlineStr">
        <is>
          <t>كويز</t>
        </is>
      </c>
      <c r="EV29" s="174" t="inlineStr">
        <is>
          <t>امتحان</t>
        </is>
      </c>
      <c r="EW29" s="173" t="inlineStr">
        <is>
          <t>كويز</t>
        </is>
      </c>
      <c r="EX29" s="174" t="inlineStr">
        <is>
          <t>امتحان</t>
        </is>
      </c>
      <c r="EY29" s="173" t="inlineStr">
        <is>
          <t>كويز</t>
        </is>
      </c>
      <c r="EZ29" s="174" t="inlineStr">
        <is>
          <t>امتحان</t>
        </is>
      </c>
      <c r="FA29" s="173" t="inlineStr">
        <is>
          <t>كويز</t>
        </is>
      </c>
      <c r="FB29" s="174" t="inlineStr">
        <is>
          <t>امتحان</t>
        </is>
      </c>
      <c r="FC29" s="67" t="inlineStr">
        <is>
          <t>ملاحظات</t>
        </is>
      </c>
      <c r="FD29" s="175" t="inlineStr">
        <is>
          <t>كويز</t>
        </is>
      </c>
      <c r="FE29" s="176" t="inlineStr">
        <is>
          <t>امتحان</t>
        </is>
      </c>
      <c r="FF29" s="175" t="inlineStr">
        <is>
          <t>كويز</t>
        </is>
      </c>
      <c r="FG29" s="176" t="inlineStr">
        <is>
          <t>امتحان</t>
        </is>
      </c>
      <c r="FH29" s="175" t="inlineStr">
        <is>
          <t>كويز</t>
        </is>
      </c>
      <c r="FI29" s="176" t="inlineStr">
        <is>
          <t>امتحان</t>
        </is>
      </c>
      <c r="FJ29" s="175" t="inlineStr">
        <is>
          <t>كويز</t>
        </is>
      </c>
      <c r="FK29" s="176" t="inlineStr">
        <is>
          <t>امتحان</t>
        </is>
      </c>
      <c r="FL29" s="175" t="inlineStr">
        <is>
          <t>كويز</t>
        </is>
      </c>
      <c r="FM29" s="176" t="inlineStr">
        <is>
          <t>امتحان</t>
        </is>
      </c>
      <c r="FN29" s="175" t="inlineStr">
        <is>
          <t>كويز</t>
        </is>
      </c>
      <c r="FO29" s="176" t="inlineStr">
        <is>
          <t>امتحان</t>
        </is>
      </c>
      <c r="FP29" s="175" t="inlineStr">
        <is>
          <t>كويز</t>
        </is>
      </c>
      <c r="FQ29" s="176" t="inlineStr">
        <is>
          <t>امتحان</t>
        </is>
      </c>
      <c r="FR29" s="175" t="inlineStr">
        <is>
          <t>كويز</t>
        </is>
      </c>
      <c r="FS29" s="176" t="inlineStr">
        <is>
          <t>امتحان</t>
        </is>
      </c>
      <c r="FT29" s="68" t="inlineStr">
        <is>
          <t>ملاحظات</t>
        </is>
      </c>
      <c r="FU29" s="177" t="inlineStr">
        <is>
          <t>كويز</t>
        </is>
      </c>
      <c r="FV29" s="178" t="inlineStr">
        <is>
          <t>امتحان</t>
        </is>
      </c>
      <c r="FW29" s="177" t="inlineStr">
        <is>
          <t>كويز</t>
        </is>
      </c>
      <c r="FX29" s="178" t="inlineStr">
        <is>
          <t>امتحان</t>
        </is>
      </c>
      <c r="FY29" s="177" t="inlineStr">
        <is>
          <t>كويز</t>
        </is>
      </c>
      <c r="FZ29" s="178" t="inlineStr">
        <is>
          <t>امتحان</t>
        </is>
      </c>
      <c r="GA29" s="177" t="inlineStr">
        <is>
          <t>كويز</t>
        </is>
      </c>
      <c r="GB29" s="178" t="inlineStr">
        <is>
          <t>امتحان</t>
        </is>
      </c>
      <c r="GC29" s="177" t="inlineStr">
        <is>
          <t>كويز</t>
        </is>
      </c>
      <c r="GD29" s="178" t="inlineStr">
        <is>
          <t>امتحان</t>
        </is>
      </c>
      <c r="GE29" s="177" t="inlineStr">
        <is>
          <t>كويز</t>
        </is>
      </c>
      <c r="GF29" s="178" t="inlineStr">
        <is>
          <t>امتحان</t>
        </is>
      </c>
      <c r="GG29" s="177" t="inlineStr">
        <is>
          <t>كويز</t>
        </is>
      </c>
      <c r="GH29" s="178" t="inlineStr">
        <is>
          <t>امتحان</t>
        </is>
      </c>
      <c r="GI29" s="177" t="inlineStr">
        <is>
          <t>كويز</t>
        </is>
      </c>
      <c r="GJ29" s="178" t="inlineStr">
        <is>
          <t>امتحان</t>
        </is>
      </c>
      <c r="GK29" s="69" t="inlineStr">
        <is>
          <t>ملاحظات</t>
        </is>
      </c>
      <c r="GL29" s="179" t="inlineStr">
        <is>
          <t>كويز</t>
        </is>
      </c>
      <c r="GM29" s="180" t="inlineStr">
        <is>
          <t>امتحان</t>
        </is>
      </c>
      <c r="GN29" s="179" t="inlineStr">
        <is>
          <t>كويز</t>
        </is>
      </c>
      <c r="GO29" s="180" t="inlineStr">
        <is>
          <t>امتحان</t>
        </is>
      </c>
      <c r="GP29" s="179" t="inlineStr">
        <is>
          <t>كويز</t>
        </is>
      </c>
      <c r="GQ29" s="180" t="inlineStr">
        <is>
          <t>امتحان</t>
        </is>
      </c>
      <c r="GR29" s="179" t="inlineStr">
        <is>
          <t>كويز</t>
        </is>
      </c>
      <c r="GS29" s="180" t="inlineStr">
        <is>
          <t>امتحان</t>
        </is>
      </c>
      <c r="GT29" s="179" t="inlineStr">
        <is>
          <t>كويز</t>
        </is>
      </c>
      <c r="GU29" s="180" t="inlineStr">
        <is>
          <t>امتحان</t>
        </is>
      </c>
      <c r="GV29" s="179" t="inlineStr">
        <is>
          <t>كويز</t>
        </is>
      </c>
      <c r="GW29" s="180" t="inlineStr">
        <is>
          <t>امتحان</t>
        </is>
      </c>
      <c r="GX29" s="179" t="inlineStr">
        <is>
          <t>كويز</t>
        </is>
      </c>
      <c r="GY29" s="180" t="inlineStr">
        <is>
          <t>امتحان</t>
        </is>
      </c>
      <c r="GZ29" s="179" t="inlineStr">
        <is>
          <t>كويز</t>
        </is>
      </c>
      <c r="HA29" s="180" t="inlineStr">
        <is>
          <t>امتحان</t>
        </is>
      </c>
      <c r="HB29" s="70" t="inlineStr">
        <is>
          <t>ملاحظات</t>
        </is>
      </c>
    </row>
    <row r="30" ht="22.5" customHeight="1">
      <c r="A30" s="36" t="n">
        <v>1</v>
      </c>
      <c r="B30" s="181" t="str">
        <f>IF($B5="","",$B5)</f>
        <v>مثال: أحمد محمد علي</v>
      </c>
      <c r="C30" s="136" t="str">
        <f>IF(OR($B30="",$HD30=0),"",ROUND($HC30,2)&amp;" / "&amp;$HD30)</f>
        <v/>
      </c>
      <c r="D30" s="182" t="str">
        <f>IF(OR($B30="",$HD30=0),"",$HC30/$HD30)</f>
        <v/>
      </c>
      <c r="E30" s="98" t="str">
        <f>IF($D30="","",RANK($D30,$D$30:$D$44))</f>
        <v/>
      </c>
      <c r="F30" s="99" t="str">
        <f>IF($D30="","",IF($D30&gt;=0.85,"ممتاز",IF($D30&gt;=0.75,"جيد جداً",IF($D30&gt;=0.65,"جيد",IF($D30&gt;=0.5,"مقبول","ضعيف")))))</f>
        <v/>
      </c>
      <c r="G30" s="100" t="n"/>
      <c r="H30" s="101" t="n"/>
      <c r="I30" s="100" t="n"/>
      <c r="J30" s="101" t="n"/>
      <c r="K30" s="100" t="n"/>
      <c r="L30" s="101" t="n"/>
      <c r="M30" s="100" t="n"/>
      <c r="N30" s="101" t="n"/>
      <c r="O30" s="100" t="n"/>
      <c r="P30" s="101" t="n"/>
      <c r="Q30" s="100" t="n"/>
      <c r="R30" s="101" t="n"/>
      <c r="S30" s="100" t="n"/>
      <c r="T30" s="101" t="n"/>
      <c r="U30" s="100" t="n"/>
      <c r="V30" s="101" t="n"/>
      <c r="W30" s="183" t="n"/>
      <c r="X30" s="103" t="n"/>
      <c r="Y30" s="104" t="n"/>
      <c r="Z30" s="103" t="n"/>
      <c r="AA30" s="104" t="n"/>
      <c r="AB30" s="103" t="n"/>
      <c r="AC30" s="104" t="n"/>
      <c r="AD30" s="103" t="n"/>
      <c r="AE30" s="104" t="n"/>
      <c r="AF30" s="103" t="n"/>
      <c r="AG30" s="104" t="n"/>
      <c r="AH30" s="103" t="n"/>
      <c r="AI30" s="104" t="n"/>
      <c r="AJ30" s="103" t="n"/>
      <c r="AK30" s="104" t="n"/>
      <c r="AL30" s="103" t="n"/>
      <c r="AM30" s="104" t="n"/>
      <c r="AN30" s="184" t="n"/>
      <c r="AO30" s="106" t="n"/>
      <c r="AP30" s="107" t="n"/>
      <c r="AQ30" s="106" t="n"/>
      <c r="AR30" s="107" t="n"/>
      <c r="AS30" s="106" t="n"/>
      <c r="AT30" s="107" t="n"/>
      <c r="AU30" s="106" t="n"/>
      <c r="AV30" s="107" t="n"/>
      <c r="AW30" s="106" t="n"/>
      <c r="AX30" s="107" t="n"/>
      <c r="AY30" s="106" t="n"/>
      <c r="AZ30" s="107" t="n"/>
      <c r="BA30" s="106" t="n"/>
      <c r="BB30" s="107" t="n"/>
      <c r="BC30" s="106" t="n"/>
      <c r="BD30" s="107" t="n"/>
      <c r="BE30" s="185" t="n"/>
      <c r="BF30" s="109" t="n"/>
      <c r="BG30" s="110" t="n"/>
      <c r="BH30" s="109" t="n"/>
      <c r="BI30" s="110" t="n"/>
      <c r="BJ30" s="109" t="n"/>
      <c r="BK30" s="110" t="n"/>
      <c r="BL30" s="109" t="n"/>
      <c r="BM30" s="110" t="n"/>
      <c r="BN30" s="109" t="n"/>
      <c r="BO30" s="110" t="n"/>
      <c r="BP30" s="109" t="n"/>
      <c r="BQ30" s="110" t="n"/>
      <c r="BR30" s="109" t="n"/>
      <c r="BS30" s="110" t="n"/>
      <c r="BT30" s="109" t="n"/>
      <c r="BU30" s="110" t="n"/>
      <c r="BV30" s="186" t="n"/>
      <c r="BW30" s="112" t="n"/>
      <c r="BX30" s="113" t="n"/>
      <c r="BY30" s="112" t="n"/>
      <c r="BZ30" s="113" t="n"/>
      <c r="CA30" s="112" t="n"/>
      <c r="CB30" s="113" t="n"/>
      <c r="CC30" s="112" t="n"/>
      <c r="CD30" s="113" t="n"/>
      <c r="CE30" s="112" t="n"/>
      <c r="CF30" s="113" t="n"/>
      <c r="CG30" s="112" t="n"/>
      <c r="CH30" s="113" t="n"/>
      <c r="CI30" s="112" t="n"/>
      <c r="CJ30" s="113" t="n"/>
      <c r="CK30" s="112" t="n"/>
      <c r="CL30" s="113" t="n"/>
      <c r="CM30" s="187" t="n"/>
      <c r="CN30" s="115" t="n"/>
      <c r="CO30" s="116" t="n"/>
      <c r="CP30" s="115" t="n"/>
      <c r="CQ30" s="116" t="n"/>
      <c r="CR30" s="115" t="n"/>
      <c r="CS30" s="116" t="n"/>
      <c r="CT30" s="115" t="n"/>
      <c r="CU30" s="116" t="n"/>
      <c r="CV30" s="115" t="n"/>
      <c r="CW30" s="116" t="n"/>
      <c r="CX30" s="115" t="n"/>
      <c r="CY30" s="116" t="n"/>
      <c r="CZ30" s="115" t="n"/>
      <c r="DA30" s="116" t="n"/>
      <c r="DB30" s="115" t="n"/>
      <c r="DC30" s="116" t="n"/>
      <c r="DD30" s="188" t="n"/>
      <c r="DE30" s="118" t="n"/>
      <c r="DF30" s="119" t="n"/>
      <c r="DG30" s="118" t="n"/>
      <c r="DH30" s="119" t="n"/>
      <c r="DI30" s="118" t="n"/>
      <c r="DJ30" s="119" t="n"/>
      <c r="DK30" s="118" t="n"/>
      <c r="DL30" s="119" t="n"/>
      <c r="DM30" s="118" t="n"/>
      <c r="DN30" s="119" t="n"/>
      <c r="DO30" s="118" t="n"/>
      <c r="DP30" s="119" t="n"/>
      <c r="DQ30" s="118" t="n"/>
      <c r="DR30" s="119" t="n"/>
      <c r="DS30" s="118" t="n"/>
      <c r="DT30" s="119" t="n"/>
      <c r="DU30" s="189" t="n"/>
      <c r="DV30" s="121" t="n"/>
      <c r="DW30" s="122" t="n"/>
      <c r="DX30" s="121" t="n"/>
      <c r="DY30" s="122" t="n"/>
      <c r="DZ30" s="121" t="n"/>
      <c r="EA30" s="122" t="n"/>
      <c r="EB30" s="121" t="n"/>
      <c r="EC30" s="122" t="n"/>
      <c r="ED30" s="121" t="n"/>
      <c r="EE30" s="122" t="n"/>
      <c r="EF30" s="121" t="n"/>
      <c r="EG30" s="122" t="n"/>
      <c r="EH30" s="121" t="n"/>
      <c r="EI30" s="122" t="n"/>
      <c r="EJ30" s="121" t="n"/>
      <c r="EK30" s="122" t="n"/>
      <c r="EL30" s="190" t="n"/>
      <c r="EM30" s="124" t="n"/>
      <c r="EN30" s="125" t="n"/>
      <c r="EO30" s="124" t="n"/>
      <c r="EP30" s="125" t="n"/>
      <c r="EQ30" s="124" t="n"/>
      <c r="ER30" s="125" t="n"/>
      <c r="ES30" s="124" t="n"/>
      <c r="ET30" s="125" t="n"/>
      <c r="EU30" s="124" t="n"/>
      <c r="EV30" s="125" t="n"/>
      <c r="EW30" s="124" t="n"/>
      <c r="EX30" s="125" t="n"/>
      <c r="EY30" s="124" t="n"/>
      <c r="EZ30" s="125" t="n"/>
      <c r="FA30" s="124" t="n"/>
      <c r="FB30" s="125" t="n"/>
      <c r="FC30" s="191" t="n"/>
      <c r="FD30" s="127" t="n"/>
      <c r="FE30" s="128" t="n"/>
      <c r="FF30" s="127" t="n"/>
      <c r="FG30" s="128" t="n"/>
      <c r="FH30" s="127" t="n"/>
      <c r="FI30" s="128" t="n"/>
      <c r="FJ30" s="127" t="n"/>
      <c r="FK30" s="128" t="n"/>
      <c r="FL30" s="127" t="n"/>
      <c r="FM30" s="128" t="n"/>
      <c r="FN30" s="127" t="n"/>
      <c r="FO30" s="128" t="n"/>
      <c r="FP30" s="127" t="n"/>
      <c r="FQ30" s="128" t="n"/>
      <c r="FR30" s="127" t="n"/>
      <c r="FS30" s="128" t="n"/>
      <c r="FT30" s="192" t="n"/>
      <c r="FU30" s="130" t="n"/>
      <c r="FV30" s="131" t="n"/>
      <c r="FW30" s="130" t="n"/>
      <c r="FX30" s="131" t="n"/>
      <c r="FY30" s="130" t="n"/>
      <c r="FZ30" s="131" t="n"/>
      <c r="GA30" s="130" t="n"/>
      <c r="GB30" s="131" t="n"/>
      <c r="GC30" s="130" t="n"/>
      <c r="GD30" s="131" t="n"/>
      <c r="GE30" s="130" t="n"/>
      <c r="GF30" s="131" t="n"/>
      <c r="GG30" s="130" t="n"/>
      <c r="GH30" s="131" t="n"/>
      <c r="GI30" s="130" t="n"/>
      <c r="GJ30" s="131" t="n"/>
      <c r="GK30" s="193" t="n"/>
      <c r="GL30" s="133" t="n"/>
      <c r="GM30" s="134" t="n"/>
      <c r="GN30" s="133" t="n"/>
      <c r="GO30" s="134" t="n"/>
      <c r="GP30" s="133" t="n"/>
      <c r="GQ30" s="134" t="n"/>
      <c r="GR30" s="133" t="n"/>
      <c r="GS30" s="134" t="n"/>
      <c r="GT30" s="133" t="n"/>
      <c r="GU30" s="134" t="n"/>
      <c r="GV30" s="133" t="n"/>
      <c r="GW30" s="134" t="n"/>
      <c r="GX30" s="133" t="n"/>
      <c r="GY30" s="134" t="n"/>
      <c r="GZ30" s="133" t="n"/>
      <c r="HA30" s="134" t="n"/>
      <c r="HB30" s="194" t="n"/>
      <c r="HC30">
        <f>SUMIFS($G30:$HB30,$G$46:$HB$46,"&gt;="&amp;$HD$1,$G$46:$HB$46,"&lt;="&amp;$HD$2,$G$29:$HB$29,"&lt;&gt;ملاحظات",$G$28:$HB$28,"&gt;0")</f>
        <v>0</v>
      </c>
      <c r="HD30">
        <f>SUMIFS($G$28:$HB$28,$G$46:$HB$46,"&gt;="&amp;$HD$1,$G$46:$HB$46,"&lt;="&amp;$HD$2,$G$29:$HB$29,"&lt;&gt;ملاحظات",$G30:$HB30,"&gt;=0")</f>
        <v>0</v>
      </c>
    </row>
    <row r="31" ht="22.5" customHeight="1">
      <c r="A31" s="36" t="n">
        <v>2</v>
      </c>
      <c r="B31" s="181" t="str">
        <f>IF($B6="","",$B6)</f>
        <v/>
      </c>
      <c r="C31" s="136" t="str">
        <f>IF(OR($B31="",$HD31=0),"",ROUND($HC31,2)&amp;" / "&amp;$HD31)</f>
        <v/>
      </c>
      <c r="D31" s="182" t="str">
        <f>IF(OR($B31="",$HD31=0),"",$HC31/$HD31)</f>
        <v/>
      </c>
      <c r="E31" s="98" t="str">
        <f>IF($D31="","",RANK($D31,$D$30:$D$44))</f>
        <v/>
      </c>
      <c r="F31" s="99" t="str">
        <f>IF($D31="","",IF($D31&gt;=0.85,"ممتاز",IF($D31&gt;=0.75,"جيد جداً",IF($D31&gt;=0.65,"جيد",IF($D31&gt;=0.5,"مقبول","ضعيف")))))</f>
        <v/>
      </c>
      <c r="G31" s="100" t="n"/>
      <c r="H31" s="101" t="n"/>
      <c r="I31" s="100" t="n"/>
      <c r="J31" s="101" t="n"/>
      <c r="K31" s="100" t="n"/>
      <c r="L31" s="101" t="n"/>
      <c r="M31" s="100" t="n"/>
      <c r="N31" s="101" t="n"/>
      <c r="O31" s="100" t="n"/>
      <c r="P31" s="101" t="n"/>
      <c r="Q31" s="100" t="n"/>
      <c r="R31" s="101" t="n"/>
      <c r="S31" s="100" t="n"/>
      <c r="T31" s="101" t="n"/>
      <c r="U31" s="100" t="n"/>
      <c r="V31" s="101" t="n"/>
      <c r="W31" s="183" t="n"/>
      <c r="X31" s="103" t="n"/>
      <c r="Y31" s="104" t="n"/>
      <c r="Z31" s="103" t="n"/>
      <c r="AA31" s="104" t="n"/>
      <c r="AB31" s="103" t="n"/>
      <c r="AC31" s="104" t="n"/>
      <c r="AD31" s="103" t="n"/>
      <c r="AE31" s="104" t="n"/>
      <c r="AF31" s="103" t="n"/>
      <c r="AG31" s="104" t="n"/>
      <c r="AH31" s="103" t="n"/>
      <c r="AI31" s="104" t="n"/>
      <c r="AJ31" s="103" t="n"/>
      <c r="AK31" s="104" t="n"/>
      <c r="AL31" s="103" t="n"/>
      <c r="AM31" s="104" t="n"/>
      <c r="AN31" s="184" t="n"/>
      <c r="AO31" s="106" t="n"/>
      <c r="AP31" s="107" t="n"/>
      <c r="AQ31" s="106" t="n"/>
      <c r="AR31" s="107" t="n"/>
      <c r="AS31" s="106" t="n"/>
      <c r="AT31" s="107" t="n"/>
      <c r="AU31" s="106" t="n"/>
      <c r="AV31" s="107" t="n"/>
      <c r="AW31" s="106" t="n"/>
      <c r="AX31" s="107" t="n"/>
      <c r="AY31" s="106" t="n"/>
      <c r="AZ31" s="107" t="n"/>
      <c r="BA31" s="106" t="n"/>
      <c r="BB31" s="107" t="n"/>
      <c r="BC31" s="106" t="n"/>
      <c r="BD31" s="107" t="n"/>
      <c r="BE31" s="185" t="n"/>
      <c r="BF31" s="109" t="n"/>
      <c r="BG31" s="110" t="n"/>
      <c r="BH31" s="109" t="n"/>
      <c r="BI31" s="110" t="n"/>
      <c r="BJ31" s="109" t="n"/>
      <c r="BK31" s="110" t="n"/>
      <c r="BL31" s="109" t="n"/>
      <c r="BM31" s="110" t="n"/>
      <c r="BN31" s="109" t="n"/>
      <c r="BO31" s="110" t="n"/>
      <c r="BP31" s="109" t="n"/>
      <c r="BQ31" s="110" t="n"/>
      <c r="BR31" s="109" t="n"/>
      <c r="BS31" s="110" t="n"/>
      <c r="BT31" s="109" t="n"/>
      <c r="BU31" s="110" t="n"/>
      <c r="BV31" s="186" t="n"/>
      <c r="BW31" s="112" t="n"/>
      <c r="BX31" s="113" t="n"/>
      <c r="BY31" s="112" t="n"/>
      <c r="BZ31" s="113" t="n"/>
      <c r="CA31" s="112" t="n"/>
      <c r="CB31" s="113" t="n"/>
      <c r="CC31" s="112" t="n"/>
      <c r="CD31" s="113" t="n"/>
      <c r="CE31" s="112" t="n"/>
      <c r="CF31" s="113" t="n"/>
      <c r="CG31" s="112" t="n"/>
      <c r="CH31" s="113" t="n"/>
      <c r="CI31" s="112" t="n"/>
      <c r="CJ31" s="113" t="n"/>
      <c r="CK31" s="112" t="n"/>
      <c r="CL31" s="113" t="n"/>
      <c r="CM31" s="187" t="n"/>
      <c r="CN31" s="115" t="n"/>
      <c r="CO31" s="116" t="n"/>
      <c r="CP31" s="115" t="n"/>
      <c r="CQ31" s="116" t="n"/>
      <c r="CR31" s="115" t="n"/>
      <c r="CS31" s="116" t="n"/>
      <c r="CT31" s="115" t="n"/>
      <c r="CU31" s="116" t="n"/>
      <c r="CV31" s="115" t="n"/>
      <c r="CW31" s="116" t="n"/>
      <c r="CX31" s="115" t="n"/>
      <c r="CY31" s="116" t="n"/>
      <c r="CZ31" s="115" t="n"/>
      <c r="DA31" s="116" t="n"/>
      <c r="DB31" s="115" t="n"/>
      <c r="DC31" s="116" t="n"/>
      <c r="DD31" s="188" t="n"/>
      <c r="DE31" s="118" t="n"/>
      <c r="DF31" s="119" t="n"/>
      <c r="DG31" s="118" t="n"/>
      <c r="DH31" s="119" t="n"/>
      <c r="DI31" s="118" t="n"/>
      <c r="DJ31" s="119" t="n"/>
      <c r="DK31" s="118" t="n"/>
      <c r="DL31" s="119" t="n"/>
      <c r="DM31" s="118" t="n"/>
      <c r="DN31" s="119" t="n"/>
      <c r="DO31" s="118" t="n"/>
      <c r="DP31" s="119" t="n"/>
      <c r="DQ31" s="118" t="n"/>
      <c r="DR31" s="119" t="n"/>
      <c r="DS31" s="118" t="n"/>
      <c r="DT31" s="119" t="n"/>
      <c r="DU31" s="189" t="n"/>
      <c r="DV31" s="121" t="n"/>
      <c r="DW31" s="122" t="n"/>
      <c r="DX31" s="121" t="n"/>
      <c r="DY31" s="122" t="n"/>
      <c r="DZ31" s="121" t="n"/>
      <c r="EA31" s="122" t="n"/>
      <c r="EB31" s="121" t="n"/>
      <c r="EC31" s="122" t="n"/>
      <c r="ED31" s="121" t="n"/>
      <c r="EE31" s="122" t="n"/>
      <c r="EF31" s="121" t="n"/>
      <c r="EG31" s="122" t="n"/>
      <c r="EH31" s="121" t="n"/>
      <c r="EI31" s="122" t="n"/>
      <c r="EJ31" s="121" t="n"/>
      <c r="EK31" s="122" t="n"/>
      <c r="EL31" s="190" t="n"/>
      <c r="EM31" s="124" t="n"/>
      <c r="EN31" s="125" t="n"/>
      <c r="EO31" s="124" t="n"/>
      <c r="EP31" s="125" t="n"/>
      <c r="EQ31" s="124" t="n"/>
      <c r="ER31" s="125" t="n"/>
      <c r="ES31" s="124" t="n"/>
      <c r="ET31" s="125" t="n"/>
      <c r="EU31" s="124" t="n"/>
      <c r="EV31" s="125" t="n"/>
      <c r="EW31" s="124" t="n"/>
      <c r="EX31" s="125" t="n"/>
      <c r="EY31" s="124" t="n"/>
      <c r="EZ31" s="125" t="n"/>
      <c r="FA31" s="124" t="n"/>
      <c r="FB31" s="125" t="n"/>
      <c r="FC31" s="191" t="n"/>
      <c r="FD31" s="127" t="n"/>
      <c r="FE31" s="128" t="n"/>
      <c r="FF31" s="127" t="n"/>
      <c r="FG31" s="128" t="n"/>
      <c r="FH31" s="127" t="n"/>
      <c r="FI31" s="128" t="n"/>
      <c r="FJ31" s="127" t="n"/>
      <c r="FK31" s="128" t="n"/>
      <c r="FL31" s="127" t="n"/>
      <c r="FM31" s="128" t="n"/>
      <c r="FN31" s="127" t="n"/>
      <c r="FO31" s="128" t="n"/>
      <c r="FP31" s="127" t="n"/>
      <c r="FQ31" s="128" t="n"/>
      <c r="FR31" s="127" t="n"/>
      <c r="FS31" s="128" t="n"/>
      <c r="FT31" s="192" t="n"/>
      <c r="FU31" s="130" t="n"/>
      <c r="FV31" s="131" t="n"/>
      <c r="FW31" s="130" t="n"/>
      <c r="FX31" s="131" t="n"/>
      <c r="FY31" s="130" t="n"/>
      <c r="FZ31" s="131" t="n"/>
      <c r="GA31" s="130" t="n"/>
      <c r="GB31" s="131" t="n"/>
      <c r="GC31" s="130" t="n"/>
      <c r="GD31" s="131" t="n"/>
      <c r="GE31" s="130" t="n"/>
      <c r="GF31" s="131" t="n"/>
      <c r="GG31" s="130" t="n"/>
      <c r="GH31" s="131" t="n"/>
      <c r="GI31" s="130" t="n"/>
      <c r="GJ31" s="131" t="n"/>
      <c r="GK31" s="193" t="n"/>
      <c r="GL31" s="133" t="n"/>
      <c r="GM31" s="134" t="n"/>
      <c r="GN31" s="133" t="n"/>
      <c r="GO31" s="134" t="n"/>
      <c r="GP31" s="133" t="n"/>
      <c r="GQ31" s="134" t="n"/>
      <c r="GR31" s="133" t="n"/>
      <c r="GS31" s="134" t="n"/>
      <c r="GT31" s="133" t="n"/>
      <c r="GU31" s="134" t="n"/>
      <c r="GV31" s="133" t="n"/>
      <c r="GW31" s="134" t="n"/>
      <c r="GX31" s="133" t="n"/>
      <c r="GY31" s="134" t="n"/>
      <c r="GZ31" s="133" t="n"/>
      <c r="HA31" s="134" t="n"/>
      <c r="HB31" s="194" t="n"/>
      <c r="HC31">
        <f>SUMIFS($G31:$HB31,$G$46:$HB$46,"&gt;="&amp;$HD$1,$G$46:$HB$46,"&lt;="&amp;$HD$2,$G$29:$HB$29,"&lt;&gt;ملاحظات",$G$28:$HB$28,"&gt;0")</f>
        <v>0</v>
      </c>
      <c r="HD31">
        <f>SUMIFS($G$28:$HB$28,$G$46:$HB$46,"&gt;="&amp;$HD$1,$G$46:$HB$46,"&lt;="&amp;$HD$2,$G$29:$HB$29,"&lt;&gt;ملاحظات",$G31:$HB31,"&gt;=0")</f>
        <v>0</v>
      </c>
    </row>
    <row r="32" ht="22.5" customHeight="1">
      <c r="A32" s="36" t="n">
        <v>3</v>
      </c>
      <c r="B32" s="181" t="str">
        <f>IF($B7="","",$B7)</f>
        <v/>
      </c>
      <c r="C32" s="136" t="str">
        <f>IF(OR($B32="",$HD32=0),"",ROUND($HC32,2)&amp;" / "&amp;$HD32)</f>
        <v/>
      </c>
      <c r="D32" s="182" t="str">
        <f>IF(OR($B32="",$HD32=0),"",$HC32/$HD32)</f>
        <v/>
      </c>
      <c r="E32" s="98" t="str">
        <f>IF($D32="","",RANK($D32,$D$30:$D$44))</f>
        <v/>
      </c>
      <c r="F32" s="99" t="str">
        <f>IF($D32="","",IF($D32&gt;=0.85,"ممتاز",IF($D32&gt;=0.75,"جيد جداً",IF($D32&gt;=0.65,"جيد",IF($D32&gt;=0.5,"مقبول","ضعيف")))))</f>
        <v/>
      </c>
      <c r="G32" s="100" t="n"/>
      <c r="H32" s="101" t="n"/>
      <c r="I32" s="100" t="n"/>
      <c r="J32" s="101" t="n"/>
      <c r="K32" s="100" t="n"/>
      <c r="L32" s="101" t="n"/>
      <c r="M32" s="100" t="n"/>
      <c r="N32" s="101" t="n"/>
      <c r="O32" s="100" t="n"/>
      <c r="P32" s="101" t="n"/>
      <c r="Q32" s="100" t="n"/>
      <c r="R32" s="101" t="n"/>
      <c r="S32" s="100" t="n"/>
      <c r="T32" s="101" t="n"/>
      <c r="U32" s="100" t="n"/>
      <c r="V32" s="101" t="n"/>
      <c r="W32" s="183" t="n"/>
      <c r="X32" s="103" t="n"/>
      <c r="Y32" s="104" t="n"/>
      <c r="Z32" s="103" t="n"/>
      <c r="AA32" s="104" t="n"/>
      <c r="AB32" s="103" t="n"/>
      <c r="AC32" s="104" t="n"/>
      <c r="AD32" s="103" t="n"/>
      <c r="AE32" s="104" t="n"/>
      <c r="AF32" s="103" t="n"/>
      <c r="AG32" s="104" t="n"/>
      <c r="AH32" s="103" t="n"/>
      <c r="AI32" s="104" t="n"/>
      <c r="AJ32" s="103" t="n"/>
      <c r="AK32" s="104" t="n"/>
      <c r="AL32" s="103" t="n"/>
      <c r="AM32" s="104" t="n"/>
      <c r="AN32" s="184" t="n"/>
      <c r="AO32" s="106" t="n"/>
      <c r="AP32" s="107" t="n"/>
      <c r="AQ32" s="106" t="n"/>
      <c r="AR32" s="107" t="n"/>
      <c r="AS32" s="106" t="n"/>
      <c r="AT32" s="107" t="n"/>
      <c r="AU32" s="106" t="n"/>
      <c r="AV32" s="107" t="n"/>
      <c r="AW32" s="106" t="n"/>
      <c r="AX32" s="107" t="n"/>
      <c r="AY32" s="106" t="n"/>
      <c r="AZ32" s="107" t="n"/>
      <c r="BA32" s="106" t="n"/>
      <c r="BB32" s="107" t="n"/>
      <c r="BC32" s="106" t="n"/>
      <c r="BD32" s="107" t="n"/>
      <c r="BE32" s="185" t="n"/>
      <c r="BF32" s="109" t="n"/>
      <c r="BG32" s="110" t="n"/>
      <c r="BH32" s="109" t="n"/>
      <c r="BI32" s="110" t="n"/>
      <c r="BJ32" s="109" t="n"/>
      <c r="BK32" s="110" t="n"/>
      <c r="BL32" s="109" t="n"/>
      <c r="BM32" s="110" t="n"/>
      <c r="BN32" s="109" t="n"/>
      <c r="BO32" s="110" t="n"/>
      <c r="BP32" s="109" t="n"/>
      <c r="BQ32" s="110" t="n"/>
      <c r="BR32" s="109" t="n"/>
      <c r="BS32" s="110" t="n"/>
      <c r="BT32" s="109" t="n"/>
      <c r="BU32" s="110" t="n"/>
      <c r="BV32" s="186" t="n"/>
      <c r="BW32" s="112" t="n"/>
      <c r="BX32" s="113" t="n"/>
      <c r="BY32" s="112" t="n"/>
      <c r="BZ32" s="113" t="n"/>
      <c r="CA32" s="112" t="n"/>
      <c r="CB32" s="113" t="n"/>
      <c r="CC32" s="112" t="n"/>
      <c r="CD32" s="113" t="n"/>
      <c r="CE32" s="112" t="n"/>
      <c r="CF32" s="113" t="n"/>
      <c r="CG32" s="112" t="n"/>
      <c r="CH32" s="113" t="n"/>
      <c r="CI32" s="112" t="n"/>
      <c r="CJ32" s="113" t="n"/>
      <c r="CK32" s="112" t="n"/>
      <c r="CL32" s="113" t="n"/>
      <c r="CM32" s="187" t="n"/>
      <c r="CN32" s="115" t="n"/>
      <c r="CO32" s="116" t="n"/>
      <c r="CP32" s="115" t="n"/>
      <c r="CQ32" s="116" t="n"/>
      <c r="CR32" s="115" t="n"/>
      <c r="CS32" s="116" t="n"/>
      <c r="CT32" s="115" t="n"/>
      <c r="CU32" s="116" t="n"/>
      <c r="CV32" s="115" t="n"/>
      <c r="CW32" s="116" t="n"/>
      <c r="CX32" s="115" t="n"/>
      <c r="CY32" s="116" t="n"/>
      <c r="CZ32" s="115" t="n"/>
      <c r="DA32" s="116" t="n"/>
      <c r="DB32" s="115" t="n"/>
      <c r="DC32" s="116" t="n"/>
      <c r="DD32" s="188" t="n"/>
      <c r="DE32" s="118" t="n"/>
      <c r="DF32" s="119" t="n"/>
      <c r="DG32" s="118" t="n"/>
      <c r="DH32" s="119" t="n"/>
      <c r="DI32" s="118" t="n"/>
      <c r="DJ32" s="119" t="n"/>
      <c r="DK32" s="118" t="n"/>
      <c r="DL32" s="119" t="n"/>
      <c r="DM32" s="118" t="n"/>
      <c r="DN32" s="119" t="n"/>
      <c r="DO32" s="118" t="n"/>
      <c r="DP32" s="119" t="n"/>
      <c r="DQ32" s="118" t="n"/>
      <c r="DR32" s="119" t="n"/>
      <c r="DS32" s="118" t="n"/>
      <c r="DT32" s="119" t="n"/>
      <c r="DU32" s="189" t="n"/>
      <c r="DV32" s="121" t="n"/>
      <c r="DW32" s="122" t="n"/>
      <c r="DX32" s="121" t="n"/>
      <c r="DY32" s="122" t="n"/>
      <c r="DZ32" s="121" t="n"/>
      <c r="EA32" s="122" t="n"/>
      <c r="EB32" s="121" t="n"/>
      <c r="EC32" s="122" t="n"/>
      <c r="ED32" s="121" t="n"/>
      <c r="EE32" s="122" t="n"/>
      <c r="EF32" s="121" t="n"/>
      <c r="EG32" s="122" t="n"/>
      <c r="EH32" s="121" t="n"/>
      <c r="EI32" s="122" t="n"/>
      <c r="EJ32" s="121" t="n"/>
      <c r="EK32" s="122" t="n"/>
      <c r="EL32" s="190" t="n"/>
      <c r="EM32" s="124" t="n"/>
      <c r="EN32" s="125" t="n"/>
      <c r="EO32" s="124" t="n"/>
      <c r="EP32" s="125" t="n"/>
      <c r="EQ32" s="124" t="n"/>
      <c r="ER32" s="125" t="n"/>
      <c r="ES32" s="124" t="n"/>
      <c r="ET32" s="125" t="n"/>
      <c r="EU32" s="124" t="n"/>
      <c r="EV32" s="125" t="n"/>
      <c r="EW32" s="124" t="n"/>
      <c r="EX32" s="125" t="n"/>
      <c r="EY32" s="124" t="n"/>
      <c r="EZ32" s="125" t="n"/>
      <c r="FA32" s="124" t="n"/>
      <c r="FB32" s="125" t="n"/>
      <c r="FC32" s="191" t="n"/>
      <c r="FD32" s="127" t="n"/>
      <c r="FE32" s="128" t="n"/>
      <c r="FF32" s="127" t="n"/>
      <c r="FG32" s="128" t="n"/>
      <c r="FH32" s="127" t="n"/>
      <c r="FI32" s="128" t="n"/>
      <c r="FJ32" s="127" t="n"/>
      <c r="FK32" s="128" t="n"/>
      <c r="FL32" s="127" t="n"/>
      <c r="FM32" s="128" t="n"/>
      <c r="FN32" s="127" t="n"/>
      <c r="FO32" s="128" t="n"/>
      <c r="FP32" s="127" t="n"/>
      <c r="FQ32" s="128" t="n"/>
      <c r="FR32" s="127" t="n"/>
      <c r="FS32" s="128" t="n"/>
      <c r="FT32" s="192" t="n"/>
      <c r="FU32" s="130" t="n"/>
      <c r="FV32" s="131" t="n"/>
      <c r="FW32" s="130" t="n"/>
      <c r="FX32" s="131" t="n"/>
      <c r="FY32" s="130" t="n"/>
      <c r="FZ32" s="131" t="n"/>
      <c r="GA32" s="130" t="n"/>
      <c r="GB32" s="131" t="n"/>
      <c r="GC32" s="130" t="n"/>
      <c r="GD32" s="131" t="n"/>
      <c r="GE32" s="130" t="n"/>
      <c r="GF32" s="131" t="n"/>
      <c r="GG32" s="130" t="n"/>
      <c r="GH32" s="131" t="n"/>
      <c r="GI32" s="130" t="n"/>
      <c r="GJ32" s="131" t="n"/>
      <c r="GK32" s="193" t="n"/>
      <c r="GL32" s="133" t="n"/>
      <c r="GM32" s="134" t="n"/>
      <c r="GN32" s="133" t="n"/>
      <c r="GO32" s="134" t="n"/>
      <c r="GP32" s="133" t="n"/>
      <c r="GQ32" s="134" t="n"/>
      <c r="GR32" s="133" t="n"/>
      <c r="GS32" s="134" t="n"/>
      <c r="GT32" s="133" t="n"/>
      <c r="GU32" s="134" t="n"/>
      <c r="GV32" s="133" t="n"/>
      <c r="GW32" s="134" t="n"/>
      <c r="GX32" s="133" t="n"/>
      <c r="GY32" s="134" t="n"/>
      <c r="GZ32" s="133" t="n"/>
      <c r="HA32" s="134" t="n"/>
      <c r="HB32" s="194" t="n"/>
      <c r="HC32">
        <f>SUMIFS($G32:$HB32,$G$46:$HB$46,"&gt;="&amp;$HD$1,$G$46:$HB$46,"&lt;="&amp;$HD$2,$G$29:$HB$29,"&lt;&gt;ملاحظات",$G$28:$HB$28,"&gt;0")</f>
        <v>0</v>
      </c>
      <c r="HD32">
        <f>SUMIFS($G$28:$HB$28,$G$46:$HB$46,"&gt;="&amp;$HD$1,$G$46:$HB$46,"&lt;="&amp;$HD$2,$G$29:$HB$29,"&lt;&gt;ملاحظات",$G32:$HB32,"&gt;=0")</f>
        <v>0</v>
      </c>
    </row>
    <row r="33" ht="22.5" customHeight="1">
      <c r="A33" s="36" t="n">
        <v>4</v>
      </c>
      <c r="B33" s="181" t="str">
        <f>IF($B8="","",$B8)</f>
        <v/>
      </c>
      <c r="C33" s="136" t="str">
        <f>IF(OR($B33="",$HD33=0),"",ROUND($HC33,2)&amp;" / "&amp;$HD33)</f>
        <v/>
      </c>
      <c r="D33" s="182" t="str">
        <f>IF(OR($B33="",$HD33=0),"",$HC33/$HD33)</f>
        <v/>
      </c>
      <c r="E33" s="98" t="str">
        <f>IF($D33="","",RANK($D33,$D$30:$D$44))</f>
        <v/>
      </c>
      <c r="F33" s="99" t="str">
        <f>IF($D33="","",IF($D33&gt;=0.85,"ممتاز",IF($D33&gt;=0.75,"جيد جداً",IF($D33&gt;=0.65,"جيد",IF($D33&gt;=0.5,"مقبول","ضعيف")))))</f>
        <v/>
      </c>
      <c r="G33" s="100" t="n"/>
      <c r="H33" s="101" t="n"/>
      <c r="I33" s="100" t="n"/>
      <c r="J33" s="101" t="n"/>
      <c r="K33" s="100" t="n"/>
      <c r="L33" s="101" t="n"/>
      <c r="M33" s="100" t="n"/>
      <c r="N33" s="101" t="n"/>
      <c r="O33" s="100" t="n"/>
      <c r="P33" s="101" t="n"/>
      <c r="Q33" s="100" t="n"/>
      <c r="R33" s="101" t="n"/>
      <c r="S33" s="100" t="n"/>
      <c r="T33" s="101" t="n"/>
      <c r="U33" s="100" t="n"/>
      <c r="V33" s="101" t="n"/>
      <c r="W33" s="183" t="n"/>
      <c r="X33" s="103" t="n"/>
      <c r="Y33" s="104" t="n"/>
      <c r="Z33" s="103" t="n"/>
      <c r="AA33" s="104" t="n"/>
      <c r="AB33" s="103" t="n"/>
      <c r="AC33" s="104" t="n"/>
      <c r="AD33" s="103" t="n"/>
      <c r="AE33" s="104" t="n"/>
      <c r="AF33" s="103" t="n"/>
      <c r="AG33" s="104" t="n"/>
      <c r="AH33" s="103" t="n"/>
      <c r="AI33" s="104" t="n"/>
      <c r="AJ33" s="103" t="n"/>
      <c r="AK33" s="104" t="n"/>
      <c r="AL33" s="103" t="n"/>
      <c r="AM33" s="104" t="n"/>
      <c r="AN33" s="184" t="n"/>
      <c r="AO33" s="106" t="n"/>
      <c r="AP33" s="107" t="n"/>
      <c r="AQ33" s="106" t="n"/>
      <c r="AR33" s="107" t="n"/>
      <c r="AS33" s="106" t="n"/>
      <c r="AT33" s="107" t="n"/>
      <c r="AU33" s="106" t="n"/>
      <c r="AV33" s="107" t="n"/>
      <c r="AW33" s="106" t="n"/>
      <c r="AX33" s="107" t="n"/>
      <c r="AY33" s="106" t="n"/>
      <c r="AZ33" s="107" t="n"/>
      <c r="BA33" s="106" t="n"/>
      <c r="BB33" s="107" t="n"/>
      <c r="BC33" s="106" t="n"/>
      <c r="BD33" s="107" t="n"/>
      <c r="BE33" s="185" t="n"/>
      <c r="BF33" s="109" t="n"/>
      <c r="BG33" s="110" t="n"/>
      <c r="BH33" s="109" t="n"/>
      <c r="BI33" s="110" t="n"/>
      <c r="BJ33" s="109" t="n"/>
      <c r="BK33" s="110" t="n"/>
      <c r="BL33" s="109" t="n"/>
      <c r="BM33" s="110" t="n"/>
      <c r="BN33" s="109" t="n"/>
      <c r="BO33" s="110" t="n"/>
      <c r="BP33" s="109" t="n"/>
      <c r="BQ33" s="110" t="n"/>
      <c r="BR33" s="109" t="n"/>
      <c r="BS33" s="110" t="n"/>
      <c r="BT33" s="109" t="n"/>
      <c r="BU33" s="110" t="n"/>
      <c r="BV33" s="186" t="n"/>
      <c r="BW33" s="112" t="n"/>
      <c r="BX33" s="113" t="n"/>
      <c r="BY33" s="112" t="n"/>
      <c r="BZ33" s="113" t="n"/>
      <c r="CA33" s="112" t="n"/>
      <c r="CB33" s="113" t="n"/>
      <c r="CC33" s="112" t="n"/>
      <c r="CD33" s="113" t="n"/>
      <c r="CE33" s="112" t="n"/>
      <c r="CF33" s="113" t="n"/>
      <c r="CG33" s="112" t="n"/>
      <c r="CH33" s="113" t="n"/>
      <c r="CI33" s="112" t="n"/>
      <c r="CJ33" s="113" t="n"/>
      <c r="CK33" s="112" t="n"/>
      <c r="CL33" s="113" t="n"/>
      <c r="CM33" s="187" t="n"/>
      <c r="CN33" s="115" t="n"/>
      <c r="CO33" s="116" t="n"/>
      <c r="CP33" s="115" t="n"/>
      <c r="CQ33" s="116" t="n"/>
      <c r="CR33" s="115" t="n"/>
      <c r="CS33" s="116" t="n"/>
      <c r="CT33" s="115" t="n"/>
      <c r="CU33" s="116" t="n"/>
      <c r="CV33" s="115" t="n"/>
      <c r="CW33" s="116" t="n"/>
      <c r="CX33" s="115" t="n"/>
      <c r="CY33" s="116" t="n"/>
      <c r="CZ33" s="115" t="n"/>
      <c r="DA33" s="116" t="n"/>
      <c r="DB33" s="115" t="n"/>
      <c r="DC33" s="116" t="n"/>
      <c r="DD33" s="188" t="n"/>
      <c r="DE33" s="118" t="n"/>
      <c r="DF33" s="119" t="n"/>
      <c r="DG33" s="118" t="n"/>
      <c r="DH33" s="119" t="n"/>
      <c r="DI33" s="118" t="n"/>
      <c r="DJ33" s="119" t="n"/>
      <c r="DK33" s="118" t="n"/>
      <c r="DL33" s="119" t="n"/>
      <c r="DM33" s="118" t="n"/>
      <c r="DN33" s="119" t="n"/>
      <c r="DO33" s="118" t="n"/>
      <c r="DP33" s="119" t="n"/>
      <c r="DQ33" s="118" t="n"/>
      <c r="DR33" s="119" t="n"/>
      <c r="DS33" s="118" t="n"/>
      <c r="DT33" s="119" t="n"/>
      <c r="DU33" s="189" t="n"/>
      <c r="DV33" s="121" t="n"/>
      <c r="DW33" s="122" t="n"/>
      <c r="DX33" s="121" t="n"/>
      <c r="DY33" s="122" t="n"/>
      <c r="DZ33" s="121" t="n"/>
      <c r="EA33" s="122" t="n"/>
      <c r="EB33" s="121" t="n"/>
      <c r="EC33" s="122" t="n"/>
      <c r="ED33" s="121" t="n"/>
      <c r="EE33" s="122" t="n"/>
      <c r="EF33" s="121" t="n"/>
      <c r="EG33" s="122" t="n"/>
      <c r="EH33" s="121" t="n"/>
      <c r="EI33" s="122" t="n"/>
      <c r="EJ33" s="121" t="n"/>
      <c r="EK33" s="122" t="n"/>
      <c r="EL33" s="190" t="n"/>
      <c r="EM33" s="124" t="n"/>
      <c r="EN33" s="125" t="n"/>
      <c r="EO33" s="124" t="n"/>
      <c r="EP33" s="125" t="n"/>
      <c r="EQ33" s="124" t="n"/>
      <c r="ER33" s="125" t="n"/>
      <c r="ES33" s="124" t="n"/>
      <c r="ET33" s="125" t="n"/>
      <c r="EU33" s="124" t="n"/>
      <c r="EV33" s="125" t="n"/>
      <c r="EW33" s="124" t="n"/>
      <c r="EX33" s="125" t="n"/>
      <c r="EY33" s="124" t="n"/>
      <c r="EZ33" s="125" t="n"/>
      <c r="FA33" s="124" t="n"/>
      <c r="FB33" s="125" t="n"/>
      <c r="FC33" s="191" t="n"/>
      <c r="FD33" s="127" t="n"/>
      <c r="FE33" s="128" t="n"/>
      <c r="FF33" s="127" t="n"/>
      <c r="FG33" s="128" t="n"/>
      <c r="FH33" s="127" t="n"/>
      <c r="FI33" s="128" t="n"/>
      <c r="FJ33" s="127" t="n"/>
      <c r="FK33" s="128" t="n"/>
      <c r="FL33" s="127" t="n"/>
      <c r="FM33" s="128" t="n"/>
      <c r="FN33" s="127" t="n"/>
      <c r="FO33" s="128" t="n"/>
      <c r="FP33" s="127" t="n"/>
      <c r="FQ33" s="128" t="n"/>
      <c r="FR33" s="127" t="n"/>
      <c r="FS33" s="128" t="n"/>
      <c r="FT33" s="192" t="n"/>
      <c r="FU33" s="130" t="n"/>
      <c r="FV33" s="131" t="n"/>
      <c r="FW33" s="130" t="n"/>
      <c r="FX33" s="131" t="n"/>
      <c r="FY33" s="130" t="n"/>
      <c r="FZ33" s="131" t="n"/>
      <c r="GA33" s="130" t="n"/>
      <c r="GB33" s="131" t="n"/>
      <c r="GC33" s="130" t="n"/>
      <c r="GD33" s="131" t="n"/>
      <c r="GE33" s="130" t="n"/>
      <c r="GF33" s="131" t="n"/>
      <c r="GG33" s="130" t="n"/>
      <c r="GH33" s="131" t="n"/>
      <c r="GI33" s="130" t="n"/>
      <c r="GJ33" s="131" t="n"/>
      <c r="GK33" s="193" t="n"/>
      <c r="GL33" s="133" t="n"/>
      <c r="GM33" s="134" t="n"/>
      <c r="GN33" s="133" t="n"/>
      <c r="GO33" s="134" t="n"/>
      <c r="GP33" s="133" t="n"/>
      <c r="GQ33" s="134" t="n"/>
      <c r="GR33" s="133" t="n"/>
      <c r="GS33" s="134" t="n"/>
      <c r="GT33" s="133" t="n"/>
      <c r="GU33" s="134" t="n"/>
      <c r="GV33" s="133" t="n"/>
      <c r="GW33" s="134" t="n"/>
      <c r="GX33" s="133" t="n"/>
      <c r="GY33" s="134" t="n"/>
      <c r="GZ33" s="133" t="n"/>
      <c r="HA33" s="134" t="n"/>
      <c r="HB33" s="194" t="n"/>
      <c r="HC33">
        <f>SUMIFS($G33:$HB33,$G$46:$HB$46,"&gt;="&amp;$HD$1,$G$46:$HB$46,"&lt;="&amp;$HD$2,$G$29:$HB$29,"&lt;&gt;ملاحظات",$G$28:$HB$28,"&gt;0")</f>
        <v>0</v>
      </c>
      <c r="HD33">
        <f>SUMIFS($G$28:$HB$28,$G$46:$HB$46,"&gt;="&amp;$HD$1,$G$46:$HB$46,"&lt;="&amp;$HD$2,$G$29:$HB$29,"&lt;&gt;ملاحظات",$G33:$HB33,"&gt;=0")</f>
        <v>0</v>
      </c>
    </row>
    <row r="34" ht="22.5" customHeight="1">
      <c r="A34" s="36" t="n">
        <v>5</v>
      </c>
      <c r="B34" s="181" t="str">
        <f>IF($B9="","",$B9)</f>
        <v/>
      </c>
      <c r="C34" s="136" t="str">
        <f>IF(OR($B34="",$HD34=0),"",ROUND($HC34,2)&amp;" / "&amp;$HD34)</f>
        <v/>
      </c>
      <c r="D34" s="182" t="str">
        <f>IF(OR($B34="",$HD34=0),"",$HC34/$HD34)</f>
        <v/>
      </c>
      <c r="E34" s="98" t="str">
        <f>IF($D34="","",RANK($D34,$D$30:$D$44))</f>
        <v/>
      </c>
      <c r="F34" s="99" t="str">
        <f>IF($D34="","",IF($D34&gt;=0.85,"ممتاز",IF($D34&gt;=0.75,"جيد جداً",IF($D34&gt;=0.65,"جيد",IF($D34&gt;=0.5,"مقبول","ضعيف")))))</f>
        <v/>
      </c>
      <c r="G34" s="100" t="n"/>
      <c r="H34" s="101" t="n"/>
      <c r="I34" s="100" t="n"/>
      <c r="J34" s="101" t="n"/>
      <c r="K34" s="100" t="n"/>
      <c r="L34" s="101" t="n"/>
      <c r="M34" s="100" t="n"/>
      <c r="N34" s="101" t="n"/>
      <c r="O34" s="100" t="n"/>
      <c r="P34" s="101" t="n"/>
      <c r="Q34" s="100" t="n"/>
      <c r="R34" s="101" t="n"/>
      <c r="S34" s="100" t="n"/>
      <c r="T34" s="101" t="n"/>
      <c r="U34" s="100" t="n"/>
      <c r="V34" s="101" t="n"/>
      <c r="W34" s="183" t="n"/>
      <c r="X34" s="103" t="n"/>
      <c r="Y34" s="104" t="n"/>
      <c r="Z34" s="103" t="n"/>
      <c r="AA34" s="104" t="n"/>
      <c r="AB34" s="103" t="n"/>
      <c r="AC34" s="104" t="n"/>
      <c r="AD34" s="103" t="n"/>
      <c r="AE34" s="104" t="n"/>
      <c r="AF34" s="103" t="n"/>
      <c r="AG34" s="104" t="n"/>
      <c r="AH34" s="103" t="n"/>
      <c r="AI34" s="104" t="n"/>
      <c r="AJ34" s="103" t="n"/>
      <c r="AK34" s="104" t="n"/>
      <c r="AL34" s="103" t="n"/>
      <c r="AM34" s="104" t="n"/>
      <c r="AN34" s="184" t="n"/>
      <c r="AO34" s="106" t="n"/>
      <c r="AP34" s="107" t="n"/>
      <c r="AQ34" s="106" t="n"/>
      <c r="AR34" s="107" t="n"/>
      <c r="AS34" s="106" t="n"/>
      <c r="AT34" s="107" t="n"/>
      <c r="AU34" s="106" t="n"/>
      <c r="AV34" s="107" t="n"/>
      <c r="AW34" s="106" t="n"/>
      <c r="AX34" s="107" t="n"/>
      <c r="AY34" s="106" t="n"/>
      <c r="AZ34" s="107" t="n"/>
      <c r="BA34" s="106" t="n"/>
      <c r="BB34" s="107" t="n"/>
      <c r="BC34" s="106" t="n"/>
      <c r="BD34" s="107" t="n"/>
      <c r="BE34" s="185" t="n"/>
      <c r="BF34" s="109" t="n"/>
      <c r="BG34" s="110" t="n"/>
      <c r="BH34" s="109" t="n"/>
      <c r="BI34" s="110" t="n"/>
      <c r="BJ34" s="109" t="n"/>
      <c r="BK34" s="110" t="n"/>
      <c r="BL34" s="109" t="n"/>
      <c r="BM34" s="110" t="n"/>
      <c r="BN34" s="109" t="n"/>
      <c r="BO34" s="110" t="n"/>
      <c r="BP34" s="109" t="n"/>
      <c r="BQ34" s="110" t="n"/>
      <c r="BR34" s="109" t="n"/>
      <c r="BS34" s="110" t="n"/>
      <c r="BT34" s="109" t="n"/>
      <c r="BU34" s="110" t="n"/>
      <c r="BV34" s="186" t="n"/>
      <c r="BW34" s="112" t="n"/>
      <c r="BX34" s="113" t="n"/>
      <c r="BY34" s="112" t="n"/>
      <c r="BZ34" s="113" t="n"/>
      <c r="CA34" s="112" t="n"/>
      <c r="CB34" s="113" t="n"/>
      <c r="CC34" s="112" t="n"/>
      <c r="CD34" s="113" t="n"/>
      <c r="CE34" s="112" t="n"/>
      <c r="CF34" s="113" t="n"/>
      <c r="CG34" s="112" t="n"/>
      <c r="CH34" s="113" t="n"/>
      <c r="CI34" s="112" t="n"/>
      <c r="CJ34" s="113" t="n"/>
      <c r="CK34" s="112" t="n"/>
      <c r="CL34" s="113" t="n"/>
      <c r="CM34" s="187" t="n"/>
      <c r="CN34" s="115" t="n"/>
      <c r="CO34" s="116" t="n"/>
      <c r="CP34" s="115" t="n"/>
      <c r="CQ34" s="116" t="n"/>
      <c r="CR34" s="115" t="n"/>
      <c r="CS34" s="116" t="n"/>
      <c r="CT34" s="115" t="n"/>
      <c r="CU34" s="116" t="n"/>
      <c r="CV34" s="115" t="n"/>
      <c r="CW34" s="116" t="n"/>
      <c r="CX34" s="115" t="n"/>
      <c r="CY34" s="116" t="n"/>
      <c r="CZ34" s="115" t="n"/>
      <c r="DA34" s="116" t="n"/>
      <c r="DB34" s="115" t="n"/>
      <c r="DC34" s="116" t="n"/>
      <c r="DD34" s="188" t="n"/>
      <c r="DE34" s="118" t="n"/>
      <c r="DF34" s="119" t="n"/>
      <c r="DG34" s="118" t="n"/>
      <c r="DH34" s="119" t="n"/>
      <c r="DI34" s="118" t="n"/>
      <c r="DJ34" s="119" t="n"/>
      <c r="DK34" s="118" t="n"/>
      <c r="DL34" s="119" t="n"/>
      <c r="DM34" s="118" t="n"/>
      <c r="DN34" s="119" t="n"/>
      <c r="DO34" s="118" t="n"/>
      <c r="DP34" s="119" t="n"/>
      <c r="DQ34" s="118" t="n"/>
      <c r="DR34" s="119" t="n"/>
      <c r="DS34" s="118" t="n"/>
      <c r="DT34" s="119" t="n"/>
      <c r="DU34" s="189" t="n"/>
      <c r="DV34" s="121" t="n"/>
      <c r="DW34" s="122" t="n"/>
      <c r="DX34" s="121" t="n"/>
      <c r="DY34" s="122" t="n"/>
      <c r="DZ34" s="121" t="n"/>
      <c r="EA34" s="122" t="n"/>
      <c r="EB34" s="121" t="n"/>
      <c r="EC34" s="122" t="n"/>
      <c r="ED34" s="121" t="n"/>
      <c r="EE34" s="122" t="n"/>
      <c r="EF34" s="121" t="n"/>
      <c r="EG34" s="122" t="n"/>
      <c r="EH34" s="121" t="n"/>
      <c r="EI34" s="122" t="n"/>
      <c r="EJ34" s="121" t="n"/>
      <c r="EK34" s="122" t="n"/>
      <c r="EL34" s="190" t="n"/>
      <c r="EM34" s="124" t="n"/>
      <c r="EN34" s="125" t="n"/>
      <c r="EO34" s="124" t="n"/>
      <c r="EP34" s="125" t="n"/>
      <c r="EQ34" s="124" t="n"/>
      <c r="ER34" s="125" t="n"/>
      <c r="ES34" s="124" t="n"/>
      <c r="ET34" s="125" t="n"/>
      <c r="EU34" s="124" t="n"/>
      <c r="EV34" s="125" t="n"/>
      <c r="EW34" s="124" t="n"/>
      <c r="EX34" s="125" t="n"/>
      <c r="EY34" s="124" t="n"/>
      <c r="EZ34" s="125" t="n"/>
      <c r="FA34" s="124" t="n"/>
      <c r="FB34" s="125" t="n"/>
      <c r="FC34" s="191" t="n"/>
      <c r="FD34" s="127" t="n"/>
      <c r="FE34" s="128" t="n"/>
      <c r="FF34" s="127" t="n"/>
      <c r="FG34" s="128" t="n"/>
      <c r="FH34" s="127" t="n"/>
      <c r="FI34" s="128" t="n"/>
      <c r="FJ34" s="127" t="n"/>
      <c r="FK34" s="128" t="n"/>
      <c r="FL34" s="127" t="n"/>
      <c r="FM34" s="128" t="n"/>
      <c r="FN34" s="127" t="n"/>
      <c r="FO34" s="128" t="n"/>
      <c r="FP34" s="127" t="n"/>
      <c r="FQ34" s="128" t="n"/>
      <c r="FR34" s="127" t="n"/>
      <c r="FS34" s="128" t="n"/>
      <c r="FT34" s="192" t="n"/>
      <c r="FU34" s="130" t="n"/>
      <c r="FV34" s="131" t="n"/>
      <c r="FW34" s="130" t="n"/>
      <c r="FX34" s="131" t="n"/>
      <c r="FY34" s="130" t="n"/>
      <c r="FZ34" s="131" t="n"/>
      <c r="GA34" s="130" t="n"/>
      <c r="GB34" s="131" t="n"/>
      <c r="GC34" s="130" t="n"/>
      <c r="GD34" s="131" t="n"/>
      <c r="GE34" s="130" t="n"/>
      <c r="GF34" s="131" t="n"/>
      <c r="GG34" s="130" t="n"/>
      <c r="GH34" s="131" t="n"/>
      <c r="GI34" s="130" t="n"/>
      <c r="GJ34" s="131" t="n"/>
      <c r="GK34" s="193" t="n"/>
      <c r="GL34" s="133" t="n"/>
      <c r="GM34" s="134" t="n"/>
      <c r="GN34" s="133" t="n"/>
      <c r="GO34" s="134" t="n"/>
      <c r="GP34" s="133" t="n"/>
      <c r="GQ34" s="134" t="n"/>
      <c r="GR34" s="133" t="n"/>
      <c r="GS34" s="134" t="n"/>
      <c r="GT34" s="133" t="n"/>
      <c r="GU34" s="134" t="n"/>
      <c r="GV34" s="133" t="n"/>
      <c r="GW34" s="134" t="n"/>
      <c r="GX34" s="133" t="n"/>
      <c r="GY34" s="134" t="n"/>
      <c r="GZ34" s="133" t="n"/>
      <c r="HA34" s="134" t="n"/>
      <c r="HB34" s="194" t="n"/>
      <c r="HC34">
        <f>SUMIFS($G34:$HB34,$G$46:$HB$46,"&gt;="&amp;$HD$1,$G$46:$HB$46,"&lt;="&amp;$HD$2,$G$29:$HB$29,"&lt;&gt;ملاحظات",$G$28:$HB$28,"&gt;0")</f>
        <v>0</v>
      </c>
      <c r="HD34">
        <f>SUMIFS($G$28:$HB$28,$G$46:$HB$46,"&gt;="&amp;$HD$1,$G$46:$HB$46,"&lt;="&amp;$HD$2,$G$29:$HB$29,"&lt;&gt;ملاحظات",$G34:$HB34,"&gt;=0")</f>
        <v>0</v>
      </c>
    </row>
    <row r="35" ht="22.5" customHeight="1">
      <c r="A35" s="36" t="n">
        <v>6</v>
      </c>
      <c r="B35" s="181" t="str">
        <f>IF($B10="","",$B10)</f>
        <v/>
      </c>
      <c r="C35" s="136" t="str">
        <f>IF(OR($B35="",$HD35=0),"",ROUND($HC35,2)&amp;" / "&amp;$HD35)</f>
        <v/>
      </c>
      <c r="D35" s="182" t="str">
        <f>IF(OR($B35="",$HD35=0),"",$HC35/$HD35)</f>
        <v/>
      </c>
      <c r="E35" s="98" t="str">
        <f>IF($D35="","",RANK($D35,$D$30:$D$44))</f>
        <v/>
      </c>
      <c r="F35" s="99" t="str">
        <f>IF($D35="","",IF($D35&gt;=0.85,"ممتاز",IF($D35&gt;=0.75,"جيد جداً",IF($D35&gt;=0.65,"جيد",IF($D35&gt;=0.5,"مقبول","ضعيف")))))</f>
        <v/>
      </c>
      <c r="G35" s="100" t="n"/>
      <c r="H35" s="101" t="n"/>
      <c r="I35" s="100" t="n"/>
      <c r="J35" s="101" t="n"/>
      <c r="K35" s="100" t="n"/>
      <c r="L35" s="101" t="n"/>
      <c r="M35" s="100" t="n"/>
      <c r="N35" s="101" t="n"/>
      <c r="O35" s="100" t="n"/>
      <c r="P35" s="101" t="n"/>
      <c r="Q35" s="100" t="n"/>
      <c r="R35" s="101" t="n"/>
      <c r="S35" s="100" t="n"/>
      <c r="T35" s="101" t="n"/>
      <c r="U35" s="100" t="n"/>
      <c r="V35" s="101" t="n"/>
      <c r="W35" s="183" t="n"/>
      <c r="X35" s="103" t="n"/>
      <c r="Y35" s="104" t="n"/>
      <c r="Z35" s="103" t="n"/>
      <c r="AA35" s="104" t="n"/>
      <c r="AB35" s="103" t="n"/>
      <c r="AC35" s="104" t="n"/>
      <c r="AD35" s="103" t="n"/>
      <c r="AE35" s="104" t="n"/>
      <c r="AF35" s="103" t="n"/>
      <c r="AG35" s="104" t="n"/>
      <c r="AH35" s="103" t="n"/>
      <c r="AI35" s="104" t="n"/>
      <c r="AJ35" s="103" t="n"/>
      <c r="AK35" s="104" t="n"/>
      <c r="AL35" s="103" t="n"/>
      <c r="AM35" s="104" t="n"/>
      <c r="AN35" s="184" t="n"/>
      <c r="AO35" s="106" t="n"/>
      <c r="AP35" s="107" t="n"/>
      <c r="AQ35" s="106" t="n"/>
      <c r="AR35" s="107" t="n"/>
      <c r="AS35" s="106" t="n"/>
      <c r="AT35" s="107" t="n"/>
      <c r="AU35" s="106" t="n"/>
      <c r="AV35" s="107" t="n"/>
      <c r="AW35" s="106" t="n"/>
      <c r="AX35" s="107" t="n"/>
      <c r="AY35" s="106" t="n"/>
      <c r="AZ35" s="107" t="n"/>
      <c r="BA35" s="106" t="n"/>
      <c r="BB35" s="107" t="n"/>
      <c r="BC35" s="106" t="n"/>
      <c r="BD35" s="107" t="n"/>
      <c r="BE35" s="185" t="n"/>
      <c r="BF35" s="109" t="n"/>
      <c r="BG35" s="110" t="n"/>
      <c r="BH35" s="109" t="n"/>
      <c r="BI35" s="110" t="n"/>
      <c r="BJ35" s="109" t="n"/>
      <c r="BK35" s="110" t="n"/>
      <c r="BL35" s="109" t="n"/>
      <c r="BM35" s="110" t="n"/>
      <c r="BN35" s="109" t="n"/>
      <c r="BO35" s="110" t="n"/>
      <c r="BP35" s="109" t="n"/>
      <c r="BQ35" s="110" t="n"/>
      <c r="BR35" s="109" t="n"/>
      <c r="BS35" s="110" t="n"/>
      <c r="BT35" s="109" t="n"/>
      <c r="BU35" s="110" t="n"/>
      <c r="BV35" s="186" t="n"/>
      <c r="BW35" s="112" t="n"/>
      <c r="BX35" s="113" t="n"/>
      <c r="BY35" s="112" t="n"/>
      <c r="BZ35" s="113" t="n"/>
      <c r="CA35" s="112" t="n"/>
      <c r="CB35" s="113" t="n"/>
      <c r="CC35" s="112" t="n"/>
      <c r="CD35" s="113" t="n"/>
      <c r="CE35" s="112" t="n"/>
      <c r="CF35" s="113" t="n"/>
      <c r="CG35" s="112" t="n"/>
      <c r="CH35" s="113" t="n"/>
      <c r="CI35" s="112" t="n"/>
      <c r="CJ35" s="113" t="n"/>
      <c r="CK35" s="112" t="n"/>
      <c r="CL35" s="113" t="n"/>
      <c r="CM35" s="187" t="n"/>
      <c r="CN35" s="115" t="n"/>
      <c r="CO35" s="116" t="n"/>
      <c r="CP35" s="115" t="n"/>
      <c r="CQ35" s="116" t="n"/>
      <c r="CR35" s="115" t="n"/>
      <c r="CS35" s="116" t="n"/>
      <c r="CT35" s="115" t="n"/>
      <c r="CU35" s="116" t="n"/>
      <c r="CV35" s="115" t="n"/>
      <c r="CW35" s="116" t="n"/>
      <c r="CX35" s="115" t="n"/>
      <c r="CY35" s="116" t="n"/>
      <c r="CZ35" s="115" t="n"/>
      <c r="DA35" s="116" t="n"/>
      <c r="DB35" s="115" t="n"/>
      <c r="DC35" s="116" t="n"/>
      <c r="DD35" s="188" t="n"/>
      <c r="DE35" s="118" t="n"/>
      <c r="DF35" s="119" t="n"/>
      <c r="DG35" s="118" t="n"/>
      <c r="DH35" s="119" t="n"/>
      <c r="DI35" s="118" t="n"/>
      <c r="DJ35" s="119" t="n"/>
      <c r="DK35" s="118" t="n"/>
      <c r="DL35" s="119" t="n"/>
      <c r="DM35" s="118" t="n"/>
      <c r="DN35" s="119" t="n"/>
      <c r="DO35" s="118" t="n"/>
      <c r="DP35" s="119" t="n"/>
      <c r="DQ35" s="118" t="n"/>
      <c r="DR35" s="119" t="n"/>
      <c r="DS35" s="118" t="n"/>
      <c r="DT35" s="119" t="n"/>
      <c r="DU35" s="189" t="n"/>
      <c r="DV35" s="121" t="n"/>
      <c r="DW35" s="122" t="n"/>
      <c r="DX35" s="121" t="n"/>
      <c r="DY35" s="122" t="n"/>
      <c r="DZ35" s="121" t="n"/>
      <c r="EA35" s="122" t="n"/>
      <c r="EB35" s="121" t="n"/>
      <c r="EC35" s="122" t="n"/>
      <c r="ED35" s="121" t="n"/>
      <c r="EE35" s="122" t="n"/>
      <c r="EF35" s="121" t="n"/>
      <c r="EG35" s="122" t="n"/>
      <c r="EH35" s="121" t="n"/>
      <c r="EI35" s="122" t="n"/>
      <c r="EJ35" s="121" t="n"/>
      <c r="EK35" s="122" t="n"/>
      <c r="EL35" s="190" t="n"/>
      <c r="EM35" s="124" t="n"/>
      <c r="EN35" s="125" t="n"/>
      <c r="EO35" s="124" t="n"/>
      <c r="EP35" s="125" t="n"/>
      <c r="EQ35" s="124" t="n"/>
      <c r="ER35" s="125" t="n"/>
      <c r="ES35" s="124" t="n"/>
      <c r="ET35" s="125" t="n"/>
      <c r="EU35" s="124" t="n"/>
      <c r="EV35" s="125" t="n"/>
      <c r="EW35" s="124" t="n"/>
      <c r="EX35" s="125" t="n"/>
      <c r="EY35" s="124" t="n"/>
      <c r="EZ35" s="125" t="n"/>
      <c r="FA35" s="124" t="n"/>
      <c r="FB35" s="125" t="n"/>
      <c r="FC35" s="191" t="n"/>
      <c r="FD35" s="127" t="n"/>
      <c r="FE35" s="128" t="n"/>
      <c r="FF35" s="127" t="n"/>
      <c r="FG35" s="128" t="n"/>
      <c r="FH35" s="127" t="n"/>
      <c r="FI35" s="128" t="n"/>
      <c r="FJ35" s="127" t="n"/>
      <c r="FK35" s="128" t="n"/>
      <c r="FL35" s="127" t="n"/>
      <c r="FM35" s="128" t="n"/>
      <c r="FN35" s="127" t="n"/>
      <c r="FO35" s="128" t="n"/>
      <c r="FP35" s="127" t="n"/>
      <c r="FQ35" s="128" t="n"/>
      <c r="FR35" s="127" t="n"/>
      <c r="FS35" s="128" t="n"/>
      <c r="FT35" s="192" t="n"/>
      <c r="FU35" s="130" t="n"/>
      <c r="FV35" s="131" t="n"/>
      <c r="FW35" s="130" t="n"/>
      <c r="FX35" s="131" t="n"/>
      <c r="FY35" s="130" t="n"/>
      <c r="FZ35" s="131" t="n"/>
      <c r="GA35" s="130" t="n"/>
      <c r="GB35" s="131" t="n"/>
      <c r="GC35" s="130" t="n"/>
      <c r="GD35" s="131" t="n"/>
      <c r="GE35" s="130" t="n"/>
      <c r="GF35" s="131" t="n"/>
      <c r="GG35" s="130" t="n"/>
      <c r="GH35" s="131" t="n"/>
      <c r="GI35" s="130" t="n"/>
      <c r="GJ35" s="131" t="n"/>
      <c r="GK35" s="193" t="n"/>
      <c r="GL35" s="133" t="n"/>
      <c r="GM35" s="134" t="n"/>
      <c r="GN35" s="133" t="n"/>
      <c r="GO35" s="134" t="n"/>
      <c r="GP35" s="133" t="n"/>
      <c r="GQ35" s="134" t="n"/>
      <c r="GR35" s="133" t="n"/>
      <c r="GS35" s="134" t="n"/>
      <c r="GT35" s="133" t="n"/>
      <c r="GU35" s="134" t="n"/>
      <c r="GV35" s="133" t="n"/>
      <c r="GW35" s="134" t="n"/>
      <c r="GX35" s="133" t="n"/>
      <c r="GY35" s="134" t="n"/>
      <c r="GZ35" s="133" t="n"/>
      <c r="HA35" s="134" t="n"/>
      <c r="HB35" s="194" t="n"/>
      <c r="HC35">
        <f>SUMIFS($G35:$HB35,$G$46:$HB$46,"&gt;="&amp;$HD$1,$G$46:$HB$46,"&lt;="&amp;$HD$2,$G$29:$HB$29,"&lt;&gt;ملاحظات",$G$28:$HB$28,"&gt;0")</f>
        <v>0</v>
      </c>
      <c r="HD35">
        <f>SUMIFS($G$28:$HB$28,$G$46:$HB$46,"&gt;="&amp;$HD$1,$G$46:$HB$46,"&lt;="&amp;$HD$2,$G$29:$HB$29,"&lt;&gt;ملاحظات",$G35:$HB35,"&gt;=0")</f>
        <v>0</v>
      </c>
    </row>
    <row r="36" ht="22.5" customHeight="1">
      <c r="A36" s="36" t="n">
        <v>7</v>
      </c>
      <c r="B36" s="181" t="str">
        <f>IF($B11="","",$B11)</f>
        <v/>
      </c>
      <c r="C36" s="136" t="str">
        <f>IF(OR($B36="",$HD36=0),"",ROUND($HC36,2)&amp;" / "&amp;$HD36)</f>
        <v/>
      </c>
      <c r="D36" s="182" t="str">
        <f>IF(OR($B36="",$HD36=0),"",$HC36/$HD36)</f>
        <v/>
      </c>
      <c r="E36" s="98" t="str">
        <f>IF($D36="","",RANK($D36,$D$30:$D$44))</f>
        <v/>
      </c>
      <c r="F36" s="99" t="str">
        <f>IF($D36="","",IF($D36&gt;=0.85,"ممتاز",IF($D36&gt;=0.75,"جيد جداً",IF($D36&gt;=0.65,"جيد",IF($D36&gt;=0.5,"مقبول","ضعيف")))))</f>
        <v/>
      </c>
      <c r="G36" s="100" t="n"/>
      <c r="H36" s="101" t="n"/>
      <c r="I36" s="100" t="n"/>
      <c r="J36" s="101" t="n"/>
      <c r="K36" s="100" t="n"/>
      <c r="L36" s="101" t="n"/>
      <c r="M36" s="100" t="n"/>
      <c r="N36" s="101" t="n"/>
      <c r="O36" s="100" t="n"/>
      <c r="P36" s="101" t="n"/>
      <c r="Q36" s="100" t="n"/>
      <c r="R36" s="101" t="n"/>
      <c r="S36" s="100" t="n"/>
      <c r="T36" s="101" t="n"/>
      <c r="U36" s="100" t="n"/>
      <c r="V36" s="101" t="n"/>
      <c r="W36" s="183" t="n"/>
      <c r="X36" s="103" t="n"/>
      <c r="Y36" s="104" t="n"/>
      <c r="Z36" s="103" t="n"/>
      <c r="AA36" s="104" t="n"/>
      <c r="AB36" s="103" t="n"/>
      <c r="AC36" s="104" t="n"/>
      <c r="AD36" s="103" t="n"/>
      <c r="AE36" s="104" t="n"/>
      <c r="AF36" s="103" t="n"/>
      <c r="AG36" s="104" t="n"/>
      <c r="AH36" s="103" t="n"/>
      <c r="AI36" s="104" t="n"/>
      <c r="AJ36" s="103" t="n"/>
      <c r="AK36" s="104" t="n"/>
      <c r="AL36" s="103" t="n"/>
      <c r="AM36" s="104" t="n"/>
      <c r="AN36" s="184" t="n"/>
      <c r="AO36" s="106" t="n"/>
      <c r="AP36" s="107" t="n"/>
      <c r="AQ36" s="106" t="n"/>
      <c r="AR36" s="107" t="n"/>
      <c r="AS36" s="106" t="n"/>
      <c r="AT36" s="107" t="n"/>
      <c r="AU36" s="106" t="n"/>
      <c r="AV36" s="107" t="n"/>
      <c r="AW36" s="106" t="n"/>
      <c r="AX36" s="107" t="n"/>
      <c r="AY36" s="106" t="n"/>
      <c r="AZ36" s="107" t="n"/>
      <c r="BA36" s="106" t="n"/>
      <c r="BB36" s="107" t="n"/>
      <c r="BC36" s="106" t="n"/>
      <c r="BD36" s="107" t="n"/>
      <c r="BE36" s="185" t="n"/>
      <c r="BF36" s="109" t="n"/>
      <c r="BG36" s="110" t="n"/>
      <c r="BH36" s="109" t="n"/>
      <c r="BI36" s="110" t="n"/>
      <c r="BJ36" s="109" t="n"/>
      <c r="BK36" s="110" t="n"/>
      <c r="BL36" s="109" t="n"/>
      <c r="BM36" s="110" t="n"/>
      <c r="BN36" s="109" t="n"/>
      <c r="BO36" s="110" t="n"/>
      <c r="BP36" s="109" t="n"/>
      <c r="BQ36" s="110" t="n"/>
      <c r="BR36" s="109" t="n"/>
      <c r="BS36" s="110" t="n"/>
      <c r="BT36" s="109" t="n"/>
      <c r="BU36" s="110" t="n"/>
      <c r="BV36" s="186" t="n"/>
      <c r="BW36" s="112" t="n"/>
      <c r="BX36" s="113" t="n"/>
      <c r="BY36" s="112" t="n"/>
      <c r="BZ36" s="113" t="n"/>
      <c r="CA36" s="112" t="n"/>
      <c r="CB36" s="113" t="n"/>
      <c r="CC36" s="112" t="n"/>
      <c r="CD36" s="113" t="n"/>
      <c r="CE36" s="112" t="n"/>
      <c r="CF36" s="113" t="n"/>
      <c r="CG36" s="112" t="n"/>
      <c r="CH36" s="113" t="n"/>
      <c r="CI36" s="112" t="n"/>
      <c r="CJ36" s="113" t="n"/>
      <c r="CK36" s="112" t="n"/>
      <c r="CL36" s="113" t="n"/>
      <c r="CM36" s="187" t="n"/>
      <c r="CN36" s="115" t="n"/>
      <c r="CO36" s="116" t="n"/>
      <c r="CP36" s="115" t="n"/>
      <c r="CQ36" s="116" t="n"/>
      <c r="CR36" s="115" t="n"/>
      <c r="CS36" s="116" t="n"/>
      <c r="CT36" s="115" t="n"/>
      <c r="CU36" s="116" t="n"/>
      <c r="CV36" s="115" t="n"/>
      <c r="CW36" s="116" t="n"/>
      <c r="CX36" s="115" t="n"/>
      <c r="CY36" s="116" t="n"/>
      <c r="CZ36" s="115" t="n"/>
      <c r="DA36" s="116" t="n"/>
      <c r="DB36" s="115" t="n"/>
      <c r="DC36" s="116" t="n"/>
      <c r="DD36" s="188" t="n"/>
      <c r="DE36" s="118" t="n"/>
      <c r="DF36" s="119" t="n"/>
      <c r="DG36" s="118" t="n"/>
      <c r="DH36" s="119" t="n"/>
      <c r="DI36" s="118" t="n"/>
      <c r="DJ36" s="119" t="n"/>
      <c r="DK36" s="118" t="n"/>
      <c r="DL36" s="119" t="n"/>
      <c r="DM36" s="118" t="n"/>
      <c r="DN36" s="119" t="n"/>
      <c r="DO36" s="118" t="n"/>
      <c r="DP36" s="119" t="n"/>
      <c r="DQ36" s="118" t="n"/>
      <c r="DR36" s="119" t="n"/>
      <c r="DS36" s="118" t="n"/>
      <c r="DT36" s="119" t="n"/>
      <c r="DU36" s="189" t="n"/>
      <c r="DV36" s="121" t="n"/>
      <c r="DW36" s="122" t="n"/>
      <c r="DX36" s="121" t="n"/>
      <c r="DY36" s="122" t="n"/>
      <c r="DZ36" s="121" t="n"/>
      <c r="EA36" s="122" t="n"/>
      <c r="EB36" s="121" t="n"/>
      <c r="EC36" s="122" t="n"/>
      <c r="ED36" s="121" t="n"/>
      <c r="EE36" s="122" t="n"/>
      <c r="EF36" s="121" t="n"/>
      <c r="EG36" s="122" t="n"/>
      <c r="EH36" s="121" t="n"/>
      <c r="EI36" s="122" t="n"/>
      <c r="EJ36" s="121" t="n"/>
      <c r="EK36" s="122" t="n"/>
      <c r="EL36" s="190" t="n"/>
      <c r="EM36" s="124" t="n"/>
      <c r="EN36" s="125" t="n"/>
      <c r="EO36" s="124" t="n"/>
      <c r="EP36" s="125" t="n"/>
      <c r="EQ36" s="124" t="n"/>
      <c r="ER36" s="125" t="n"/>
      <c r="ES36" s="124" t="n"/>
      <c r="ET36" s="125" t="n"/>
      <c r="EU36" s="124" t="n"/>
      <c r="EV36" s="125" t="n"/>
      <c r="EW36" s="124" t="n"/>
      <c r="EX36" s="125" t="n"/>
      <c r="EY36" s="124" t="n"/>
      <c r="EZ36" s="125" t="n"/>
      <c r="FA36" s="124" t="n"/>
      <c r="FB36" s="125" t="n"/>
      <c r="FC36" s="191" t="n"/>
      <c r="FD36" s="127" t="n"/>
      <c r="FE36" s="128" t="n"/>
      <c r="FF36" s="127" t="n"/>
      <c r="FG36" s="128" t="n"/>
      <c r="FH36" s="127" t="n"/>
      <c r="FI36" s="128" t="n"/>
      <c r="FJ36" s="127" t="n"/>
      <c r="FK36" s="128" t="n"/>
      <c r="FL36" s="127" t="n"/>
      <c r="FM36" s="128" t="n"/>
      <c r="FN36" s="127" t="n"/>
      <c r="FO36" s="128" t="n"/>
      <c r="FP36" s="127" t="n"/>
      <c r="FQ36" s="128" t="n"/>
      <c r="FR36" s="127" t="n"/>
      <c r="FS36" s="128" t="n"/>
      <c r="FT36" s="192" t="n"/>
      <c r="FU36" s="130" t="n"/>
      <c r="FV36" s="131" t="n"/>
      <c r="FW36" s="130" t="n"/>
      <c r="FX36" s="131" t="n"/>
      <c r="FY36" s="130" t="n"/>
      <c r="FZ36" s="131" t="n"/>
      <c r="GA36" s="130" t="n"/>
      <c r="GB36" s="131" t="n"/>
      <c r="GC36" s="130" t="n"/>
      <c r="GD36" s="131" t="n"/>
      <c r="GE36" s="130" t="n"/>
      <c r="GF36" s="131" t="n"/>
      <c r="GG36" s="130" t="n"/>
      <c r="GH36" s="131" t="n"/>
      <c r="GI36" s="130" t="n"/>
      <c r="GJ36" s="131" t="n"/>
      <c r="GK36" s="193" t="n"/>
      <c r="GL36" s="133" t="n"/>
      <c r="GM36" s="134" t="n"/>
      <c r="GN36" s="133" t="n"/>
      <c r="GO36" s="134" t="n"/>
      <c r="GP36" s="133" t="n"/>
      <c r="GQ36" s="134" t="n"/>
      <c r="GR36" s="133" t="n"/>
      <c r="GS36" s="134" t="n"/>
      <c r="GT36" s="133" t="n"/>
      <c r="GU36" s="134" t="n"/>
      <c r="GV36" s="133" t="n"/>
      <c r="GW36" s="134" t="n"/>
      <c r="GX36" s="133" t="n"/>
      <c r="GY36" s="134" t="n"/>
      <c r="GZ36" s="133" t="n"/>
      <c r="HA36" s="134" t="n"/>
      <c r="HB36" s="194" t="n"/>
      <c r="HC36">
        <f>SUMIFS($G36:$HB36,$G$46:$HB$46,"&gt;="&amp;$HD$1,$G$46:$HB$46,"&lt;="&amp;$HD$2,$G$29:$HB$29,"&lt;&gt;ملاحظات",$G$28:$HB$28,"&gt;0")</f>
        <v>0</v>
      </c>
      <c r="HD36">
        <f>SUMIFS($G$28:$HB$28,$G$46:$HB$46,"&gt;="&amp;$HD$1,$G$46:$HB$46,"&lt;="&amp;$HD$2,$G$29:$HB$29,"&lt;&gt;ملاحظات",$G36:$HB36,"&gt;=0")</f>
        <v>0</v>
      </c>
    </row>
    <row r="37" ht="22.5" customHeight="1">
      <c r="A37" s="36" t="n">
        <v>8</v>
      </c>
      <c r="B37" s="181" t="str">
        <f>IF($B12="","",$B12)</f>
        <v/>
      </c>
      <c r="C37" s="136" t="str">
        <f>IF(OR($B37="",$HD37=0),"",ROUND($HC37,2)&amp;" / "&amp;$HD37)</f>
        <v/>
      </c>
      <c r="D37" s="182" t="str">
        <f>IF(OR($B37="",$HD37=0),"",$HC37/$HD37)</f>
        <v/>
      </c>
      <c r="E37" s="98" t="str">
        <f>IF($D37="","",RANK($D37,$D$30:$D$44))</f>
        <v/>
      </c>
      <c r="F37" s="99" t="str">
        <f>IF($D37="","",IF($D37&gt;=0.85,"ممتاز",IF($D37&gt;=0.75,"جيد جداً",IF($D37&gt;=0.65,"جيد",IF($D37&gt;=0.5,"مقبول","ضعيف")))))</f>
        <v/>
      </c>
      <c r="G37" s="100" t="n"/>
      <c r="H37" s="101" t="n"/>
      <c r="I37" s="100" t="n"/>
      <c r="J37" s="101" t="n"/>
      <c r="K37" s="100" t="n"/>
      <c r="L37" s="101" t="n"/>
      <c r="M37" s="100" t="n"/>
      <c r="N37" s="101" t="n"/>
      <c r="O37" s="100" t="n"/>
      <c r="P37" s="101" t="n"/>
      <c r="Q37" s="100" t="n"/>
      <c r="R37" s="101" t="n"/>
      <c r="S37" s="100" t="n"/>
      <c r="T37" s="101" t="n"/>
      <c r="U37" s="100" t="n"/>
      <c r="V37" s="101" t="n"/>
      <c r="W37" s="183" t="n"/>
      <c r="X37" s="103" t="n"/>
      <c r="Y37" s="104" t="n"/>
      <c r="Z37" s="103" t="n"/>
      <c r="AA37" s="104" t="n"/>
      <c r="AB37" s="103" t="n"/>
      <c r="AC37" s="104" t="n"/>
      <c r="AD37" s="103" t="n"/>
      <c r="AE37" s="104" t="n"/>
      <c r="AF37" s="103" t="n"/>
      <c r="AG37" s="104" t="n"/>
      <c r="AH37" s="103" t="n"/>
      <c r="AI37" s="104" t="n"/>
      <c r="AJ37" s="103" t="n"/>
      <c r="AK37" s="104" t="n"/>
      <c r="AL37" s="103" t="n"/>
      <c r="AM37" s="104" t="n"/>
      <c r="AN37" s="184" t="n"/>
      <c r="AO37" s="106" t="n"/>
      <c r="AP37" s="107" t="n"/>
      <c r="AQ37" s="106" t="n"/>
      <c r="AR37" s="107" t="n"/>
      <c r="AS37" s="106" t="n"/>
      <c r="AT37" s="107" t="n"/>
      <c r="AU37" s="106" t="n"/>
      <c r="AV37" s="107" t="n"/>
      <c r="AW37" s="106" t="n"/>
      <c r="AX37" s="107" t="n"/>
      <c r="AY37" s="106" t="n"/>
      <c r="AZ37" s="107" t="n"/>
      <c r="BA37" s="106" t="n"/>
      <c r="BB37" s="107" t="n"/>
      <c r="BC37" s="106" t="n"/>
      <c r="BD37" s="107" t="n"/>
      <c r="BE37" s="185" t="n"/>
      <c r="BF37" s="109" t="n"/>
      <c r="BG37" s="110" t="n"/>
      <c r="BH37" s="109" t="n"/>
      <c r="BI37" s="110" t="n"/>
      <c r="BJ37" s="109" t="n"/>
      <c r="BK37" s="110" t="n"/>
      <c r="BL37" s="109" t="n"/>
      <c r="BM37" s="110" t="n"/>
      <c r="BN37" s="109" t="n"/>
      <c r="BO37" s="110" t="n"/>
      <c r="BP37" s="109" t="n"/>
      <c r="BQ37" s="110" t="n"/>
      <c r="BR37" s="109" t="n"/>
      <c r="BS37" s="110" t="n"/>
      <c r="BT37" s="109" t="n"/>
      <c r="BU37" s="110" t="n"/>
      <c r="BV37" s="186" t="n"/>
      <c r="BW37" s="112" t="n"/>
      <c r="BX37" s="113" t="n"/>
      <c r="BY37" s="112" t="n"/>
      <c r="BZ37" s="113" t="n"/>
      <c r="CA37" s="112" t="n"/>
      <c r="CB37" s="113" t="n"/>
      <c r="CC37" s="112" t="n"/>
      <c r="CD37" s="113" t="n"/>
      <c r="CE37" s="112" t="n"/>
      <c r="CF37" s="113" t="n"/>
      <c r="CG37" s="112" t="n"/>
      <c r="CH37" s="113" t="n"/>
      <c r="CI37" s="112" t="n"/>
      <c r="CJ37" s="113" t="n"/>
      <c r="CK37" s="112" t="n"/>
      <c r="CL37" s="113" t="n"/>
      <c r="CM37" s="187" t="n"/>
      <c r="CN37" s="115" t="n"/>
      <c r="CO37" s="116" t="n"/>
      <c r="CP37" s="115" t="n"/>
      <c r="CQ37" s="116" t="n"/>
      <c r="CR37" s="115" t="n"/>
      <c r="CS37" s="116" t="n"/>
      <c r="CT37" s="115" t="n"/>
      <c r="CU37" s="116" t="n"/>
      <c r="CV37" s="115" t="n"/>
      <c r="CW37" s="116" t="n"/>
      <c r="CX37" s="115" t="n"/>
      <c r="CY37" s="116" t="n"/>
      <c r="CZ37" s="115" t="n"/>
      <c r="DA37" s="116" t="n"/>
      <c r="DB37" s="115" t="n"/>
      <c r="DC37" s="116" t="n"/>
      <c r="DD37" s="188" t="n"/>
      <c r="DE37" s="118" t="n"/>
      <c r="DF37" s="119" t="n"/>
      <c r="DG37" s="118" t="n"/>
      <c r="DH37" s="119" t="n"/>
      <c r="DI37" s="118" t="n"/>
      <c r="DJ37" s="119" t="n"/>
      <c r="DK37" s="118" t="n"/>
      <c r="DL37" s="119" t="n"/>
      <c r="DM37" s="118" t="n"/>
      <c r="DN37" s="119" t="n"/>
      <c r="DO37" s="118" t="n"/>
      <c r="DP37" s="119" t="n"/>
      <c r="DQ37" s="118" t="n"/>
      <c r="DR37" s="119" t="n"/>
      <c r="DS37" s="118" t="n"/>
      <c r="DT37" s="119" t="n"/>
      <c r="DU37" s="189" t="n"/>
      <c r="DV37" s="121" t="n"/>
      <c r="DW37" s="122" t="n"/>
      <c r="DX37" s="121" t="n"/>
      <c r="DY37" s="122" t="n"/>
      <c r="DZ37" s="121" t="n"/>
      <c r="EA37" s="122" t="n"/>
      <c r="EB37" s="121" t="n"/>
      <c r="EC37" s="122" t="n"/>
      <c r="ED37" s="121" t="n"/>
      <c r="EE37" s="122" t="n"/>
      <c r="EF37" s="121" t="n"/>
      <c r="EG37" s="122" t="n"/>
      <c r="EH37" s="121" t="n"/>
      <c r="EI37" s="122" t="n"/>
      <c r="EJ37" s="121" t="n"/>
      <c r="EK37" s="122" t="n"/>
      <c r="EL37" s="190" t="n"/>
      <c r="EM37" s="124" t="n"/>
      <c r="EN37" s="125" t="n"/>
      <c r="EO37" s="124" t="n"/>
      <c r="EP37" s="125" t="n"/>
      <c r="EQ37" s="124" t="n"/>
      <c r="ER37" s="125" t="n"/>
      <c r="ES37" s="124" t="n"/>
      <c r="ET37" s="125" t="n"/>
      <c r="EU37" s="124" t="n"/>
      <c r="EV37" s="125" t="n"/>
      <c r="EW37" s="124" t="n"/>
      <c r="EX37" s="125" t="n"/>
      <c r="EY37" s="124" t="n"/>
      <c r="EZ37" s="125" t="n"/>
      <c r="FA37" s="124" t="n"/>
      <c r="FB37" s="125" t="n"/>
      <c r="FC37" s="191" t="n"/>
      <c r="FD37" s="127" t="n"/>
      <c r="FE37" s="128" t="n"/>
      <c r="FF37" s="127" t="n"/>
      <c r="FG37" s="128" t="n"/>
      <c r="FH37" s="127" t="n"/>
      <c r="FI37" s="128" t="n"/>
      <c r="FJ37" s="127" t="n"/>
      <c r="FK37" s="128" t="n"/>
      <c r="FL37" s="127" t="n"/>
      <c r="FM37" s="128" t="n"/>
      <c r="FN37" s="127" t="n"/>
      <c r="FO37" s="128" t="n"/>
      <c r="FP37" s="127" t="n"/>
      <c r="FQ37" s="128" t="n"/>
      <c r="FR37" s="127" t="n"/>
      <c r="FS37" s="128" t="n"/>
      <c r="FT37" s="192" t="n"/>
      <c r="FU37" s="130" t="n"/>
      <c r="FV37" s="131" t="n"/>
      <c r="FW37" s="130" t="n"/>
      <c r="FX37" s="131" t="n"/>
      <c r="FY37" s="130" t="n"/>
      <c r="FZ37" s="131" t="n"/>
      <c r="GA37" s="130" t="n"/>
      <c r="GB37" s="131" t="n"/>
      <c r="GC37" s="130" t="n"/>
      <c r="GD37" s="131" t="n"/>
      <c r="GE37" s="130" t="n"/>
      <c r="GF37" s="131" t="n"/>
      <c r="GG37" s="130" t="n"/>
      <c r="GH37" s="131" t="n"/>
      <c r="GI37" s="130" t="n"/>
      <c r="GJ37" s="131" t="n"/>
      <c r="GK37" s="193" t="n"/>
      <c r="GL37" s="133" t="n"/>
      <c r="GM37" s="134" t="n"/>
      <c r="GN37" s="133" t="n"/>
      <c r="GO37" s="134" t="n"/>
      <c r="GP37" s="133" t="n"/>
      <c r="GQ37" s="134" t="n"/>
      <c r="GR37" s="133" t="n"/>
      <c r="GS37" s="134" t="n"/>
      <c r="GT37" s="133" t="n"/>
      <c r="GU37" s="134" t="n"/>
      <c r="GV37" s="133" t="n"/>
      <c r="GW37" s="134" t="n"/>
      <c r="GX37" s="133" t="n"/>
      <c r="GY37" s="134" t="n"/>
      <c r="GZ37" s="133" t="n"/>
      <c r="HA37" s="134" t="n"/>
      <c r="HB37" s="194" t="n"/>
      <c r="HC37">
        <f>SUMIFS($G37:$HB37,$G$46:$HB$46,"&gt;="&amp;$HD$1,$G$46:$HB$46,"&lt;="&amp;$HD$2,$G$29:$HB$29,"&lt;&gt;ملاحظات",$G$28:$HB$28,"&gt;0")</f>
        <v>0</v>
      </c>
      <c r="HD37">
        <f>SUMIFS($G$28:$HB$28,$G$46:$HB$46,"&gt;="&amp;$HD$1,$G$46:$HB$46,"&lt;="&amp;$HD$2,$G$29:$HB$29,"&lt;&gt;ملاحظات",$G37:$HB37,"&gt;=0")</f>
        <v>0</v>
      </c>
    </row>
    <row r="38" ht="22.5" customHeight="1">
      <c r="A38" s="36" t="n">
        <v>9</v>
      </c>
      <c r="B38" s="181" t="str">
        <f>IF($B13="","",$B13)</f>
        <v/>
      </c>
      <c r="C38" s="136" t="str">
        <f>IF(OR($B38="",$HD38=0),"",ROUND($HC38,2)&amp;" / "&amp;$HD38)</f>
        <v/>
      </c>
      <c r="D38" s="182" t="str">
        <f>IF(OR($B38="",$HD38=0),"",$HC38/$HD38)</f>
        <v/>
      </c>
      <c r="E38" s="98" t="str">
        <f>IF($D38="","",RANK($D38,$D$30:$D$44))</f>
        <v/>
      </c>
      <c r="F38" s="99" t="str">
        <f>IF($D38="","",IF($D38&gt;=0.85,"ممتاز",IF($D38&gt;=0.75,"جيد جداً",IF($D38&gt;=0.65,"جيد",IF($D38&gt;=0.5,"مقبول","ضعيف")))))</f>
        <v/>
      </c>
      <c r="G38" s="100" t="n"/>
      <c r="H38" s="101" t="n"/>
      <c r="I38" s="100" t="n"/>
      <c r="J38" s="101" t="n"/>
      <c r="K38" s="100" t="n"/>
      <c r="L38" s="101" t="n"/>
      <c r="M38" s="100" t="n"/>
      <c r="N38" s="101" t="n"/>
      <c r="O38" s="100" t="n"/>
      <c r="P38" s="101" t="n"/>
      <c r="Q38" s="100" t="n"/>
      <c r="R38" s="101" t="n"/>
      <c r="S38" s="100" t="n"/>
      <c r="T38" s="101" t="n"/>
      <c r="U38" s="100" t="n"/>
      <c r="V38" s="101" t="n"/>
      <c r="W38" s="183" t="n"/>
      <c r="X38" s="103" t="n"/>
      <c r="Y38" s="104" t="n"/>
      <c r="Z38" s="103" t="n"/>
      <c r="AA38" s="104" t="n"/>
      <c r="AB38" s="103" t="n"/>
      <c r="AC38" s="104" t="n"/>
      <c r="AD38" s="103" t="n"/>
      <c r="AE38" s="104" t="n"/>
      <c r="AF38" s="103" t="n"/>
      <c r="AG38" s="104" t="n"/>
      <c r="AH38" s="103" t="n"/>
      <c r="AI38" s="104" t="n"/>
      <c r="AJ38" s="103" t="n"/>
      <c r="AK38" s="104" t="n"/>
      <c r="AL38" s="103" t="n"/>
      <c r="AM38" s="104" t="n"/>
      <c r="AN38" s="184" t="n"/>
      <c r="AO38" s="106" t="n"/>
      <c r="AP38" s="107" t="n"/>
      <c r="AQ38" s="106" t="n"/>
      <c r="AR38" s="107" t="n"/>
      <c r="AS38" s="106" t="n"/>
      <c r="AT38" s="107" t="n"/>
      <c r="AU38" s="106" t="n"/>
      <c r="AV38" s="107" t="n"/>
      <c r="AW38" s="106" t="n"/>
      <c r="AX38" s="107" t="n"/>
      <c r="AY38" s="106" t="n"/>
      <c r="AZ38" s="107" t="n"/>
      <c r="BA38" s="106" t="n"/>
      <c r="BB38" s="107" t="n"/>
      <c r="BC38" s="106" t="n"/>
      <c r="BD38" s="107" t="n"/>
      <c r="BE38" s="185" t="n"/>
      <c r="BF38" s="109" t="n"/>
      <c r="BG38" s="110" t="n"/>
      <c r="BH38" s="109" t="n"/>
      <c r="BI38" s="110" t="n"/>
      <c r="BJ38" s="109" t="n"/>
      <c r="BK38" s="110" t="n"/>
      <c r="BL38" s="109" t="n"/>
      <c r="BM38" s="110" t="n"/>
      <c r="BN38" s="109" t="n"/>
      <c r="BO38" s="110" t="n"/>
      <c r="BP38" s="109" t="n"/>
      <c r="BQ38" s="110" t="n"/>
      <c r="BR38" s="109" t="n"/>
      <c r="BS38" s="110" t="n"/>
      <c r="BT38" s="109" t="n"/>
      <c r="BU38" s="110" t="n"/>
      <c r="BV38" s="186" t="n"/>
      <c r="BW38" s="112" t="n"/>
      <c r="BX38" s="113" t="n"/>
      <c r="BY38" s="112" t="n"/>
      <c r="BZ38" s="113" t="n"/>
      <c r="CA38" s="112" t="n"/>
      <c r="CB38" s="113" t="n"/>
      <c r="CC38" s="112" t="n"/>
      <c r="CD38" s="113" t="n"/>
      <c r="CE38" s="112" t="n"/>
      <c r="CF38" s="113" t="n"/>
      <c r="CG38" s="112" t="n"/>
      <c r="CH38" s="113" t="n"/>
      <c r="CI38" s="112" t="n"/>
      <c r="CJ38" s="113" t="n"/>
      <c r="CK38" s="112" t="n"/>
      <c r="CL38" s="113" t="n"/>
      <c r="CM38" s="187" t="n"/>
      <c r="CN38" s="115" t="n"/>
      <c r="CO38" s="116" t="n"/>
      <c r="CP38" s="115" t="n"/>
      <c r="CQ38" s="116" t="n"/>
      <c r="CR38" s="115" t="n"/>
      <c r="CS38" s="116" t="n"/>
      <c r="CT38" s="115" t="n"/>
      <c r="CU38" s="116" t="n"/>
      <c r="CV38" s="115" t="n"/>
      <c r="CW38" s="116" t="n"/>
      <c r="CX38" s="115" t="n"/>
      <c r="CY38" s="116" t="n"/>
      <c r="CZ38" s="115" t="n"/>
      <c r="DA38" s="116" t="n"/>
      <c r="DB38" s="115" t="n"/>
      <c r="DC38" s="116" t="n"/>
      <c r="DD38" s="188" t="n"/>
      <c r="DE38" s="118" t="n"/>
      <c r="DF38" s="119" t="n"/>
      <c r="DG38" s="118" t="n"/>
      <c r="DH38" s="119" t="n"/>
      <c r="DI38" s="118" t="n"/>
      <c r="DJ38" s="119" t="n"/>
      <c r="DK38" s="118" t="n"/>
      <c r="DL38" s="119" t="n"/>
      <c r="DM38" s="118" t="n"/>
      <c r="DN38" s="119" t="n"/>
      <c r="DO38" s="118" t="n"/>
      <c r="DP38" s="119" t="n"/>
      <c r="DQ38" s="118" t="n"/>
      <c r="DR38" s="119" t="n"/>
      <c r="DS38" s="118" t="n"/>
      <c r="DT38" s="119" t="n"/>
      <c r="DU38" s="189" t="n"/>
      <c r="DV38" s="121" t="n"/>
      <c r="DW38" s="122" t="n"/>
      <c r="DX38" s="121" t="n"/>
      <c r="DY38" s="122" t="n"/>
      <c r="DZ38" s="121" t="n"/>
      <c r="EA38" s="122" t="n"/>
      <c r="EB38" s="121" t="n"/>
      <c r="EC38" s="122" t="n"/>
      <c r="ED38" s="121" t="n"/>
      <c r="EE38" s="122" t="n"/>
      <c r="EF38" s="121" t="n"/>
      <c r="EG38" s="122" t="n"/>
      <c r="EH38" s="121" t="n"/>
      <c r="EI38" s="122" t="n"/>
      <c r="EJ38" s="121" t="n"/>
      <c r="EK38" s="122" t="n"/>
      <c r="EL38" s="190" t="n"/>
      <c r="EM38" s="124" t="n"/>
      <c r="EN38" s="125" t="n"/>
      <c r="EO38" s="124" t="n"/>
      <c r="EP38" s="125" t="n"/>
      <c r="EQ38" s="124" t="n"/>
      <c r="ER38" s="125" t="n"/>
      <c r="ES38" s="124" t="n"/>
      <c r="ET38" s="125" t="n"/>
      <c r="EU38" s="124" t="n"/>
      <c r="EV38" s="125" t="n"/>
      <c r="EW38" s="124" t="n"/>
      <c r="EX38" s="125" t="n"/>
      <c r="EY38" s="124" t="n"/>
      <c r="EZ38" s="125" t="n"/>
      <c r="FA38" s="124" t="n"/>
      <c r="FB38" s="125" t="n"/>
      <c r="FC38" s="191" t="n"/>
      <c r="FD38" s="127" t="n"/>
      <c r="FE38" s="128" t="n"/>
      <c r="FF38" s="127" t="n"/>
      <c r="FG38" s="128" t="n"/>
      <c r="FH38" s="127" t="n"/>
      <c r="FI38" s="128" t="n"/>
      <c r="FJ38" s="127" t="n"/>
      <c r="FK38" s="128" t="n"/>
      <c r="FL38" s="127" t="n"/>
      <c r="FM38" s="128" t="n"/>
      <c r="FN38" s="127" t="n"/>
      <c r="FO38" s="128" t="n"/>
      <c r="FP38" s="127" t="n"/>
      <c r="FQ38" s="128" t="n"/>
      <c r="FR38" s="127" t="n"/>
      <c r="FS38" s="128" t="n"/>
      <c r="FT38" s="192" t="n"/>
      <c r="FU38" s="130" t="n"/>
      <c r="FV38" s="131" t="n"/>
      <c r="FW38" s="130" t="n"/>
      <c r="FX38" s="131" t="n"/>
      <c r="FY38" s="130" t="n"/>
      <c r="FZ38" s="131" t="n"/>
      <c r="GA38" s="130" t="n"/>
      <c r="GB38" s="131" t="n"/>
      <c r="GC38" s="130" t="n"/>
      <c r="GD38" s="131" t="n"/>
      <c r="GE38" s="130" t="n"/>
      <c r="GF38" s="131" t="n"/>
      <c r="GG38" s="130" t="n"/>
      <c r="GH38" s="131" t="n"/>
      <c r="GI38" s="130" t="n"/>
      <c r="GJ38" s="131" t="n"/>
      <c r="GK38" s="193" t="n"/>
      <c r="GL38" s="133" t="n"/>
      <c r="GM38" s="134" t="n"/>
      <c r="GN38" s="133" t="n"/>
      <c r="GO38" s="134" t="n"/>
      <c r="GP38" s="133" t="n"/>
      <c r="GQ38" s="134" t="n"/>
      <c r="GR38" s="133" t="n"/>
      <c r="GS38" s="134" t="n"/>
      <c r="GT38" s="133" t="n"/>
      <c r="GU38" s="134" t="n"/>
      <c r="GV38" s="133" t="n"/>
      <c r="GW38" s="134" t="n"/>
      <c r="GX38" s="133" t="n"/>
      <c r="GY38" s="134" t="n"/>
      <c r="GZ38" s="133" t="n"/>
      <c r="HA38" s="134" t="n"/>
      <c r="HB38" s="194" t="n"/>
      <c r="HC38">
        <f>SUMIFS($G38:$HB38,$G$46:$HB$46,"&gt;="&amp;$HD$1,$G$46:$HB$46,"&lt;="&amp;$HD$2,$G$29:$HB$29,"&lt;&gt;ملاحظات",$G$28:$HB$28,"&gt;0")</f>
        <v>0</v>
      </c>
      <c r="HD38">
        <f>SUMIFS($G$28:$HB$28,$G$46:$HB$46,"&gt;="&amp;$HD$1,$G$46:$HB$46,"&lt;="&amp;$HD$2,$G$29:$HB$29,"&lt;&gt;ملاحظات",$G38:$HB38,"&gt;=0")</f>
        <v>0</v>
      </c>
    </row>
    <row r="39" ht="22.5" customHeight="1">
      <c r="A39" s="36" t="n">
        <v>10</v>
      </c>
      <c r="B39" s="181" t="str">
        <f>IF($B14="","",$B14)</f>
        <v/>
      </c>
      <c r="C39" s="136" t="str">
        <f>IF(OR($B39="",$HD39=0),"",ROUND($HC39,2)&amp;" / "&amp;$HD39)</f>
        <v/>
      </c>
      <c r="D39" s="182" t="str">
        <f>IF(OR($B39="",$HD39=0),"",$HC39/$HD39)</f>
        <v/>
      </c>
      <c r="E39" s="98" t="str">
        <f>IF($D39="","",RANK($D39,$D$30:$D$44))</f>
        <v/>
      </c>
      <c r="F39" s="99" t="str">
        <f>IF($D39="","",IF($D39&gt;=0.85,"ممتاز",IF($D39&gt;=0.75,"جيد جداً",IF($D39&gt;=0.65,"جيد",IF($D39&gt;=0.5,"مقبول","ضعيف")))))</f>
        <v/>
      </c>
      <c r="G39" s="100" t="n"/>
      <c r="H39" s="101" t="n"/>
      <c r="I39" s="100" t="n"/>
      <c r="J39" s="101" t="n"/>
      <c r="K39" s="100" t="n"/>
      <c r="L39" s="101" t="n"/>
      <c r="M39" s="100" t="n"/>
      <c r="N39" s="101" t="n"/>
      <c r="O39" s="100" t="n"/>
      <c r="P39" s="101" t="n"/>
      <c r="Q39" s="100" t="n"/>
      <c r="R39" s="101" t="n"/>
      <c r="S39" s="100" t="n"/>
      <c r="T39" s="101" t="n"/>
      <c r="U39" s="100" t="n"/>
      <c r="V39" s="101" t="n"/>
      <c r="W39" s="183" t="n"/>
      <c r="X39" s="103" t="n"/>
      <c r="Y39" s="104" t="n"/>
      <c r="Z39" s="103" t="n"/>
      <c r="AA39" s="104" t="n"/>
      <c r="AB39" s="103" t="n"/>
      <c r="AC39" s="104" t="n"/>
      <c r="AD39" s="103" t="n"/>
      <c r="AE39" s="104" t="n"/>
      <c r="AF39" s="103" t="n"/>
      <c r="AG39" s="104" t="n"/>
      <c r="AH39" s="103" t="n"/>
      <c r="AI39" s="104" t="n"/>
      <c r="AJ39" s="103" t="n"/>
      <c r="AK39" s="104" t="n"/>
      <c r="AL39" s="103" t="n"/>
      <c r="AM39" s="104" t="n"/>
      <c r="AN39" s="184" t="n"/>
      <c r="AO39" s="106" t="n"/>
      <c r="AP39" s="107" t="n"/>
      <c r="AQ39" s="106" t="n"/>
      <c r="AR39" s="107" t="n"/>
      <c r="AS39" s="106" t="n"/>
      <c r="AT39" s="107" t="n"/>
      <c r="AU39" s="106" t="n"/>
      <c r="AV39" s="107" t="n"/>
      <c r="AW39" s="106" t="n"/>
      <c r="AX39" s="107" t="n"/>
      <c r="AY39" s="106" t="n"/>
      <c r="AZ39" s="107" t="n"/>
      <c r="BA39" s="106" t="n"/>
      <c r="BB39" s="107" t="n"/>
      <c r="BC39" s="106" t="n"/>
      <c r="BD39" s="107" t="n"/>
      <c r="BE39" s="185" t="n"/>
      <c r="BF39" s="109" t="n"/>
      <c r="BG39" s="110" t="n"/>
      <c r="BH39" s="109" t="n"/>
      <c r="BI39" s="110" t="n"/>
      <c r="BJ39" s="109" t="n"/>
      <c r="BK39" s="110" t="n"/>
      <c r="BL39" s="109" t="n"/>
      <c r="BM39" s="110" t="n"/>
      <c r="BN39" s="109" t="n"/>
      <c r="BO39" s="110" t="n"/>
      <c r="BP39" s="109" t="n"/>
      <c r="BQ39" s="110" t="n"/>
      <c r="BR39" s="109" t="n"/>
      <c r="BS39" s="110" t="n"/>
      <c r="BT39" s="109" t="n"/>
      <c r="BU39" s="110" t="n"/>
      <c r="BV39" s="186" t="n"/>
      <c r="BW39" s="112" t="n"/>
      <c r="BX39" s="113" t="n"/>
      <c r="BY39" s="112" t="n"/>
      <c r="BZ39" s="113" t="n"/>
      <c r="CA39" s="112" t="n"/>
      <c r="CB39" s="113" t="n"/>
      <c r="CC39" s="112" t="n"/>
      <c r="CD39" s="113" t="n"/>
      <c r="CE39" s="112" t="n"/>
      <c r="CF39" s="113" t="n"/>
      <c r="CG39" s="112" t="n"/>
      <c r="CH39" s="113" t="n"/>
      <c r="CI39" s="112" t="n"/>
      <c r="CJ39" s="113" t="n"/>
      <c r="CK39" s="112" t="n"/>
      <c r="CL39" s="113" t="n"/>
      <c r="CM39" s="187" t="n"/>
      <c r="CN39" s="115" t="n"/>
      <c r="CO39" s="116" t="n"/>
      <c r="CP39" s="115" t="n"/>
      <c r="CQ39" s="116" t="n"/>
      <c r="CR39" s="115" t="n"/>
      <c r="CS39" s="116" t="n"/>
      <c r="CT39" s="115" t="n"/>
      <c r="CU39" s="116" t="n"/>
      <c r="CV39" s="115" t="n"/>
      <c r="CW39" s="116" t="n"/>
      <c r="CX39" s="115" t="n"/>
      <c r="CY39" s="116" t="n"/>
      <c r="CZ39" s="115" t="n"/>
      <c r="DA39" s="116" t="n"/>
      <c r="DB39" s="115" t="n"/>
      <c r="DC39" s="116" t="n"/>
      <c r="DD39" s="188" t="n"/>
      <c r="DE39" s="118" t="n"/>
      <c r="DF39" s="119" t="n"/>
      <c r="DG39" s="118" t="n"/>
      <c r="DH39" s="119" t="n"/>
      <c r="DI39" s="118" t="n"/>
      <c r="DJ39" s="119" t="n"/>
      <c r="DK39" s="118" t="n"/>
      <c r="DL39" s="119" t="n"/>
      <c r="DM39" s="118" t="n"/>
      <c r="DN39" s="119" t="n"/>
      <c r="DO39" s="118" t="n"/>
      <c r="DP39" s="119" t="n"/>
      <c r="DQ39" s="118" t="n"/>
      <c r="DR39" s="119" t="n"/>
      <c r="DS39" s="118" t="n"/>
      <c r="DT39" s="119" t="n"/>
      <c r="DU39" s="189" t="n"/>
      <c r="DV39" s="121" t="n"/>
      <c r="DW39" s="122" t="n"/>
      <c r="DX39" s="121" t="n"/>
      <c r="DY39" s="122" t="n"/>
      <c r="DZ39" s="121" t="n"/>
      <c r="EA39" s="122" t="n"/>
      <c r="EB39" s="121" t="n"/>
      <c r="EC39" s="122" t="n"/>
      <c r="ED39" s="121" t="n"/>
      <c r="EE39" s="122" t="n"/>
      <c r="EF39" s="121" t="n"/>
      <c r="EG39" s="122" t="n"/>
      <c r="EH39" s="121" t="n"/>
      <c r="EI39" s="122" t="n"/>
      <c r="EJ39" s="121" t="n"/>
      <c r="EK39" s="122" t="n"/>
      <c r="EL39" s="190" t="n"/>
      <c r="EM39" s="124" t="n"/>
      <c r="EN39" s="125" t="n"/>
      <c r="EO39" s="124" t="n"/>
      <c r="EP39" s="125" t="n"/>
      <c r="EQ39" s="124" t="n"/>
      <c r="ER39" s="125" t="n"/>
      <c r="ES39" s="124" t="n"/>
      <c r="ET39" s="125" t="n"/>
      <c r="EU39" s="124" t="n"/>
      <c r="EV39" s="125" t="n"/>
      <c r="EW39" s="124" t="n"/>
      <c r="EX39" s="125" t="n"/>
      <c r="EY39" s="124" t="n"/>
      <c r="EZ39" s="125" t="n"/>
      <c r="FA39" s="124" t="n"/>
      <c r="FB39" s="125" t="n"/>
      <c r="FC39" s="191" t="n"/>
      <c r="FD39" s="127" t="n"/>
      <c r="FE39" s="128" t="n"/>
      <c r="FF39" s="127" t="n"/>
      <c r="FG39" s="128" t="n"/>
      <c r="FH39" s="127" t="n"/>
      <c r="FI39" s="128" t="n"/>
      <c r="FJ39" s="127" t="n"/>
      <c r="FK39" s="128" t="n"/>
      <c r="FL39" s="127" t="n"/>
      <c r="FM39" s="128" t="n"/>
      <c r="FN39" s="127" t="n"/>
      <c r="FO39" s="128" t="n"/>
      <c r="FP39" s="127" t="n"/>
      <c r="FQ39" s="128" t="n"/>
      <c r="FR39" s="127" t="n"/>
      <c r="FS39" s="128" t="n"/>
      <c r="FT39" s="192" t="n"/>
      <c r="FU39" s="130" t="n"/>
      <c r="FV39" s="131" t="n"/>
      <c r="FW39" s="130" t="n"/>
      <c r="FX39" s="131" t="n"/>
      <c r="FY39" s="130" t="n"/>
      <c r="FZ39" s="131" t="n"/>
      <c r="GA39" s="130" t="n"/>
      <c r="GB39" s="131" t="n"/>
      <c r="GC39" s="130" t="n"/>
      <c r="GD39" s="131" t="n"/>
      <c r="GE39" s="130" t="n"/>
      <c r="GF39" s="131" t="n"/>
      <c r="GG39" s="130" t="n"/>
      <c r="GH39" s="131" t="n"/>
      <c r="GI39" s="130" t="n"/>
      <c r="GJ39" s="131" t="n"/>
      <c r="GK39" s="193" t="n"/>
      <c r="GL39" s="133" t="n"/>
      <c r="GM39" s="134" t="n"/>
      <c r="GN39" s="133" t="n"/>
      <c r="GO39" s="134" t="n"/>
      <c r="GP39" s="133" t="n"/>
      <c r="GQ39" s="134" t="n"/>
      <c r="GR39" s="133" t="n"/>
      <c r="GS39" s="134" t="n"/>
      <c r="GT39" s="133" t="n"/>
      <c r="GU39" s="134" t="n"/>
      <c r="GV39" s="133" t="n"/>
      <c r="GW39" s="134" t="n"/>
      <c r="GX39" s="133" t="n"/>
      <c r="GY39" s="134" t="n"/>
      <c r="GZ39" s="133" t="n"/>
      <c r="HA39" s="134" t="n"/>
      <c r="HB39" s="194" t="n"/>
      <c r="HC39">
        <f>SUMIFS($G39:$HB39,$G$46:$HB$46,"&gt;="&amp;$HD$1,$G$46:$HB$46,"&lt;="&amp;$HD$2,$G$29:$HB$29,"&lt;&gt;ملاحظات",$G$28:$HB$28,"&gt;0")</f>
        <v>0</v>
      </c>
      <c r="HD39">
        <f>SUMIFS($G$28:$HB$28,$G$46:$HB$46,"&gt;="&amp;$HD$1,$G$46:$HB$46,"&lt;="&amp;$HD$2,$G$29:$HB$29,"&lt;&gt;ملاحظات",$G39:$HB39,"&gt;=0")</f>
        <v>0</v>
      </c>
    </row>
    <row r="40" ht="22.5" customHeight="1">
      <c r="A40" s="36" t="n">
        <v>11</v>
      </c>
      <c r="B40" s="181" t="str">
        <f>IF($B15="","",$B15)</f>
        <v/>
      </c>
      <c r="C40" s="136" t="str">
        <f>IF(OR($B40="",$HD40=0),"",ROUND($HC40,2)&amp;" / "&amp;$HD40)</f>
        <v/>
      </c>
      <c r="D40" s="182" t="str">
        <f>IF(OR($B40="",$HD40=0),"",$HC40/$HD40)</f>
        <v/>
      </c>
      <c r="E40" s="98" t="str">
        <f>IF($D40="","",RANK($D40,$D$30:$D$44))</f>
        <v/>
      </c>
      <c r="F40" s="99" t="str">
        <f>IF($D40="","",IF($D40&gt;=0.85,"ممتاز",IF($D40&gt;=0.75,"جيد جداً",IF($D40&gt;=0.65,"جيد",IF($D40&gt;=0.5,"مقبول","ضعيف")))))</f>
        <v/>
      </c>
      <c r="G40" s="100" t="n"/>
      <c r="H40" s="101" t="n"/>
      <c r="I40" s="100" t="n"/>
      <c r="J40" s="101" t="n"/>
      <c r="K40" s="100" t="n"/>
      <c r="L40" s="101" t="n"/>
      <c r="M40" s="100" t="n"/>
      <c r="N40" s="101" t="n"/>
      <c r="O40" s="100" t="n"/>
      <c r="P40" s="101" t="n"/>
      <c r="Q40" s="100" t="n"/>
      <c r="R40" s="101" t="n"/>
      <c r="S40" s="100" t="n"/>
      <c r="T40" s="101" t="n"/>
      <c r="U40" s="100" t="n"/>
      <c r="V40" s="101" t="n"/>
      <c r="W40" s="183" t="n"/>
      <c r="X40" s="103" t="n"/>
      <c r="Y40" s="104" t="n"/>
      <c r="Z40" s="103" t="n"/>
      <c r="AA40" s="104" t="n"/>
      <c r="AB40" s="103" t="n"/>
      <c r="AC40" s="104" t="n"/>
      <c r="AD40" s="103" t="n"/>
      <c r="AE40" s="104" t="n"/>
      <c r="AF40" s="103" t="n"/>
      <c r="AG40" s="104" t="n"/>
      <c r="AH40" s="103" t="n"/>
      <c r="AI40" s="104" t="n"/>
      <c r="AJ40" s="103" t="n"/>
      <c r="AK40" s="104" t="n"/>
      <c r="AL40" s="103" t="n"/>
      <c r="AM40" s="104" t="n"/>
      <c r="AN40" s="184" t="n"/>
      <c r="AO40" s="106" t="n"/>
      <c r="AP40" s="107" t="n"/>
      <c r="AQ40" s="106" t="n"/>
      <c r="AR40" s="107" t="n"/>
      <c r="AS40" s="106" t="n"/>
      <c r="AT40" s="107" t="n"/>
      <c r="AU40" s="106" t="n"/>
      <c r="AV40" s="107" t="n"/>
      <c r="AW40" s="106" t="n"/>
      <c r="AX40" s="107" t="n"/>
      <c r="AY40" s="106" t="n"/>
      <c r="AZ40" s="107" t="n"/>
      <c r="BA40" s="106" t="n"/>
      <c r="BB40" s="107" t="n"/>
      <c r="BC40" s="106" t="n"/>
      <c r="BD40" s="107" t="n"/>
      <c r="BE40" s="185" t="n"/>
      <c r="BF40" s="109" t="n"/>
      <c r="BG40" s="110" t="n"/>
      <c r="BH40" s="109" t="n"/>
      <c r="BI40" s="110" t="n"/>
      <c r="BJ40" s="109" t="n"/>
      <c r="BK40" s="110" t="n"/>
      <c r="BL40" s="109" t="n"/>
      <c r="BM40" s="110" t="n"/>
      <c r="BN40" s="109" t="n"/>
      <c r="BO40" s="110" t="n"/>
      <c r="BP40" s="109" t="n"/>
      <c r="BQ40" s="110" t="n"/>
      <c r="BR40" s="109" t="n"/>
      <c r="BS40" s="110" t="n"/>
      <c r="BT40" s="109" t="n"/>
      <c r="BU40" s="110" t="n"/>
      <c r="BV40" s="186" t="n"/>
      <c r="BW40" s="112" t="n"/>
      <c r="BX40" s="113" t="n"/>
      <c r="BY40" s="112" t="n"/>
      <c r="BZ40" s="113" t="n"/>
      <c r="CA40" s="112" t="n"/>
      <c r="CB40" s="113" t="n"/>
      <c r="CC40" s="112" t="n"/>
      <c r="CD40" s="113" t="n"/>
      <c r="CE40" s="112" t="n"/>
      <c r="CF40" s="113" t="n"/>
      <c r="CG40" s="112" t="n"/>
      <c r="CH40" s="113" t="n"/>
      <c r="CI40" s="112" t="n"/>
      <c r="CJ40" s="113" t="n"/>
      <c r="CK40" s="112" t="n"/>
      <c r="CL40" s="113" t="n"/>
      <c r="CM40" s="187" t="n"/>
      <c r="CN40" s="115" t="n"/>
      <c r="CO40" s="116" t="n"/>
      <c r="CP40" s="115" t="n"/>
      <c r="CQ40" s="116" t="n"/>
      <c r="CR40" s="115" t="n"/>
      <c r="CS40" s="116" t="n"/>
      <c r="CT40" s="115" t="n"/>
      <c r="CU40" s="116" t="n"/>
      <c r="CV40" s="115" t="n"/>
      <c r="CW40" s="116" t="n"/>
      <c r="CX40" s="115" t="n"/>
      <c r="CY40" s="116" t="n"/>
      <c r="CZ40" s="115" t="n"/>
      <c r="DA40" s="116" t="n"/>
      <c r="DB40" s="115" t="n"/>
      <c r="DC40" s="116" t="n"/>
      <c r="DD40" s="188" t="n"/>
      <c r="DE40" s="118" t="n"/>
      <c r="DF40" s="119" t="n"/>
      <c r="DG40" s="118" t="n"/>
      <c r="DH40" s="119" t="n"/>
      <c r="DI40" s="118" t="n"/>
      <c r="DJ40" s="119" t="n"/>
      <c r="DK40" s="118" t="n"/>
      <c r="DL40" s="119" t="n"/>
      <c r="DM40" s="118" t="n"/>
      <c r="DN40" s="119" t="n"/>
      <c r="DO40" s="118" t="n"/>
      <c r="DP40" s="119" t="n"/>
      <c r="DQ40" s="118" t="n"/>
      <c r="DR40" s="119" t="n"/>
      <c r="DS40" s="118" t="n"/>
      <c r="DT40" s="119" t="n"/>
      <c r="DU40" s="189" t="n"/>
      <c r="DV40" s="121" t="n"/>
      <c r="DW40" s="122" t="n"/>
      <c r="DX40" s="121" t="n"/>
      <c r="DY40" s="122" t="n"/>
      <c r="DZ40" s="121" t="n"/>
      <c r="EA40" s="122" t="n"/>
      <c r="EB40" s="121" t="n"/>
      <c r="EC40" s="122" t="n"/>
      <c r="ED40" s="121" t="n"/>
      <c r="EE40" s="122" t="n"/>
      <c r="EF40" s="121" t="n"/>
      <c r="EG40" s="122" t="n"/>
      <c r="EH40" s="121" t="n"/>
      <c r="EI40" s="122" t="n"/>
      <c r="EJ40" s="121" t="n"/>
      <c r="EK40" s="122" t="n"/>
      <c r="EL40" s="190" t="n"/>
      <c r="EM40" s="124" t="n"/>
      <c r="EN40" s="125" t="n"/>
      <c r="EO40" s="124" t="n"/>
      <c r="EP40" s="125" t="n"/>
      <c r="EQ40" s="124" t="n"/>
      <c r="ER40" s="125" t="n"/>
      <c r="ES40" s="124" t="n"/>
      <c r="ET40" s="125" t="n"/>
      <c r="EU40" s="124" t="n"/>
      <c r="EV40" s="125" t="n"/>
      <c r="EW40" s="124" t="n"/>
      <c r="EX40" s="125" t="n"/>
      <c r="EY40" s="124" t="n"/>
      <c r="EZ40" s="125" t="n"/>
      <c r="FA40" s="124" t="n"/>
      <c r="FB40" s="125" t="n"/>
      <c r="FC40" s="191" t="n"/>
      <c r="FD40" s="127" t="n"/>
      <c r="FE40" s="128" t="n"/>
      <c r="FF40" s="127" t="n"/>
      <c r="FG40" s="128" t="n"/>
      <c r="FH40" s="127" t="n"/>
      <c r="FI40" s="128" t="n"/>
      <c r="FJ40" s="127" t="n"/>
      <c r="FK40" s="128" t="n"/>
      <c r="FL40" s="127" t="n"/>
      <c r="FM40" s="128" t="n"/>
      <c r="FN40" s="127" t="n"/>
      <c r="FO40" s="128" t="n"/>
      <c r="FP40" s="127" t="n"/>
      <c r="FQ40" s="128" t="n"/>
      <c r="FR40" s="127" t="n"/>
      <c r="FS40" s="128" t="n"/>
      <c r="FT40" s="192" t="n"/>
      <c r="FU40" s="130" t="n"/>
      <c r="FV40" s="131" t="n"/>
      <c r="FW40" s="130" t="n"/>
      <c r="FX40" s="131" t="n"/>
      <c r="FY40" s="130" t="n"/>
      <c r="FZ40" s="131" t="n"/>
      <c r="GA40" s="130" t="n"/>
      <c r="GB40" s="131" t="n"/>
      <c r="GC40" s="130" t="n"/>
      <c r="GD40" s="131" t="n"/>
      <c r="GE40" s="130" t="n"/>
      <c r="GF40" s="131" t="n"/>
      <c r="GG40" s="130" t="n"/>
      <c r="GH40" s="131" t="n"/>
      <c r="GI40" s="130" t="n"/>
      <c r="GJ40" s="131" t="n"/>
      <c r="GK40" s="193" t="n"/>
      <c r="GL40" s="133" t="n"/>
      <c r="GM40" s="134" t="n"/>
      <c r="GN40" s="133" t="n"/>
      <c r="GO40" s="134" t="n"/>
      <c r="GP40" s="133" t="n"/>
      <c r="GQ40" s="134" t="n"/>
      <c r="GR40" s="133" t="n"/>
      <c r="GS40" s="134" t="n"/>
      <c r="GT40" s="133" t="n"/>
      <c r="GU40" s="134" t="n"/>
      <c r="GV40" s="133" t="n"/>
      <c r="GW40" s="134" t="n"/>
      <c r="GX40" s="133" t="n"/>
      <c r="GY40" s="134" t="n"/>
      <c r="GZ40" s="133" t="n"/>
      <c r="HA40" s="134" t="n"/>
      <c r="HB40" s="194" t="n"/>
      <c r="HC40">
        <f>SUMIFS($G40:$HB40,$G$46:$HB$46,"&gt;="&amp;$HD$1,$G$46:$HB$46,"&lt;="&amp;$HD$2,$G$29:$HB$29,"&lt;&gt;ملاحظات",$G$28:$HB$28,"&gt;0")</f>
        <v>0</v>
      </c>
      <c r="HD40">
        <f>SUMIFS($G$28:$HB$28,$G$46:$HB$46,"&gt;="&amp;$HD$1,$G$46:$HB$46,"&lt;="&amp;$HD$2,$G$29:$HB$29,"&lt;&gt;ملاحظات",$G40:$HB40,"&gt;=0")</f>
        <v>0</v>
      </c>
    </row>
    <row r="41" ht="22.5" customHeight="1">
      <c r="A41" s="36" t="n">
        <v>12</v>
      </c>
      <c r="B41" s="181" t="str">
        <f>IF($B16="","",$B16)</f>
        <v/>
      </c>
      <c r="C41" s="136" t="str">
        <f>IF(OR($B41="",$HD41=0),"",ROUND($HC41,2)&amp;" / "&amp;$HD41)</f>
        <v/>
      </c>
      <c r="D41" s="182" t="str">
        <f>IF(OR($B41="",$HD41=0),"",$HC41/$HD41)</f>
        <v/>
      </c>
      <c r="E41" s="98" t="str">
        <f>IF($D41="","",RANK($D41,$D$30:$D$44))</f>
        <v/>
      </c>
      <c r="F41" s="99" t="str">
        <f>IF($D41="","",IF($D41&gt;=0.85,"ممتاز",IF($D41&gt;=0.75,"جيد جداً",IF($D41&gt;=0.65,"جيد",IF($D41&gt;=0.5,"مقبول","ضعيف")))))</f>
        <v/>
      </c>
      <c r="G41" s="100" t="n"/>
      <c r="H41" s="101" t="n"/>
      <c r="I41" s="100" t="n"/>
      <c r="J41" s="101" t="n"/>
      <c r="K41" s="100" t="n"/>
      <c r="L41" s="101" t="n"/>
      <c r="M41" s="100" t="n"/>
      <c r="N41" s="101" t="n"/>
      <c r="O41" s="100" t="n"/>
      <c r="P41" s="101" t="n"/>
      <c r="Q41" s="100" t="n"/>
      <c r="R41" s="101" t="n"/>
      <c r="S41" s="100" t="n"/>
      <c r="T41" s="101" t="n"/>
      <c r="U41" s="100" t="n"/>
      <c r="V41" s="101" t="n"/>
      <c r="W41" s="183" t="n"/>
      <c r="X41" s="103" t="n"/>
      <c r="Y41" s="104" t="n"/>
      <c r="Z41" s="103" t="n"/>
      <c r="AA41" s="104" t="n"/>
      <c r="AB41" s="103" t="n"/>
      <c r="AC41" s="104" t="n"/>
      <c r="AD41" s="103" t="n"/>
      <c r="AE41" s="104" t="n"/>
      <c r="AF41" s="103" t="n"/>
      <c r="AG41" s="104" t="n"/>
      <c r="AH41" s="103" t="n"/>
      <c r="AI41" s="104" t="n"/>
      <c r="AJ41" s="103" t="n"/>
      <c r="AK41" s="104" t="n"/>
      <c r="AL41" s="103" t="n"/>
      <c r="AM41" s="104" t="n"/>
      <c r="AN41" s="184" t="n"/>
      <c r="AO41" s="106" t="n"/>
      <c r="AP41" s="107" t="n"/>
      <c r="AQ41" s="106" t="n"/>
      <c r="AR41" s="107" t="n"/>
      <c r="AS41" s="106" t="n"/>
      <c r="AT41" s="107" t="n"/>
      <c r="AU41" s="106" t="n"/>
      <c r="AV41" s="107" t="n"/>
      <c r="AW41" s="106" t="n"/>
      <c r="AX41" s="107" t="n"/>
      <c r="AY41" s="106" t="n"/>
      <c r="AZ41" s="107" t="n"/>
      <c r="BA41" s="106" t="n"/>
      <c r="BB41" s="107" t="n"/>
      <c r="BC41" s="106" t="n"/>
      <c r="BD41" s="107" t="n"/>
      <c r="BE41" s="185" t="n"/>
      <c r="BF41" s="109" t="n"/>
      <c r="BG41" s="110" t="n"/>
      <c r="BH41" s="109" t="n"/>
      <c r="BI41" s="110" t="n"/>
      <c r="BJ41" s="109" t="n"/>
      <c r="BK41" s="110" t="n"/>
      <c r="BL41" s="109" t="n"/>
      <c r="BM41" s="110" t="n"/>
      <c r="BN41" s="109" t="n"/>
      <c r="BO41" s="110" t="n"/>
      <c r="BP41" s="109" t="n"/>
      <c r="BQ41" s="110" t="n"/>
      <c r="BR41" s="109" t="n"/>
      <c r="BS41" s="110" t="n"/>
      <c r="BT41" s="109" t="n"/>
      <c r="BU41" s="110" t="n"/>
      <c r="BV41" s="186" t="n"/>
      <c r="BW41" s="112" t="n"/>
      <c r="BX41" s="113" t="n"/>
      <c r="BY41" s="112" t="n"/>
      <c r="BZ41" s="113" t="n"/>
      <c r="CA41" s="112" t="n"/>
      <c r="CB41" s="113" t="n"/>
      <c r="CC41" s="112" t="n"/>
      <c r="CD41" s="113" t="n"/>
      <c r="CE41" s="112" t="n"/>
      <c r="CF41" s="113" t="n"/>
      <c r="CG41" s="112" t="n"/>
      <c r="CH41" s="113" t="n"/>
      <c r="CI41" s="112" t="n"/>
      <c r="CJ41" s="113" t="n"/>
      <c r="CK41" s="112" t="n"/>
      <c r="CL41" s="113" t="n"/>
      <c r="CM41" s="187" t="n"/>
      <c r="CN41" s="115" t="n"/>
      <c r="CO41" s="116" t="n"/>
      <c r="CP41" s="115" t="n"/>
      <c r="CQ41" s="116" t="n"/>
      <c r="CR41" s="115" t="n"/>
      <c r="CS41" s="116" t="n"/>
      <c r="CT41" s="115" t="n"/>
      <c r="CU41" s="116" t="n"/>
      <c r="CV41" s="115" t="n"/>
      <c r="CW41" s="116" t="n"/>
      <c r="CX41" s="115" t="n"/>
      <c r="CY41" s="116" t="n"/>
      <c r="CZ41" s="115" t="n"/>
      <c r="DA41" s="116" t="n"/>
      <c r="DB41" s="115" t="n"/>
      <c r="DC41" s="116" t="n"/>
      <c r="DD41" s="188" t="n"/>
      <c r="DE41" s="118" t="n"/>
      <c r="DF41" s="119" t="n"/>
      <c r="DG41" s="118" t="n"/>
      <c r="DH41" s="119" t="n"/>
      <c r="DI41" s="118" t="n"/>
      <c r="DJ41" s="119" t="n"/>
      <c r="DK41" s="118" t="n"/>
      <c r="DL41" s="119" t="n"/>
      <c r="DM41" s="118" t="n"/>
      <c r="DN41" s="119" t="n"/>
      <c r="DO41" s="118" t="n"/>
      <c r="DP41" s="119" t="n"/>
      <c r="DQ41" s="118" t="n"/>
      <c r="DR41" s="119" t="n"/>
      <c r="DS41" s="118" t="n"/>
      <c r="DT41" s="119" t="n"/>
      <c r="DU41" s="189" t="n"/>
      <c r="DV41" s="121" t="n"/>
      <c r="DW41" s="122" t="n"/>
      <c r="DX41" s="121" t="n"/>
      <c r="DY41" s="122" t="n"/>
      <c r="DZ41" s="121" t="n"/>
      <c r="EA41" s="122" t="n"/>
      <c r="EB41" s="121" t="n"/>
      <c r="EC41" s="122" t="n"/>
      <c r="ED41" s="121" t="n"/>
      <c r="EE41" s="122" t="n"/>
      <c r="EF41" s="121" t="n"/>
      <c r="EG41" s="122" t="n"/>
      <c r="EH41" s="121" t="n"/>
      <c r="EI41" s="122" t="n"/>
      <c r="EJ41" s="121" t="n"/>
      <c r="EK41" s="122" t="n"/>
      <c r="EL41" s="190" t="n"/>
      <c r="EM41" s="124" t="n"/>
      <c r="EN41" s="125" t="n"/>
      <c r="EO41" s="124" t="n"/>
      <c r="EP41" s="125" t="n"/>
      <c r="EQ41" s="124" t="n"/>
      <c r="ER41" s="125" t="n"/>
      <c r="ES41" s="124" t="n"/>
      <c r="ET41" s="125" t="n"/>
      <c r="EU41" s="124" t="n"/>
      <c r="EV41" s="125" t="n"/>
      <c r="EW41" s="124" t="n"/>
      <c r="EX41" s="125" t="n"/>
      <c r="EY41" s="124" t="n"/>
      <c r="EZ41" s="125" t="n"/>
      <c r="FA41" s="124" t="n"/>
      <c r="FB41" s="125" t="n"/>
      <c r="FC41" s="191" t="n"/>
      <c r="FD41" s="127" t="n"/>
      <c r="FE41" s="128" t="n"/>
      <c r="FF41" s="127" t="n"/>
      <c r="FG41" s="128" t="n"/>
      <c r="FH41" s="127" t="n"/>
      <c r="FI41" s="128" t="n"/>
      <c r="FJ41" s="127" t="n"/>
      <c r="FK41" s="128" t="n"/>
      <c r="FL41" s="127" t="n"/>
      <c r="FM41" s="128" t="n"/>
      <c r="FN41" s="127" t="n"/>
      <c r="FO41" s="128" t="n"/>
      <c r="FP41" s="127" t="n"/>
      <c r="FQ41" s="128" t="n"/>
      <c r="FR41" s="127" t="n"/>
      <c r="FS41" s="128" t="n"/>
      <c r="FT41" s="192" t="n"/>
      <c r="FU41" s="130" t="n"/>
      <c r="FV41" s="131" t="n"/>
      <c r="FW41" s="130" t="n"/>
      <c r="FX41" s="131" t="n"/>
      <c r="FY41" s="130" t="n"/>
      <c r="FZ41" s="131" t="n"/>
      <c r="GA41" s="130" t="n"/>
      <c r="GB41" s="131" t="n"/>
      <c r="GC41" s="130" t="n"/>
      <c r="GD41" s="131" t="n"/>
      <c r="GE41" s="130" t="n"/>
      <c r="GF41" s="131" t="n"/>
      <c r="GG41" s="130" t="n"/>
      <c r="GH41" s="131" t="n"/>
      <c r="GI41" s="130" t="n"/>
      <c r="GJ41" s="131" t="n"/>
      <c r="GK41" s="193" t="n"/>
      <c r="GL41" s="133" t="n"/>
      <c r="GM41" s="134" t="n"/>
      <c r="GN41" s="133" t="n"/>
      <c r="GO41" s="134" t="n"/>
      <c r="GP41" s="133" t="n"/>
      <c r="GQ41" s="134" t="n"/>
      <c r="GR41" s="133" t="n"/>
      <c r="GS41" s="134" t="n"/>
      <c r="GT41" s="133" t="n"/>
      <c r="GU41" s="134" t="n"/>
      <c r="GV41" s="133" t="n"/>
      <c r="GW41" s="134" t="n"/>
      <c r="GX41" s="133" t="n"/>
      <c r="GY41" s="134" t="n"/>
      <c r="GZ41" s="133" t="n"/>
      <c r="HA41" s="134" t="n"/>
      <c r="HB41" s="194" t="n"/>
      <c r="HC41">
        <f>SUMIFS($G41:$HB41,$G$46:$HB$46,"&gt;="&amp;$HD$1,$G$46:$HB$46,"&lt;="&amp;$HD$2,$G$29:$HB$29,"&lt;&gt;ملاحظات",$G$28:$HB$28,"&gt;0")</f>
        <v>0</v>
      </c>
      <c r="HD41">
        <f>SUMIFS($G$28:$HB$28,$G$46:$HB$46,"&gt;="&amp;$HD$1,$G$46:$HB$46,"&lt;="&amp;$HD$2,$G$29:$HB$29,"&lt;&gt;ملاحظات",$G41:$HB41,"&gt;=0")</f>
        <v>0</v>
      </c>
    </row>
    <row r="42" ht="22.5" customHeight="1">
      <c r="A42" s="36" t="n">
        <v>13</v>
      </c>
      <c r="B42" s="181" t="str">
        <f>IF($B17="","",$B17)</f>
        <v/>
      </c>
      <c r="C42" s="136" t="str">
        <f>IF(OR($B42="",$HD42=0),"",ROUND($HC42,2)&amp;" / "&amp;$HD42)</f>
        <v/>
      </c>
      <c r="D42" s="182" t="str">
        <f>IF(OR($B42="",$HD42=0),"",$HC42/$HD42)</f>
        <v/>
      </c>
      <c r="E42" s="98" t="str">
        <f>IF($D42="","",RANK($D42,$D$30:$D$44))</f>
        <v/>
      </c>
      <c r="F42" s="99" t="str">
        <f>IF($D42="","",IF($D42&gt;=0.85,"ممتاز",IF($D42&gt;=0.75,"جيد جداً",IF($D42&gt;=0.65,"جيد",IF($D42&gt;=0.5,"مقبول","ضعيف")))))</f>
        <v/>
      </c>
      <c r="G42" s="100" t="n"/>
      <c r="H42" s="101" t="n"/>
      <c r="I42" s="100" t="n"/>
      <c r="J42" s="101" t="n"/>
      <c r="K42" s="100" t="n"/>
      <c r="L42" s="101" t="n"/>
      <c r="M42" s="100" t="n"/>
      <c r="N42" s="101" t="n"/>
      <c r="O42" s="100" t="n"/>
      <c r="P42" s="101" t="n"/>
      <c r="Q42" s="100" t="n"/>
      <c r="R42" s="101" t="n"/>
      <c r="S42" s="100" t="n"/>
      <c r="T42" s="101" t="n"/>
      <c r="U42" s="100" t="n"/>
      <c r="V42" s="101" t="n"/>
      <c r="W42" s="183" t="n"/>
      <c r="X42" s="103" t="n"/>
      <c r="Y42" s="104" t="n"/>
      <c r="Z42" s="103" t="n"/>
      <c r="AA42" s="104" t="n"/>
      <c r="AB42" s="103" t="n"/>
      <c r="AC42" s="104" t="n"/>
      <c r="AD42" s="103" t="n"/>
      <c r="AE42" s="104" t="n"/>
      <c r="AF42" s="103" t="n"/>
      <c r="AG42" s="104" t="n"/>
      <c r="AH42" s="103" t="n"/>
      <c r="AI42" s="104" t="n"/>
      <c r="AJ42" s="103" t="n"/>
      <c r="AK42" s="104" t="n"/>
      <c r="AL42" s="103" t="n"/>
      <c r="AM42" s="104" t="n"/>
      <c r="AN42" s="184" t="n"/>
      <c r="AO42" s="106" t="n"/>
      <c r="AP42" s="107" t="n"/>
      <c r="AQ42" s="106" t="n"/>
      <c r="AR42" s="107" t="n"/>
      <c r="AS42" s="106" t="n"/>
      <c r="AT42" s="107" t="n"/>
      <c r="AU42" s="106" t="n"/>
      <c r="AV42" s="107" t="n"/>
      <c r="AW42" s="106" t="n"/>
      <c r="AX42" s="107" t="n"/>
      <c r="AY42" s="106" t="n"/>
      <c r="AZ42" s="107" t="n"/>
      <c r="BA42" s="106" t="n"/>
      <c r="BB42" s="107" t="n"/>
      <c r="BC42" s="106" t="n"/>
      <c r="BD42" s="107" t="n"/>
      <c r="BE42" s="185" t="n"/>
      <c r="BF42" s="109" t="n"/>
      <c r="BG42" s="110" t="n"/>
      <c r="BH42" s="109" t="n"/>
      <c r="BI42" s="110" t="n"/>
      <c r="BJ42" s="109" t="n"/>
      <c r="BK42" s="110" t="n"/>
      <c r="BL42" s="109" t="n"/>
      <c r="BM42" s="110" t="n"/>
      <c r="BN42" s="109" t="n"/>
      <c r="BO42" s="110" t="n"/>
      <c r="BP42" s="109" t="n"/>
      <c r="BQ42" s="110" t="n"/>
      <c r="BR42" s="109" t="n"/>
      <c r="BS42" s="110" t="n"/>
      <c r="BT42" s="109" t="n"/>
      <c r="BU42" s="110" t="n"/>
      <c r="BV42" s="186" t="n"/>
      <c r="BW42" s="112" t="n"/>
      <c r="BX42" s="113" t="n"/>
      <c r="BY42" s="112" t="n"/>
      <c r="BZ42" s="113" t="n"/>
      <c r="CA42" s="112" t="n"/>
      <c r="CB42" s="113" t="n"/>
      <c r="CC42" s="112" t="n"/>
      <c r="CD42" s="113" t="n"/>
      <c r="CE42" s="112" t="n"/>
      <c r="CF42" s="113" t="n"/>
      <c r="CG42" s="112" t="n"/>
      <c r="CH42" s="113" t="n"/>
      <c r="CI42" s="112" t="n"/>
      <c r="CJ42" s="113" t="n"/>
      <c r="CK42" s="112" t="n"/>
      <c r="CL42" s="113" t="n"/>
      <c r="CM42" s="187" t="n"/>
      <c r="CN42" s="115" t="n"/>
      <c r="CO42" s="116" t="n"/>
      <c r="CP42" s="115" t="n"/>
      <c r="CQ42" s="116" t="n"/>
      <c r="CR42" s="115" t="n"/>
      <c r="CS42" s="116" t="n"/>
      <c r="CT42" s="115" t="n"/>
      <c r="CU42" s="116" t="n"/>
      <c r="CV42" s="115" t="n"/>
      <c r="CW42" s="116" t="n"/>
      <c r="CX42" s="115" t="n"/>
      <c r="CY42" s="116" t="n"/>
      <c r="CZ42" s="115" t="n"/>
      <c r="DA42" s="116" t="n"/>
      <c r="DB42" s="115" t="n"/>
      <c r="DC42" s="116" t="n"/>
      <c r="DD42" s="188" t="n"/>
      <c r="DE42" s="118" t="n"/>
      <c r="DF42" s="119" t="n"/>
      <c r="DG42" s="118" t="n"/>
      <c r="DH42" s="119" t="n"/>
      <c r="DI42" s="118" t="n"/>
      <c r="DJ42" s="119" t="n"/>
      <c r="DK42" s="118" t="n"/>
      <c r="DL42" s="119" t="n"/>
      <c r="DM42" s="118" t="n"/>
      <c r="DN42" s="119" t="n"/>
      <c r="DO42" s="118" t="n"/>
      <c r="DP42" s="119" t="n"/>
      <c r="DQ42" s="118" t="n"/>
      <c r="DR42" s="119" t="n"/>
      <c r="DS42" s="118" t="n"/>
      <c r="DT42" s="119" t="n"/>
      <c r="DU42" s="189" t="n"/>
      <c r="DV42" s="121" t="n"/>
      <c r="DW42" s="122" t="n"/>
      <c r="DX42" s="121" t="n"/>
      <c r="DY42" s="122" t="n"/>
      <c r="DZ42" s="121" t="n"/>
      <c r="EA42" s="122" t="n"/>
      <c r="EB42" s="121" t="n"/>
      <c r="EC42" s="122" t="n"/>
      <c r="ED42" s="121" t="n"/>
      <c r="EE42" s="122" t="n"/>
      <c r="EF42" s="121" t="n"/>
      <c r="EG42" s="122" t="n"/>
      <c r="EH42" s="121" t="n"/>
      <c r="EI42" s="122" t="n"/>
      <c r="EJ42" s="121" t="n"/>
      <c r="EK42" s="122" t="n"/>
      <c r="EL42" s="190" t="n"/>
      <c r="EM42" s="124" t="n"/>
      <c r="EN42" s="125" t="n"/>
      <c r="EO42" s="124" t="n"/>
      <c r="EP42" s="125" t="n"/>
      <c r="EQ42" s="124" t="n"/>
      <c r="ER42" s="125" t="n"/>
      <c r="ES42" s="124" t="n"/>
      <c r="ET42" s="125" t="n"/>
      <c r="EU42" s="124" t="n"/>
      <c r="EV42" s="125" t="n"/>
      <c r="EW42" s="124" t="n"/>
      <c r="EX42" s="125" t="n"/>
      <c r="EY42" s="124" t="n"/>
      <c r="EZ42" s="125" t="n"/>
      <c r="FA42" s="124" t="n"/>
      <c r="FB42" s="125" t="n"/>
      <c r="FC42" s="191" t="n"/>
      <c r="FD42" s="127" t="n"/>
      <c r="FE42" s="128" t="n"/>
      <c r="FF42" s="127" t="n"/>
      <c r="FG42" s="128" t="n"/>
      <c r="FH42" s="127" t="n"/>
      <c r="FI42" s="128" t="n"/>
      <c r="FJ42" s="127" t="n"/>
      <c r="FK42" s="128" t="n"/>
      <c r="FL42" s="127" t="n"/>
      <c r="FM42" s="128" t="n"/>
      <c r="FN42" s="127" t="n"/>
      <c r="FO42" s="128" t="n"/>
      <c r="FP42" s="127" t="n"/>
      <c r="FQ42" s="128" t="n"/>
      <c r="FR42" s="127" t="n"/>
      <c r="FS42" s="128" t="n"/>
      <c r="FT42" s="192" t="n"/>
      <c r="FU42" s="130" t="n"/>
      <c r="FV42" s="131" t="n"/>
      <c r="FW42" s="130" t="n"/>
      <c r="FX42" s="131" t="n"/>
      <c r="FY42" s="130" t="n"/>
      <c r="FZ42" s="131" t="n"/>
      <c r="GA42" s="130" t="n"/>
      <c r="GB42" s="131" t="n"/>
      <c r="GC42" s="130" t="n"/>
      <c r="GD42" s="131" t="n"/>
      <c r="GE42" s="130" t="n"/>
      <c r="GF42" s="131" t="n"/>
      <c r="GG42" s="130" t="n"/>
      <c r="GH42" s="131" t="n"/>
      <c r="GI42" s="130" t="n"/>
      <c r="GJ42" s="131" t="n"/>
      <c r="GK42" s="193" t="n"/>
      <c r="GL42" s="133" t="n"/>
      <c r="GM42" s="134" t="n"/>
      <c r="GN42" s="133" t="n"/>
      <c r="GO42" s="134" t="n"/>
      <c r="GP42" s="133" t="n"/>
      <c r="GQ42" s="134" t="n"/>
      <c r="GR42" s="133" t="n"/>
      <c r="GS42" s="134" t="n"/>
      <c r="GT42" s="133" t="n"/>
      <c r="GU42" s="134" t="n"/>
      <c r="GV42" s="133" t="n"/>
      <c r="GW42" s="134" t="n"/>
      <c r="GX42" s="133" t="n"/>
      <c r="GY42" s="134" t="n"/>
      <c r="GZ42" s="133" t="n"/>
      <c r="HA42" s="134" t="n"/>
      <c r="HB42" s="194" t="n"/>
      <c r="HC42">
        <f>SUMIFS($G42:$HB42,$G$46:$HB$46,"&gt;="&amp;$HD$1,$G$46:$HB$46,"&lt;="&amp;$HD$2,$G$29:$HB$29,"&lt;&gt;ملاحظات",$G$28:$HB$28,"&gt;0")</f>
        <v>0</v>
      </c>
      <c r="HD42">
        <f>SUMIFS($G$28:$HB$28,$G$46:$HB$46,"&gt;="&amp;$HD$1,$G$46:$HB$46,"&lt;="&amp;$HD$2,$G$29:$HB$29,"&lt;&gt;ملاحظات",$G42:$HB42,"&gt;=0")</f>
        <v>0</v>
      </c>
    </row>
    <row r="43" ht="22.5" customHeight="1">
      <c r="A43" s="36" t="n">
        <v>14</v>
      </c>
      <c r="B43" s="181" t="str">
        <f>IF($B18="","",$B18)</f>
        <v/>
      </c>
      <c r="C43" s="136" t="str">
        <f>IF(OR($B43="",$HD43=0),"",ROUND($HC43,2)&amp;" / "&amp;$HD43)</f>
        <v/>
      </c>
      <c r="D43" s="182" t="str">
        <f>IF(OR($B43="",$HD43=0),"",$HC43/$HD43)</f>
        <v/>
      </c>
      <c r="E43" s="98" t="str">
        <f>IF($D43="","",RANK($D43,$D$30:$D$44))</f>
        <v/>
      </c>
      <c r="F43" s="99" t="str">
        <f>IF($D43="","",IF($D43&gt;=0.85,"ممتاز",IF($D43&gt;=0.75,"جيد جداً",IF($D43&gt;=0.65,"جيد",IF($D43&gt;=0.5,"مقبول","ضعيف")))))</f>
        <v/>
      </c>
      <c r="G43" s="100" t="n"/>
      <c r="H43" s="101" t="n"/>
      <c r="I43" s="100" t="n"/>
      <c r="J43" s="101" t="n"/>
      <c r="K43" s="100" t="n"/>
      <c r="L43" s="101" t="n"/>
      <c r="M43" s="100" t="n"/>
      <c r="N43" s="101" t="n"/>
      <c r="O43" s="100" t="n"/>
      <c r="P43" s="101" t="n"/>
      <c r="Q43" s="100" t="n"/>
      <c r="R43" s="101" t="n"/>
      <c r="S43" s="100" t="n"/>
      <c r="T43" s="101" t="n"/>
      <c r="U43" s="100" t="n"/>
      <c r="V43" s="101" t="n"/>
      <c r="W43" s="183" t="n"/>
      <c r="X43" s="103" t="n"/>
      <c r="Y43" s="104" t="n"/>
      <c r="Z43" s="103" t="n"/>
      <c r="AA43" s="104" t="n"/>
      <c r="AB43" s="103" t="n"/>
      <c r="AC43" s="104" t="n"/>
      <c r="AD43" s="103" t="n"/>
      <c r="AE43" s="104" t="n"/>
      <c r="AF43" s="103" t="n"/>
      <c r="AG43" s="104" t="n"/>
      <c r="AH43" s="103" t="n"/>
      <c r="AI43" s="104" t="n"/>
      <c r="AJ43" s="103" t="n"/>
      <c r="AK43" s="104" t="n"/>
      <c r="AL43" s="103" t="n"/>
      <c r="AM43" s="104" t="n"/>
      <c r="AN43" s="184" t="n"/>
      <c r="AO43" s="106" t="n"/>
      <c r="AP43" s="107" t="n"/>
      <c r="AQ43" s="106" t="n"/>
      <c r="AR43" s="107" t="n"/>
      <c r="AS43" s="106" t="n"/>
      <c r="AT43" s="107" t="n"/>
      <c r="AU43" s="106" t="n"/>
      <c r="AV43" s="107" t="n"/>
      <c r="AW43" s="106" t="n"/>
      <c r="AX43" s="107" t="n"/>
      <c r="AY43" s="106" t="n"/>
      <c r="AZ43" s="107" t="n"/>
      <c r="BA43" s="106" t="n"/>
      <c r="BB43" s="107" t="n"/>
      <c r="BC43" s="106" t="n"/>
      <c r="BD43" s="107" t="n"/>
      <c r="BE43" s="185" t="n"/>
      <c r="BF43" s="109" t="n"/>
      <c r="BG43" s="110" t="n"/>
      <c r="BH43" s="109" t="n"/>
      <c r="BI43" s="110" t="n"/>
      <c r="BJ43" s="109" t="n"/>
      <c r="BK43" s="110" t="n"/>
      <c r="BL43" s="109" t="n"/>
      <c r="BM43" s="110" t="n"/>
      <c r="BN43" s="109" t="n"/>
      <c r="BO43" s="110" t="n"/>
      <c r="BP43" s="109" t="n"/>
      <c r="BQ43" s="110" t="n"/>
      <c r="BR43" s="109" t="n"/>
      <c r="BS43" s="110" t="n"/>
      <c r="BT43" s="109" t="n"/>
      <c r="BU43" s="110" t="n"/>
      <c r="BV43" s="186" t="n"/>
      <c r="BW43" s="112" t="n"/>
      <c r="BX43" s="113" t="n"/>
      <c r="BY43" s="112" t="n"/>
      <c r="BZ43" s="113" t="n"/>
      <c r="CA43" s="112" t="n"/>
      <c r="CB43" s="113" t="n"/>
      <c r="CC43" s="112" t="n"/>
      <c r="CD43" s="113" t="n"/>
      <c r="CE43" s="112" t="n"/>
      <c r="CF43" s="113" t="n"/>
      <c r="CG43" s="112" t="n"/>
      <c r="CH43" s="113" t="n"/>
      <c r="CI43" s="112" t="n"/>
      <c r="CJ43" s="113" t="n"/>
      <c r="CK43" s="112" t="n"/>
      <c r="CL43" s="113" t="n"/>
      <c r="CM43" s="187" t="n"/>
      <c r="CN43" s="115" t="n"/>
      <c r="CO43" s="116" t="n"/>
      <c r="CP43" s="115" t="n"/>
      <c r="CQ43" s="116" t="n"/>
      <c r="CR43" s="115" t="n"/>
      <c r="CS43" s="116" t="n"/>
      <c r="CT43" s="115" t="n"/>
      <c r="CU43" s="116" t="n"/>
      <c r="CV43" s="115" t="n"/>
      <c r="CW43" s="116" t="n"/>
      <c r="CX43" s="115" t="n"/>
      <c r="CY43" s="116" t="n"/>
      <c r="CZ43" s="115" t="n"/>
      <c r="DA43" s="116" t="n"/>
      <c r="DB43" s="115" t="n"/>
      <c r="DC43" s="116" t="n"/>
      <c r="DD43" s="188" t="n"/>
      <c r="DE43" s="118" t="n"/>
      <c r="DF43" s="119" t="n"/>
      <c r="DG43" s="118" t="n"/>
      <c r="DH43" s="119" t="n"/>
      <c r="DI43" s="118" t="n"/>
      <c r="DJ43" s="119" t="n"/>
      <c r="DK43" s="118" t="n"/>
      <c r="DL43" s="119" t="n"/>
      <c r="DM43" s="118" t="n"/>
      <c r="DN43" s="119" t="n"/>
      <c r="DO43" s="118" t="n"/>
      <c r="DP43" s="119" t="n"/>
      <c r="DQ43" s="118" t="n"/>
      <c r="DR43" s="119" t="n"/>
      <c r="DS43" s="118" t="n"/>
      <c r="DT43" s="119" t="n"/>
      <c r="DU43" s="189" t="n"/>
      <c r="DV43" s="121" t="n"/>
      <c r="DW43" s="122" t="n"/>
      <c r="DX43" s="121" t="n"/>
      <c r="DY43" s="122" t="n"/>
      <c r="DZ43" s="121" t="n"/>
      <c r="EA43" s="122" t="n"/>
      <c r="EB43" s="121" t="n"/>
      <c r="EC43" s="122" t="n"/>
      <c r="ED43" s="121" t="n"/>
      <c r="EE43" s="122" t="n"/>
      <c r="EF43" s="121" t="n"/>
      <c r="EG43" s="122" t="n"/>
      <c r="EH43" s="121" t="n"/>
      <c r="EI43" s="122" t="n"/>
      <c r="EJ43" s="121" t="n"/>
      <c r="EK43" s="122" t="n"/>
      <c r="EL43" s="190" t="n"/>
      <c r="EM43" s="124" t="n"/>
      <c r="EN43" s="125" t="n"/>
      <c r="EO43" s="124" t="n"/>
      <c r="EP43" s="125" t="n"/>
      <c r="EQ43" s="124" t="n"/>
      <c r="ER43" s="125" t="n"/>
      <c r="ES43" s="124" t="n"/>
      <c r="ET43" s="125" t="n"/>
      <c r="EU43" s="124" t="n"/>
      <c r="EV43" s="125" t="n"/>
      <c r="EW43" s="124" t="n"/>
      <c r="EX43" s="125" t="n"/>
      <c r="EY43" s="124" t="n"/>
      <c r="EZ43" s="125" t="n"/>
      <c r="FA43" s="124" t="n"/>
      <c r="FB43" s="125" t="n"/>
      <c r="FC43" s="191" t="n"/>
      <c r="FD43" s="127" t="n"/>
      <c r="FE43" s="128" t="n"/>
      <c r="FF43" s="127" t="n"/>
      <c r="FG43" s="128" t="n"/>
      <c r="FH43" s="127" t="n"/>
      <c r="FI43" s="128" t="n"/>
      <c r="FJ43" s="127" t="n"/>
      <c r="FK43" s="128" t="n"/>
      <c r="FL43" s="127" t="n"/>
      <c r="FM43" s="128" t="n"/>
      <c r="FN43" s="127" t="n"/>
      <c r="FO43" s="128" t="n"/>
      <c r="FP43" s="127" t="n"/>
      <c r="FQ43" s="128" t="n"/>
      <c r="FR43" s="127" t="n"/>
      <c r="FS43" s="128" t="n"/>
      <c r="FT43" s="192" t="n"/>
      <c r="FU43" s="130" t="n"/>
      <c r="FV43" s="131" t="n"/>
      <c r="FW43" s="130" t="n"/>
      <c r="FX43" s="131" t="n"/>
      <c r="FY43" s="130" t="n"/>
      <c r="FZ43" s="131" t="n"/>
      <c r="GA43" s="130" t="n"/>
      <c r="GB43" s="131" t="n"/>
      <c r="GC43" s="130" t="n"/>
      <c r="GD43" s="131" t="n"/>
      <c r="GE43" s="130" t="n"/>
      <c r="GF43" s="131" t="n"/>
      <c r="GG43" s="130" t="n"/>
      <c r="GH43" s="131" t="n"/>
      <c r="GI43" s="130" t="n"/>
      <c r="GJ43" s="131" t="n"/>
      <c r="GK43" s="193" t="n"/>
      <c r="GL43" s="133" t="n"/>
      <c r="GM43" s="134" t="n"/>
      <c r="GN43" s="133" t="n"/>
      <c r="GO43" s="134" t="n"/>
      <c r="GP43" s="133" t="n"/>
      <c r="GQ43" s="134" t="n"/>
      <c r="GR43" s="133" t="n"/>
      <c r="GS43" s="134" t="n"/>
      <c r="GT43" s="133" t="n"/>
      <c r="GU43" s="134" t="n"/>
      <c r="GV43" s="133" t="n"/>
      <c r="GW43" s="134" t="n"/>
      <c r="GX43" s="133" t="n"/>
      <c r="GY43" s="134" t="n"/>
      <c r="GZ43" s="133" t="n"/>
      <c r="HA43" s="134" t="n"/>
      <c r="HB43" s="194" t="n"/>
      <c r="HC43">
        <f>SUMIFS($G43:$HB43,$G$46:$HB$46,"&gt;="&amp;$HD$1,$G$46:$HB$46,"&lt;="&amp;$HD$2,$G$29:$HB$29,"&lt;&gt;ملاحظات",$G$28:$HB$28,"&gt;0")</f>
        <v>0</v>
      </c>
      <c r="HD43">
        <f>SUMIFS($G$28:$HB$28,$G$46:$HB$46,"&gt;="&amp;$HD$1,$G$46:$HB$46,"&lt;="&amp;$HD$2,$G$29:$HB$29,"&lt;&gt;ملاحظات",$G43:$HB43,"&gt;=0")</f>
        <v>0</v>
      </c>
    </row>
    <row r="44" ht="22.5" customHeight="1">
      <c r="A44" s="36" t="n">
        <v>15</v>
      </c>
      <c r="B44" s="181" t="str">
        <f>IF($B19="","",$B19)</f>
        <v/>
      </c>
      <c r="C44" s="136" t="str">
        <f>IF(OR($B44="",$HD44=0),"",ROUND($HC44,2)&amp;" / "&amp;$HD44)</f>
        <v/>
      </c>
      <c r="D44" s="182" t="str">
        <f>IF(OR($B44="",$HD44=0),"",$HC44/$HD44)</f>
        <v/>
      </c>
      <c r="E44" s="98" t="str">
        <f>IF($D44="","",RANK($D44,$D$30:$D$44))</f>
        <v/>
      </c>
      <c r="F44" s="99" t="str">
        <f>IF($D44="","",IF($D44&gt;=0.85,"ممتاز",IF($D44&gt;=0.75,"جيد جداً",IF($D44&gt;=0.65,"جيد",IF($D44&gt;=0.5,"مقبول","ضعيف")))))</f>
        <v/>
      </c>
      <c r="G44" s="100" t="n"/>
      <c r="H44" s="101" t="n"/>
      <c r="I44" s="100" t="n"/>
      <c r="J44" s="101" t="n"/>
      <c r="K44" s="100" t="n"/>
      <c r="L44" s="101" t="n"/>
      <c r="M44" s="100" t="n"/>
      <c r="N44" s="101" t="n"/>
      <c r="O44" s="100" t="n"/>
      <c r="P44" s="101" t="n"/>
      <c r="Q44" s="100" t="n"/>
      <c r="R44" s="101" t="n"/>
      <c r="S44" s="100" t="n"/>
      <c r="T44" s="101" t="n"/>
      <c r="U44" s="100" t="n"/>
      <c r="V44" s="101" t="n"/>
      <c r="W44" s="183" t="n"/>
      <c r="X44" s="103" t="n"/>
      <c r="Y44" s="104" t="n"/>
      <c r="Z44" s="103" t="n"/>
      <c r="AA44" s="104" t="n"/>
      <c r="AB44" s="103" t="n"/>
      <c r="AC44" s="104" t="n"/>
      <c r="AD44" s="103" t="n"/>
      <c r="AE44" s="104" t="n"/>
      <c r="AF44" s="103" t="n"/>
      <c r="AG44" s="104" t="n"/>
      <c r="AH44" s="103" t="n"/>
      <c r="AI44" s="104" t="n"/>
      <c r="AJ44" s="103" t="n"/>
      <c r="AK44" s="104" t="n"/>
      <c r="AL44" s="103" t="n"/>
      <c r="AM44" s="104" t="n"/>
      <c r="AN44" s="184" t="n"/>
      <c r="AO44" s="106" t="n"/>
      <c r="AP44" s="107" t="n"/>
      <c r="AQ44" s="106" t="n"/>
      <c r="AR44" s="107" t="n"/>
      <c r="AS44" s="106" t="n"/>
      <c r="AT44" s="107" t="n"/>
      <c r="AU44" s="106" t="n"/>
      <c r="AV44" s="107" t="n"/>
      <c r="AW44" s="106" t="n"/>
      <c r="AX44" s="107" t="n"/>
      <c r="AY44" s="106" t="n"/>
      <c r="AZ44" s="107" t="n"/>
      <c r="BA44" s="106" t="n"/>
      <c r="BB44" s="107" t="n"/>
      <c r="BC44" s="106" t="n"/>
      <c r="BD44" s="107" t="n"/>
      <c r="BE44" s="185" t="n"/>
      <c r="BF44" s="109" t="n"/>
      <c r="BG44" s="110" t="n"/>
      <c r="BH44" s="109" t="n"/>
      <c r="BI44" s="110" t="n"/>
      <c r="BJ44" s="109" t="n"/>
      <c r="BK44" s="110" t="n"/>
      <c r="BL44" s="109" t="n"/>
      <c r="BM44" s="110" t="n"/>
      <c r="BN44" s="109" t="n"/>
      <c r="BO44" s="110" t="n"/>
      <c r="BP44" s="109" t="n"/>
      <c r="BQ44" s="110" t="n"/>
      <c r="BR44" s="109" t="n"/>
      <c r="BS44" s="110" t="n"/>
      <c r="BT44" s="109" t="n"/>
      <c r="BU44" s="110" t="n"/>
      <c r="BV44" s="186" t="n"/>
      <c r="BW44" s="112" t="n"/>
      <c r="BX44" s="113" t="n"/>
      <c r="BY44" s="112" t="n"/>
      <c r="BZ44" s="113" t="n"/>
      <c r="CA44" s="112" t="n"/>
      <c r="CB44" s="113" t="n"/>
      <c r="CC44" s="112" t="n"/>
      <c r="CD44" s="113" t="n"/>
      <c r="CE44" s="112" t="n"/>
      <c r="CF44" s="113" t="n"/>
      <c r="CG44" s="112" t="n"/>
      <c r="CH44" s="113" t="n"/>
      <c r="CI44" s="112" t="n"/>
      <c r="CJ44" s="113" t="n"/>
      <c r="CK44" s="112" t="n"/>
      <c r="CL44" s="113" t="n"/>
      <c r="CM44" s="187" t="n"/>
      <c r="CN44" s="115" t="n"/>
      <c r="CO44" s="116" t="n"/>
      <c r="CP44" s="115" t="n"/>
      <c r="CQ44" s="116" t="n"/>
      <c r="CR44" s="115" t="n"/>
      <c r="CS44" s="116" t="n"/>
      <c r="CT44" s="115" t="n"/>
      <c r="CU44" s="116" t="n"/>
      <c r="CV44" s="115" t="n"/>
      <c r="CW44" s="116" t="n"/>
      <c r="CX44" s="115" t="n"/>
      <c r="CY44" s="116" t="n"/>
      <c r="CZ44" s="115" t="n"/>
      <c r="DA44" s="116" t="n"/>
      <c r="DB44" s="115" t="n"/>
      <c r="DC44" s="116" t="n"/>
      <c r="DD44" s="188" t="n"/>
      <c r="DE44" s="118" t="n"/>
      <c r="DF44" s="119" t="n"/>
      <c r="DG44" s="118" t="n"/>
      <c r="DH44" s="119" t="n"/>
      <c r="DI44" s="118" t="n"/>
      <c r="DJ44" s="119" t="n"/>
      <c r="DK44" s="118" t="n"/>
      <c r="DL44" s="119" t="n"/>
      <c r="DM44" s="118" t="n"/>
      <c r="DN44" s="119" t="n"/>
      <c r="DO44" s="118" t="n"/>
      <c r="DP44" s="119" t="n"/>
      <c r="DQ44" s="118" t="n"/>
      <c r="DR44" s="119" t="n"/>
      <c r="DS44" s="118" t="n"/>
      <c r="DT44" s="119" t="n"/>
      <c r="DU44" s="189" t="n"/>
      <c r="DV44" s="121" t="n"/>
      <c r="DW44" s="122" t="n"/>
      <c r="DX44" s="121" t="n"/>
      <c r="DY44" s="122" t="n"/>
      <c r="DZ44" s="121" t="n"/>
      <c r="EA44" s="122" t="n"/>
      <c r="EB44" s="121" t="n"/>
      <c r="EC44" s="122" t="n"/>
      <c r="ED44" s="121" t="n"/>
      <c r="EE44" s="122" t="n"/>
      <c r="EF44" s="121" t="n"/>
      <c r="EG44" s="122" t="n"/>
      <c r="EH44" s="121" t="n"/>
      <c r="EI44" s="122" t="n"/>
      <c r="EJ44" s="121" t="n"/>
      <c r="EK44" s="122" t="n"/>
      <c r="EL44" s="190" t="n"/>
      <c r="EM44" s="124" t="n"/>
      <c r="EN44" s="125" t="n"/>
      <c r="EO44" s="124" t="n"/>
      <c r="EP44" s="125" t="n"/>
      <c r="EQ44" s="124" t="n"/>
      <c r="ER44" s="125" t="n"/>
      <c r="ES44" s="124" t="n"/>
      <c r="ET44" s="125" t="n"/>
      <c r="EU44" s="124" t="n"/>
      <c r="EV44" s="125" t="n"/>
      <c r="EW44" s="124" t="n"/>
      <c r="EX44" s="125" t="n"/>
      <c r="EY44" s="124" t="n"/>
      <c r="EZ44" s="125" t="n"/>
      <c r="FA44" s="124" t="n"/>
      <c r="FB44" s="125" t="n"/>
      <c r="FC44" s="191" t="n"/>
      <c r="FD44" s="127" t="n"/>
      <c r="FE44" s="128" t="n"/>
      <c r="FF44" s="127" t="n"/>
      <c r="FG44" s="128" t="n"/>
      <c r="FH44" s="127" t="n"/>
      <c r="FI44" s="128" t="n"/>
      <c r="FJ44" s="127" t="n"/>
      <c r="FK44" s="128" t="n"/>
      <c r="FL44" s="127" t="n"/>
      <c r="FM44" s="128" t="n"/>
      <c r="FN44" s="127" t="n"/>
      <c r="FO44" s="128" t="n"/>
      <c r="FP44" s="127" t="n"/>
      <c r="FQ44" s="128" t="n"/>
      <c r="FR44" s="127" t="n"/>
      <c r="FS44" s="128" t="n"/>
      <c r="FT44" s="192" t="n"/>
      <c r="FU44" s="130" t="n"/>
      <c r="FV44" s="131" t="n"/>
      <c r="FW44" s="130" t="n"/>
      <c r="FX44" s="131" t="n"/>
      <c r="FY44" s="130" t="n"/>
      <c r="FZ44" s="131" t="n"/>
      <c r="GA44" s="130" t="n"/>
      <c r="GB44" s="131" t="n"/>
      <c r="GC44" s="130" t="n"/>
      <c r="GD44" s="131" t="n"/>
      <c r="GE44" s="130" t="n"/>
      <c r="GF44" s="131" t="n"/>
      <c r="GG44" s="130" t="n"/>
      <c r="GH44" s="131" t="n"/>
      <c r="GI44" s="130" t="n"/>
      <c r="GJ44" s="131" t="n"/>
      <c r="GK44" s="193" t="n"/>
      <c r="GL44" s="133" t="n"/>
      <c r="GM44" s="134" t="n"/>
      <c r="GN44" s="133" t="n"/>
      <c r="GO44" s="134" t="n"/>
      <c r="GP44" s="133" t="n"/>
      <c r="GQ44" s="134" t="n"/>
      <c r="GR44" s="133" t="n"/>
      <c r="GS44" s="134" t="n"/>
      <c r="GT44" s="133" t="n"/>
      <c r="GU44" s="134" t="n"/>
      <c r="GV44" s="133" t="n"/>
      <c r="GW44" s="134" t="n"/>
      <c r="GX44" s="133" t="n"/>
      <c r="GY44" s="134" t="n"/>
      <c r="GZ44" s="133" t="n"/>
      <c r="HA44" s="134" t="n"/>
      <c r="HB44" s="194" t="n"/>
      <c r="HC44">
        <f>SUMIFS($G44:$HB44,$G$46:$HB$46,"&gt;="&amp;$HD$1,$G$46:$HB$46,"&lt;="&amp;$HD$2,$G$29:$HB$29,"&lt;&gt;ملاحظات",$G$28:$HB$28,"&gt;0")</f>
        <v>0</v>
      </c>
      <c r="HD44">
        <f>SUMIFS($G$28:$HB$28,$G$46:$HB$46,"&gt;="&amp;$HD$1,$G$46:$HB$46,"&lt;="&amp;$HD$2,$G$29:$HB$29,"&lt;&gt;ملاحظات",$G44:$HB44,"&gt;=0")</f>
        <v>0</v>
      </c>
    </row>
    <row r="45" ht="7.5" customHeight="1"/>
    <row r="46" hidden="1">
      <c r="G46" t="n">
        <v>1</v>
      </c>
      <c r="H46" t="n">
        <v>1</v>
      </c>
      <c r="I46" t="n">
        <v>1</v>
      </c>
      <c r="J46" t="n">
        <v>1</v>
      </c>
      <c r="K46" t="n">
        <v>1</v>
      </c>
      <c r="L46" t="n">
        <v>1</v>
      </c>
      <c r="M46" t="n">
        <v>1</v>
      </c>
      <c r="N46" t="n">
        <v>1</v>
      </c>
      <c r="O46" t="n">
        <v>1</v>
      </c>
      <c r="P46" t="n">
        <v>1</v>
      </c>
      <c r="Q46" t="n">
        <v>1</v>
      </c>
      <c r="R46" t="n">
        <v>1</v>
      </c>
      <c r="S46" t="n">
        <v>1</v>
      </c>
      <c r="T46" t="n">
        <v>1</v>
      </c>
      <c r="U46" t="n">
        <v>1</v>
      </c>
      <c r="V46" t="n">
        <v>1</v>
      </c>
      <c r="W46" t="n">
        <v>1</v>
      </c>
      <c r="X46" t="n">
        <v>2</v>
      </c>
      <c r="Y46" t="n">
        <v>2</v>
      </c>
      <c r="Z46" t="n">
        <v>2</v>
      </c>
      <c r="AA46" t="n">
        <v>2</v>
      </c>
      <c r="AB46" t="n">
        <v>2</v>
      </c>
      <c r="AC46" t="n">
        <v>2</v>
      </c>
      <c r="AD46" t="n">
        <v>2</v>
      </c>
      <c r="AE46" t="n">
        <v>2</v>
      </c>
      <c r="AF46" t="n">
        <v>2</v>
      </c>
      <c r="AG46" t="n">
        <v>2</v>
      </c>
      <c r="AH46" t="n">
        <v>2</v>
      </c>
      <c r="AI46" t="n">
        <v>2</v>
      </c>
      <c r="AJ46" t="n">
        <v>2</v>
      </c>
      <c r="AK46" t="n">
        <v>2</v>
      </c>
      <c r="AL46" t="n">
        <v>2</v>
      </c>
      <c r="AM46" t="n">
        <v>2</v>
      </c>
      <c r="AN46" t="n">
        <v>2</v>
      </c>
      <c r="AO46" t="n">
        <v>3</v>
      </c>
      <c r="AP46" t="n">
        <v>3</v>
      </c>
      <c r="AQ46" t="n">
        <v>3</v>
      </c>
      <c r="AR46" t="n">
        <v>3</v>
      </c>
      <c r="AS46" t="n">
        <v>3</v>
      </c>
      <c r="AT46" t="n">
        <v>3</v>
      </c>
      <c r="AU46" t="n">
        <v>3</v>
      </c>
      <c r="AV46" t="n">
        <v>3</v>
      </c>
      <c r="AW46" t="n">
        <v>3</v>
      </c>
      <c r="AX46" t="n">
        <v>3</v>
      </c>
      <c r="AY46" t="n">
        <v>3</v>
      </c>
      <c r="AZ46" t="n">
        <v>3</v>
      </c>
      <c r="BA46" t="n">
        <v>3</v>
      </c>
      <c r="BB46" t="n">
        <v>3</v>
      </c>
      <c r="BC46" t="n">
        <v>3</v>
      </c>
      <c r="BD46" t="n">
        <v>3</v>
      </c>
      <c r="BE46" t="n">
        <v>3</v>
      </c>
      <c r="BF46" t="n">
        <v>4</v>
      </c>
      <c r="BG46" t="n">
        <v>4</v>
      </c>
      <c r="BH46" t="n">
        <v>4</v>
      </c>
      <c r="BI46" t="n">
        <v>4</v>
      </c>
      <c r="BJ46" t="n">
        <v>4</v>
      </c>
      <c r="BK46" t="n">
        <v>4</v>
      </c>
      <c r="BL46" t="n">
        <v>4</v>
      </c>
      <c r="BM46" t="n">
        <v>4</v>
      </c>
      <c r="BN46" t="n">
        <v>4</v>
      </c>
      <c r="BO46" t="n">
        <v>4</v>
      </c>
      <c r="BP46" t="n">
        <v>4</v>
      </c>
      <c r="BQ46" t="n">
        <v>4</v>
      </c>
      <c r="BR46" t="n">
        <v>4</v>
      </c>
      <c r="BS46" t="n">
        <v>4</v>
      </c>
      <c r="BT46" t="n">
        <v>4</v>
      </c>
      <c r="BU46" t="n">
        <v>4</v>
      </c>
      <c r="BV46" t="n">
        <v>4</v>
      </c>
      <c r="BW46" t="n">
        <v>5</v>
      </c>
      <c r="BX46" t="n">
        <v>5</v>
      </c>
      <c r="BY46" t="n">
        <v>5</v>
      </c>
      <c r="BZ46" t="n">
        <v>5</v>
      </c>
      <c r="CA46" t="n">
        <v>5</v>
      </c>
      <c r="CB46" t="n">
        <v>5</v>
      </c>
      <c r="CC46" t="n">
        <v>5</v>
      </c>
      <c r="CD46" t="n">
        <v>5</v>
      </c>
      <c r="CE46" t="n">
        <v>5</v>
      </c>
      <c r="CF46" t="n">
        <v>5</v>
      </c>
      <c r="CG46" t="n">
        <v>5</v>
      </c>
      <c r="CH46" t="n">
        <v>5</v>
      </c>
      <c r="CI46" t="n">
        <v>5</v>
      </c>
      <c r="CJ46" t="n">
        <v>5</v>
      </c>
      <c r="CK46" t="n">
        <v>5</v>
      </c>
      <c r="CL46" t="n">
        <v>5</v>
      </c>
      <c r="CM46" t="n">
        <v>5</v>
      </c>
      <c r="CN46" t="n">
        <v>6</v>
      </c>
      <c r="CO46" t="n">
        <v>6</v>
      </c>
      <c r="CP46" t="n">
        <v>6</v>
      </c>
      <c r="CQ46" t="n">
        <v>6</v>
      </c>
      <c r="CR46" t="n">
        <v>6</v>
      </c>
      <c r="CS46" t="n">
        <v>6</v>
      </c>
      <c r="CT46" t="n">
        <v>6</v>
      </c>
      <c r="CU46" t="n">
        <v>6</v>
      </c>
      <c r="CV46" t="n">
        <v>6</v>
      </c>
      <c r="CW46" t="n">
        <v>6</v>
      </c>
      <c r="CX46" t="n">
        <v>6</v>
      </c>
      <c r="CY46" t="n">
        <v>6</v>
      </c>
      <c r="CZ46" t="n">
        <v>6</v>
      </c>
      <c r="DA46" t="n">
        <v>6</v>
      </c>
      <c r="DB46" t="n">
        <v>6</v>
      </c>
      <c r="DC46" t="n">
        <v>6</v>
      </c>
      <c r="DD46" t="n">
        <v>6</v>
      </c>
      <c r="DE46" t="n">
        <v>7</v>
      </c>
      <c r="DF46" t="n">
        <v>7</v>
      </c>
      <c r="DG46" t="n">
        <v>7</v>
      </c>
      <c r="DH46" t="n">
        <v>7</v>
      </c>
      <c r="DI46" t="n">
        <v>7</v>
      </c>
      <c r="DJ46" t="n">
        <v>7</v>
      </c>
      <c r="DK46" t="n">
        <v>7</v>
      </c>
      <c r="DL46" t="n">
        <v>7</v>
      </c>
      <c r="DM46" t="n">
        <v>7</v>
      </c>
      <c r="DN46" t="n">
        <v>7</v>
      </c>
      <c r="DO46" t="n">
        <v>7</v>
      </c>
      <c r="DP46" t="n">
        <v>7</v>
      </c>
      <c r="DQ46" t="n">
        <v>7</v>
      </c>
      <c r="DR46" t="n">
        <v>7</v>
      </c>
      <c r="DS46" t="n">
        <v>7</v>
      </c>
      <c r="DT46" t="n">
        <v>7</v>
      </c>
      <c r="DU46" t="n">
        <v>7</v>
      </c>
      <c r="DV46" t="n">
        <v>8</v>
      </c>
      <c r="DW46" t="n">
        <v>8</v>
      </c>
      <c r="DX46" t="n">
        <v>8</v>
      </c>
      <c r="DY46" t="n">
        <v>8</v>
      </c>
      <c r="DZ46" t="n">
        <v>8</v>
      </c>
      <c r="EA46" t="n">
        <v>8</v>
      </c>
      <c r="EB46" t="n">
        <v>8</v>
      </c>
      <c r="EC46" t="n">
        <v>8</v>
      </c>
      <c r="ED46" t="n">
        <v>8</v>
      </c>
      <c r="EE46" t="n">
        <v>8</v>
      </c>
      <c r="EF46" t="n">
        <v>8</v>
      </c>
      <c r="EG46" t="n">
        <v>8</v>
      </c>
      <c r="EH46" t="n">
        <v>8</v>
      </c>
      <c r="EI46" t="n">
        <v>8</v>
      </c>
      <c r="EJ46" t="n">
        <v>8</v>
      </c>
      <c r="EK46" t="n">
        <v>8</v>
      </c>
      <c r="EL46" t="n">
        <v>8</v>
      </c>
      <c r="EM46" t="n">
        <v>9</v>
      </c>
      <c r="EN46" t="n">
        <v>9</v>
      </c>
      <c r="EO46" t="n">
        <v>9</v>
      </c>
      <c r="EP46" t="n">
        <v>9</v>
      </c>
      <c r="EQ46" t="n">
        <v>9</v>
      </c>
      <c r="ER46" t="n">
        <v>9</v>
      </c>
      <c r="ES46" t="n">
        <v>9</v>
      </c>
      <c r="ET46" t="n">
        <v>9</v>
      </c>
      <c r="EU46" t="n">
        <v>9</v>
      </c>
      <c r="EV46" t="n">
        <v>9</v>
      </c>
      <c r="EW46" t="n">
        <v>9</v>
      </c>
      <c r="EX46" t="n">
        <v>9</v>
      </c>
      <c r="EY46" t="n">
        <v>9</v>
      </c>
      <c r="EZ46" t="n">
        <v>9</v>
      </c>
      <c r="FA46" t="n">
        <v>9</v>
      </c>
      <c r="FB46" t="n">
        <v>9</v>
      </c>
      <c r="FC46" t="n">
        <v>9</v>
      </c>
      <c r="FD46" t="n">
        <v>10</v>
      </c>
      <c r="FE46" t="n">
        <v>10</v>
      </c>
      <c r="FF46" t="n">
        <v>10</v>
      </c>
      <c r="FG46" t="n">
        <v>10</v>
      </c>
      <c r="FH46" t="n">
        <v>10</v>
      </c>
      <c r="FI46" t="n">
        <v>10</v>
      </c>
      <c r="FJ46" t="n">
        <v>10</v>
      </c>
      <c r="FK46" t="n">
        <v>10</v>
      </c>
      <c r="FL46" t="n">
        <v>10</v>
      </c>
      <c r="FM46" t="n">
        <v>10</v>
      </c>
      <c r="FN46" t="n">
        <v>10</v>
      </c>
      <c r="FO46" t="n">
        <v>10</v>
      </c>
      <c r="FP46" t="n">
        <v>10</v>
      </c>
      <c r="FQ46" t="n">
        <v>10</v>
      </c>
      <c r="FR46" t="n">
        <v>10</v>
      </c>
      <c r="FS46" t="n">
        <v>10</v>
      </c>
      <c r="FT46" t="n">
        <v>10</v>
      </c>
      <c r="FU46" t="n">
        <v>11</v>
      </c>
      <c r="FV46" t="n">
        <v>11</v>
      </c>
      <c r="FW46" t="n">
        <v>11</v>
      </c>
      <c r="FX46" t="n">
        <v>11</v>
      </c>
      <c r="FY46" t="n">
        <v>11</v>
      </c>
      <c r="FZ46" t="n">
        <v>11</v>
      </c>
      <c r="GA46" t="n">
        <v>11</v>
      </c>
      <c r="GB46" t="n">
        <v>11</v>
      </c>
      <c r="GC46" t="n">
        <v>11</v>
      </c>
      <c r="GD46" t="n">
        <v>11</v>
      </c>
      <c r="GE46" t="n">
        <v>11</v>
      </c>
      <c r="GF46" t="n">
        <v>11</v>
      </c>
      <c r="GG46" t="n">
        <v>11</v>
      </c>
      <c r="GH46" t="n">
        <v>11</v>
      </c>
      <c r="GI46" t="n">
        <v>11</v>
      </c>
      <c r="GJ46" t="n">
        <v>11</v>
      </c>
      <c r="GK46" t="n">
        <v>11</v>
      </c>
      <c r="GL46" t="n">
        <v>12</v>
      </c>
      <c r="GM46" t="n">
        <v>12</v>
      </c>
      <c r="GN46" t="n">
        <v>12</v>
      </c>
      <c r="GO46" t="n">
        <v>12</v>
      </c>
      <c r="GP46" t="n">
        <v>12</v>
      </c>
      <c r="GQ46" t="n">
        <v>12</v>
      </c>
      <c r="GR46" t="n">
        <v>12</v>
      </c>
      <c r="GS46" t="n">
        <v>12</v>
      </c>
      <c r="GT46" t="n">
        <v>12</v>
      </c>
      <c r="GU46" t="n">
        <v>12</v>
      </c>
      <c r="GV46" t="n">
        <v>12</v>
      </c>
      <c r="GW46" t="n">
        <v>12</v>
      </c>
      <c r="GX46" t="n">
        <v>12</v>
      </c>
      <c r="GY46" t="n">
        <v>12</v>
      </c>
      <c r="GZ46" t="n">
        <v>12</v>
      </c>
      <c r="HA46" t="n">
        <v>12</v>
      </c>
      <c r="HB46" t="n">
        <v>12</v>
      </c>
    </row>
    <row r="47" hidden="1">
      <c r="G47" t="n">
        <v>1</v>
      </c>
      <c r="H47" t="n">
        <v>1</v>
      </c>
      <c r="I47" t="n">
        <v>2</v>
      </c>
      <c r="J47" t="n">
        <v>2</v>
      </c>
      <c r="K47" t="n">
        <v>3</v>
      </c>
      <c r="L47" t="n">
        <v>3</v>
      </c>
      <c r="M47" t="n">
        <v>4</v>
      </c>
      <c r="N47" t="n">
        <v>4</v>
      </c>
      <c r="O47" t="n">
        <v>5</v>
      </c>
      <c r="P47" t="n">
        <v>5</v>
      </c>
      <c r="Q47" t="n">
        <v>6</v>
      </c>
      <c r="R47" t="n">
        <v>6</v>
      </c>
      <c r="S47" t="n">
        <v>7</v>
      </c>
      <c r="T47" t="n">
        <v>7</v>
      </c>
      <c r="U47" t="n">
        <v>8</v>
      </c>
      <c r="V47" t="n">
        <v>8</v>
      </c>
      <c r="W47" t="n">
        <v>0</v>
      </c>
      <c r="X47" t="n">
        <v>9</v>
      </c>
      <c r="Y47" t="n">
        <v>9</v>
      </c>
      <c r="Z47" t="n">
        <v>10</v>
      </c>
      <c r="AA47" t="n">
        <v>10</v>
      </c>
      <c r="AB47" t="n">
        <v>11</v>
      </c>
      <c r="AC47" t="n">
        <v>11</v>
      </c>
      <c r="AD47" t="n">
        <v>12</v>
      </c>
      <c r="AE47" t="n">
        <v>12</v>
      </c>
      <c r="AF47" t="n">
        <v>13</v>
      </c>
      <c r="AG47" t="n">
        <v>13</v>
      </c>
      <c r="AH47" t="n">
        <v>14</v>
      </c>
      <c r="AI47" t="n">
        <v>14</v>
      </c>
      <c r="AJ47" t="n">
        <v>15</v>
      </c>
      <c r="AK47" t="n">
        <v>15</v>
      </c>
      <c r="AL47" t="n">
        <v>16</v>
      </c>
      <c r="AM47" t="n">
        <v>16</v>
      </c>
      <c r="AN47" t="n">
        <v>0</v>
      </c>
      <c r="AO47" t="n">
        <v>17</v>
      </c>
      <c r="AP47" t="n">
        <v>17</v>
      </c>
      <c r="AQ47" t="n">
        <v>18</v>
      </c>
      <c r="AR47" t="n">
        <v>18</v>
      </c>
      <c r="AS47" t="n">
        <v>19</v>
      </c>
      <c r="AT47" t="n">
        <v>19</v>
      </c>
      <c r="AU47" t="n">
        <v>20</v>
      </c>
      <c r="AV47" t="n">
        <v>20</v>
      </c>
      <c r="AW47" t="n">
        <v>21</v>
      </c>
      <c r="AX47" t="n">
        <v>21</v>
      </c>
      <c r="AY47" t="n">
        <v>22</v>
      </c>
      <c r="AZ47" t="n">
        <v>22</v>
      </c>
      <c r="BA47" t="n">
        <v>23</v>
      </c>
      <c r="BB47" t="n">
        <v>23</v>
      </c>
      <c r="BC47" t="n">
        <v>24</v>
      </c>
      <c r="BD47" t="n">
        <v>24</v>
      </c>
      <c r="BE47" t="n">
        <v>0</v>
      </c>
      <c r="BF47" t="n">
        <v>25</v>
      </c>
      <c r="BG47" t="n">
        <v>25</v>
      </c>
      <c r="BH47" t="n">
        <v>26</v>
      </c>
      <c r="BI47" t="n">
        <v>26</v>
      </c>
      <c r="BJ47" t="n">
        <v>27</v>
      </c>
      <c r="BK47" t="n">
        <v>27</v>
      </c>
      <c r="BL47" t="n">
        <v>28</v>
      </c>
      <c r="BM47" t="n">
        <v>28</v>
      </c>
      <c r="BN47" t="n">
        <v>29</v>
      </c>
      <c r="BO47" t="n">
        <v>29</v>
      </c>
      <c r="BP47" t="n">
        <v>30</v>
      </c>
      <c r="BQ47" t="n">
        <v>30</v>
      </c>
      <c r="BR47" t="n">
        <v>31</v>
      </c>
      <c r="BS47" t="n">
        <v>31</v>
      </c>
      <c r="BT47" t="n">
        <v>32</v>
      </c>
      <c r="BU47" t="n">
        <v>32</v>
      </c>
      <c r="BV47" t="n">
        <v>0</v>
      </c>
      <c r="BW47" t="n">
        <v>33</v>
      </c>
      <c r="BX47" t="n">
        <v>33</v>
      </c>
      <c r="BY47" t="n">
        <v>34</v>
      </c>
      <c r="BZ47" t="n">
        <v>34</v>
      </c>
      <c r="CA47" t="n">
        <v>35</v>
      </c>
      <c r="CB47" t="n">
        <v>35</v>
      </c>
      <c r="CC47" t="n">
        <v>36</v>
      </c>
      <c r="CD47" t="n">
        <v>36</v>
      </c>
      <c r="CE47" t="n">
        <v>37</v>
      </c>
      <c r="CF47" t="n">
        <v>37</v>
      </c>
      <c r="CG47" t="n">
        <v>38</v>
      </c>
      <c r="CH47" t="n">
        <v>38</v>
      </c>
      <c r="CI47" t="n">
        <v>39</v>
      </c>
      <c r="CJ47" t="n">
        <v>39</v>
      </c>
      <c r="CK47" t="n">
        <v>40</v>
      </c>
      <c r="CL47" t="n">
        <v>40</v>
      </c>
      <c r="CM47" t="n">
        <v>0</v>
      </c>
      <c r="CN47" t="n">
        <v>41</v>
      </c>
      <c r="CO47" t="n">
        <v>41</v>
      </c>
      <c r="CP47" t="n">
        <v>42</v>
      </c>
      <c r="CQ47" t="n">
        <v>42</v>
      </c>
      <c r="CR47" t="n">
        <v>43</v>
      </c>
      <c r="CS47" t="n">
        <v>43</v>
      </c>
      <c r="CT47" t="n">
        <v>44</v>
      </c>
      <c r="CU47" t="n">
        <v>44</v>
      </c>
      <c r="CV47" t="n">
        <v>45</v>
      </c>
      <c r="CW47" t="n">
        <v>45</v>
      </c>
      <c r="CX47" t="n">
        <v>46</v>
      </c>
      <c r="CY47" t="n">
        <v>46</v>
      </c>
      <c r="CZ47" t="n">
        <v>47</v>
      </c>
      <c r="DA47" t="n">
        <v>47</v>
      </c>
      <c r="DB47" t="n">
        <v>48</v>
      </c>
      <c r="DC47" t="n">
        <v>48</v>
      </c>
      <c r="DD47" t="n">
        <v>0</v>
      </c>
      <c r="DE47" t="n">
        <v>49</v>
      </c>
      <c r="DF47" t="n">
        <v>49</v>
      </c>
      <c r="DG47" t="n">
        <v>50</v>
      </c>
      <c r="DH47" t="n">
        <v>50</v>
      </c>
      <c r="DI47" t="n">
        <v>51</v>
      </c>
      <c r="DJ47" t="n">
        <v>51</v>
      </c>
      <c r="DK47" t="n">
        <v>52</v>
      </c>
      <c r="DL47" t="n">
        <v>52</v>
      </c>
      <c r="DM47" t="n">
        <v>53</v>
      </c>
      <c r="DN47" t="n">
        <v>53</v>
      </c>
      <c r="DO47" t="n">
        <v>54</v>
      </c>
      <c r="DP47" t="n">
        <v>54</v>
      </c>
      <c r="DQ47" t="n">
        <v>55</v>
      </c>
      <c r="DR47" t="n">
        <v>55</v>
      </c>
      <c r="DS47" t="n">
        <v>56</v>
      </c>
      <c r="DT47" t="n">
        <v>56</v>
      </c>
      <c r="DU47" t="n">
        <v>0</v>
      </c>
      <c r="DV47" t="n">
        <v>57</v>
      </c>
      <c r="DW47" t="n">
        <v>57</v>
      </c>
      <c r="DX47" t="n">
        <v>58</v>
      </c>
      <c r="DY47" t="n">
        <v>58</v>
      </c>
      <c r="DZ47" t="n">
        <v>59</v>
      </c>
      <c r="EA47" t="n">
        <v>59</v>
      </c>
      <c r="EB47" t="n">
        <v>60</v>
      </c>
      <c r="EC47" t="n">
        <v>60</v>
      </c>
      <c r="ED47" t="n">
        <v>61</v>
      </c>
      <c r="EE47" t="n">
        <v>61</v>
      </c>
      <c r="EF47" t="n">
        <v>62</v>
      </c>
      <c r="EG47" t="n">
        <v>62</v>
      </c>
      <c r="EH47" t="n">
        <v>63</v>
      </c>
      <c r="EI47" t="n">
        <v>63</v>
      </c>
      <c r="EJ47" t="n">
        <v>64</v>
      </c>
      <c r="EK47" t="n">
        <v>64</v>
      </c>
      <c r="EL47" t="n">
        <v>0</v>
      </c>
      <c r="EM47" t="n">
        <v>65</v>
      </c>
      <c r="EN47" t="n">
        <v>65</v>
      </c>
      <c r="EO47" t="n">
        <v>66</v>
      </c>
      <c r="EP47" t="n">
        <v>66</v>
      </c>
      <c r="EQ47" t="n">
        <v>67</v>
      </c>
      <c r="ER47" t="n">
        <v>67</v>
      </c>
      <c r="ES47" t="n">
        <v>68</v>
      </c>
      <c r="ET47" t="n">
        <v>68</v>
      </c>
      <c r="EU47" t="n">
        <v>69</v>
      </c>
      <c r="EV47" t="n">
        <v>69</v>
      </c>
      <c r="EW47" t="n">
        <v>70</v>
      </c>
      <c r="EX47" t="n">
        <v>70</v>
      </c>
      <c r="EY47" t="n">
        <v>71</v>
      </c>
      <c r="EZ47" t="n">
        <v>71</v>
      </c>
      <c r="FA47" t="n">
        <v>72</v>
      </c>
      <c r="FB47" t="n">
        <v>72</v>
      </c>
      <c r="FC47" t="n">
        <v>0</v>
      </c>
      <c r="FD47" t="n">
        <v>73</v>
      </c>
      <c r="FE47" t="n">
        <v>73</v>
      </c>
      <c r="FF47" t="n">
        <v>74</v>
      </c>
      <c r="FG47" t="n">
        <v>74</v>
      </c>
      <c r="FH47" t="n">
        <v>75</v>
      </c>
      <c r="FI47" t="n">
        <v>75</v>
      </c>
      <c r="FJ47" t="n">
        <v>76</v>
      </c>
      <c r="FK47" t="n">
        <v>76</v>
      </c>
      <c r="FL47" t="n">
        <v>77</v>
      </c>
      <c r="FM47" t="n">
        <v>77</v>
      </c>
      <c r="FN47" t="n">
        <v>78</v>
      </c>
      <c r="FO47" t="n">
        <v>78</v>
      </c>
      <c r="FP47" t="n">
        <v>79</v>
      </c>
      <c r="FQ47" t="n">
        <v>79</v>
      </c>
      <c r="FR47" t="n">
        <v>80</v>
      </c>
      <c r="FS47" t="n">
        <v>80</v>
      </c>
      <c r="FT47" t="n">
        <v>0</v>
      </c>
      <c r="FU47" t="n">
        <v>81</v>
      </c>
      <c r="FV47" t="n">
        <v>81</v>
      </c>
      <c r="FW47" t="n">
        <v>82</v>
      </c>
      <c r="FX47" t="n">
        <v>82</v>
      </c>
      <c r="FY47" t="n">
        <v>83</v>
      </c>
      <c r="FZ47" t="n">
        <v>83</v>
      </c>
      <c r="GA47" t="n">
        <v>84</v>
      </c>
      <c r="GB47" t="n">
        <v>84</v>
      </c>
      <c r="GC47" t="n">
        <v>85</v>
      </c>
      <c r="GD47" t="n">
        <v>85</v>
      </c>
      <c r="GE47" t="n">
        <v>86</v>
      </c>
      <c r="GF47" t="n">
        <v>86</v>
      </c>
      <c r="GG47" t="n">
        <v>87</v>
      </c>
      <c r="GH47" t="n">
        <v>87</v>
      </c>
      <c r="GI47" t="n">
        <v>88</v>
      </c>
      <c r="GJ47" t="n">
        <v>88</v>
      </c>
      <c r="GK47" t="n">
        <v>0</v>
      </c>
      <c r="GL47" t="n">
        <v>89</v>
      </c>
      <c r="GM47" t="n">
        <v>89</v>
      </c>
      <c r="GN47" t="n">
        <v>90</v>
      </c>
      <c r="GO47" t="n">
        <v>90</v>
      </c>
      <c r="GP47" t="n">
        <v>91</v>
      </c>
      <c r="GQ47" t="n">
        <v>91</v>
      </c>
      <c r="GR47" t="n">
        <v>92</v>
      </c>
      <c r="GS47" t="n">
        <v>92</v>
      </c>
      <c r="GT47" t="n">
        <v>93</v>
      </c>
      <c r="GU47" t="n">
        <v>93</v>
      </c>
      <c r="GV47" t="n">
        <v>94</v>
      </c>
      <c r="GW47" t="n">
        <v>94</v>
      </c>
      <c r="GX47" t="n">
        <v>95</v>
      </c>
      <c r="GY47" t="n">
        <v>95</v>
      </c>
      <c r="GZ47" t="n">
        <v>96</v>
      </c>
      <c r="HA47" t="n">
        <v>96</v>
      </c>
      <c r="HB47" t="n">
        <v>0</v>
      </c>
    </row>
  </sheetData>
  <mergeCells count="340">
    <mergeCell ref="BW1:CM1"/>
    <mergeCell ref="X2:Y2"/>
    <mergeCell ref="FY2:FZ2"/>
    <mergeCell ref="FU1:GK1"/>
    <mergeCell ref="DV2:DW2"/>
    <mergeCell ref="CZ27:DA27"/>
    <mergeCell ref="DB27:DC27"/>
    <mergeCell ref="BH2:BI2"/>
    <mergeCell ref="BJ2:BK2"/>
    <mergeCell ref="EB3:EC3"/>
    <mergeCell ref="ED3:EE3"/>
    <mergeCell ref="FD2:FE2"/>
    <mergeCell ref="FF2:FG2"/>
    <mergeCell ref="AQ2:AR2"/>
    <mergeCell ref="AS2:AT2"/>
    <mergeCell ref="O27:P27"/>
    <mergeCell ref="GL3:GM3"/>
    <mergeCell ref="Q27:R27"/>
    <mergeCell ref="FN3:FO3"/>
    <mergeCell ref="CM27:CM28"/>
    <mergeCell ref="GR2:GS2"/>
    <mergeCell ref="A28:B28"/>
    <mergeCell ref="CC2:CD2"/>
    <mergeCell ref="CE2:CF2"/>
    <mergeCell ref="EW3:EX3"/>
    <mergeCell ref="GA2:GB2"/>
    <mergeCell ref="DI3:DJ3"/>
    <mergeCell ref="GL1:HB1"/>
    <mergeCell ref="AJ27:AK27"/>
    <mergeCell ref="DO2:DP2"/>
    <mergeCell ref="AL27:AM27"/>
    <mergeCell ref="DQ2:DR2"/>
    <mergeCell ref="GI3:GJ3"/>
    <mergeCell ref="CX2:CY2"/>
    <mergeCell ref="EM3:EN3"/>
    <mergeCell ref="CZ2:DA2"/>
    <mergeCell ref="X3:Y3"/>
    <mergeCell ref="Z3:AA3"/>
    <mergeCell ref="AF2:AG2"/>
    <mergeCell ref="EJ2:EK2"/>
    <mergeCell ref="FY3:FZ3"/>
    <mergeCell ref="BJ3:BK3"/>
    <mergeCell ref="BL3:BM3"/>
    <mergeCell ref="EM1:FC1"/>
    <mergeCell ref="X1:AN1"/>
    <mergeCell ref="HB27:HB28"/>
    <mergeCell ref="FF3:FG3"/>
    <mergeCell ref="FP3:FQ3"/>
    <mergeCell ref="FH3:FI3"/>
    <mergeCell ref="BA2:BB2"/>
    <mergeCell ref="BC27:BD27"/>
    <mergeCell ref="BC2:BD2"/>
    <mergeCell ref="A1:B1"/>
    <mergeCell ref="GR3:GS3"/>
    <mergeCell ref="GT3:GU3"/>
    <mergeCell ref="M2:N2"/>
    <mergeCell ref="CE3:CF3"/>
    <mergeCell ref="CG3:CH3"/>
    <mergeCell ref="CK2:CL2"/>
    <mergeCell ref="C20:F20"/>
    <mergeCell ref="FC27:FC28"/>
    <mergeCell ref="DQ3:DR3"/>
    <mergeCell ref="DS3:DT3"/>
    <mergeCell ref="AN27:AN28"/>
    <mergeCell ref="DK3:DL3"/>
    <mergeCell ref="C22:F22"/>
    <mergeCell ref="AH2:AI2"/>
    <mergeCell ref="FF27:FG27"/>
    <mergeCell ref="AF3:AG3"/>
    <mergeCell ref="A24:B24"/>
    <mergeCell ref="AH3:AI3"/>
    <mergeCell ref="BW27:BX27"/>
    <mergeCell ref="C27:E27"/>
    <mergeCell ref="BR3:BS3"/>
    <mergeCell ref="FN27:FO27"/>
    <mergeCell ref="BA3:BB3"/>
    <mergeCell ref="DG27:DH27"/>
    <mergeCell ref="BC3:BD3"/>
    <mergeCell ref="FT2:FT3"/>
    <mergeCell ref="DI27:DJ27"/>
    <mergeCell ref="M3:N3"/>
    <mergeCell ref="CP27:CQ27"/>
    <mergeCell ref="FC2:FC3"/>
    <mergeCell ref="FU2:FV2"/>
    <mergeCell ref="CR27:CS27"/>
    <mergeCell ref="AF27:AG27"/>
    <mergeCell ref="X27:Y27"/>
    <mergeCell ref="GI27:GJ27"/>
    <mergeCell ref="EB27:EC27"/>
    <mergeCell ref="ED27:EE27"/>
    <mergeCell ref="CN2:CO2"/>
    <mergeCell ref="FP27:FQ27"/>
    <mergeCell ref="BA27:BB27"/>
    <mergeCell ref="BE2:BE3"/>
    <mergeCell ref="BT3:BU3"/>
    <mergeCell ref="K2:L2"/>
    <mergeCell ref="EW27:EX27"/>
    <mergeCell ref="EY27:EZ27"/>
    <mergeCell ref="DG2:DH2"/>
    <mergeCell ref="FH27:FI27"/>
    <mergeCell ref="DI2:DJ2"/>
    <mergeCell ref="EJ27:EK27"/>
    <mergeCell ref="CE27:CF27"/>
    <mergeCell ref="AU2:AV2"/>
    <mergeCell ref="AQ27:AR27"/>
    <mergeCell ref="ES2:ET2"/>
    <mergeCell ref="GT27:GU27"/>
    <mergeCell ref="EU2:EV2"/>
    <mergeCell ref="EM27:EN27"/>
    <mergeCell ref="Z27:AA27"/>
    <mergeCell ref="FW3:FX3"/>
    <mergeCell ref="GC2:GD2"/>
    <mergeCell ref="DO27:DP27"/>
    <mergeCell ref="BP2:BQ2"/>
    <mergeCell ref="BJ27:BK27"/>
    <mergeCell ref="BL27:BM27"/>
    <mergeCell ref="FL2:FM2"/>
    <mergeCell ref="FN2:FO2"/>
    <mergeCell ref="FP2:FQ2"/>
    <mergeCell ref="CN3:CO3"/>
    <mergeCell ref="CP3:CQ3"/>
    <mergeCell ref="DX2:DY2"/>
    <mergeCell ref="DZ2:EA2"/>
    <mergeCell ref="CV27:CW27"/>
    <mergeCell ref="CX27:CY27"/>
    <mergeCell ref="GX2:GY2"/>
    <mergeCell ref="GZ2:HA2"/>
    <mergeCell ref="DX3:DY3"/>
    <mergeCell ref="DZ3:EA3"/>
    <mergeCell ref="CG27:CH27"/>
    <mergeCell ref="K3:L3"/>
    <mergeCell ref="CN1:DD1"/>
    <mergeCell ref="A2:B3"/>
    <mergeCell ref="AO2:AP2"/>
    <mergeCell ref="DQ27:DR27"/>
    <mergeCell ref="AW3:AX3"/>
    <mergeCell ref="AO3:AP3"/>
    <mergeCell ref="AQ3:AR3"/>
    <mergeCell ref="BY2:BZ2"/>
    <mergeCell ref="CA2:CB2"/>
    <mergeCell ref="ES3:ET3"/>
    <mergeCell ref="EU3:EV3"/>
    <mergeCell ref="GE2:GF2"/>
    <mergeCell ref="FW2:FX2"/>
    <mergeCell ref="A23:B23"/>
    <mergeCell ref="AH27:AI27"/>
    <mergeCell ref="AO1:BE1"/>
    <mergeCell ref="GE3:GF3"/>
    <mergeCell ref="GG3:GH3"/>
    <mergeCell ref="DD27:DD28"/>
    <mergeCell ref="CT2:CU2"/>
    <mergeCell ref="CV2:CW2"/>
    <mergeCell ref="C24:F25"/>
    <mergeCell ref="CV3:CW3"/>
    <mergeCell ref="CX3:CY3"/>
    <mergeCell ref="EF2:EG2"/>
    <mergeCell ref="EH2:EI2"/>
    <mergeCell ref="GZ3:HA3"/>
    <mergeCell ref="BF3:BG3"/>
    <mergeCell ref="S2:T2"/>
    <mergeCell ref="BH3:BI3"/>
    <mergeCell ref="U2:V2"/>
    <mergeCell ref="HB2:HB3"/>
    <mergeCell ref="GR27:GS27"/>
    <mergeCell ref="FD3:FE3"/>
    <mergeCell ref="BE27:BE28"/>
    <mergeCell ref="U3:V3"/>
    <mergeCell ref="AY2:AZ2"/>
    <mergeCell ref="FA2:FB2"/>
    <mergeCell ref="CA3:CB3"/>
    <mergeCell ref="CC3:CD3"/>
    <mergeCell ref="FW27:FX27"/>
    <mergeCell ref="FA3:FB3"/>
    <mergeCell ref="CT27:CU27"/>
    <mergeCell ref="DM3:DN3"/>
    <mergeCell ref="DO3:DP3"/>
    <mergeCell ref="BR2:BS2"/>
    <mergeCell ref="FD27:FE27"/>
    <mergeCell ref="W2:W3"/>
    <mergeCell ref="FT27:FT28"/>
    <mergeCell ref="DU2:DU3"/>
    <mergeCell ref="EH3:EI3"/>
    <mergeCell ref="EJ3:EK3"/>
    <mergeCell ref="FY27:FZ27"/>
    <mergeCell ref="FR3:FS3"/>
    <mergeCell ref="AY3:AZ3"/>
    <mergeCell ref="DE27:DF27"/>
    <mergeCell ref="ES27:ET27"/>
    <mergeCell ref="C28:F28"/>
    <mergeCell ref="CN27:CO27"/>
    <mergeCell ref="GE27:GF27"/>
    <mergeCell ref="GG27:GH27"/>
    <mergeCell ref="DX27:DY27"/>
    <mergeCell ref="GK2:GK3"/>
    <mergeCell ref="DZ27:EA27"/>
    <mergeCell ref="K27:L27"/>
    <mergeCell ref="M27:N27"/>
    <mergeCell ref="GL2:GM2"/>
    <mergeCell ref="GN2:GO2"/>
    <mergeCell ref="FL27:FM27"/>
    <mergeCell ref="AW27:AX27"/>
    <mergeCell ref="AO27:AP27"/>
    <mergeCell ref="AY27:AZ27"/>
    <mergeCell ref="BF1:BV1"/>
    <mergeCell ref="GZ27:HA27"/>
    <mergeCell ref="GN3:GO3"/>
    <mergeCell ref="G2:H2"/>
    <mergeCell ref="GP3:GQ3"/>
    <mergeCell ref="I2:J2"/>
    <mergeCell ref="EU27:EV27"/>
    <mergeCell ref="FD1:FT1"/>
    <mergeCell ref="DE2:DF2"/>
    <mergeCell ref="CK27:CL27"/>
    <mergeCell ref="GT2:GU2"/>
    <mergeCell ref="BR27:BS27"/>
    <mergeCell ref="BV2:BV3"/>
    <mergeCell ref="EM2:EN2"/>
    <mergeCell ref="BT27:BU27"/>
    <mergeCell ref="EO2:EP2"/>
    <mergeCell ref="EQ2:ER2"/>
    <mergeCell ref="Z2:AA2"/>
    <mergeCell ref="AB2:AC2"/>
    <mergeCell ref="AD2:AE2"/>
    <mergeCell ref="FU3:FV3"/>
    <mergeCell ref="FA27:FB27"/>
    <mergeCell ref="BL2:BM2"/>
    <mergeCell ref="BN2:BO2"/>
    <mergeCell ref="BF2:BG2"/>
    <mergeCell ref="BH27:BI27"/>
    <mergeCell ref="FH2:FI2"/>
    <mergeCell ref="FJ2:FK2"/>
    <mergeCell ref="AW2:AX2"/>
    <mergeCell ref="S27:T27"/>
    <mergeCell ref="U27:V27"/>
    <mergeCell ref="GV2:GW2"/>
    <mergeCell ref="CG2:CH2"/>
    <mergeCell ref="DV3:DW3"/>
    <mergeCell ref="CI2:CJ2"/>
    <mergeCell ref="CA27:CB27"/>
    <mergeCell ref="CC27:CD27"/>
    <mergeCell ref="G3:H3"/>
    <mergeCell ref="I3:J3"/>
    <mergeCell ref="DE3:DF3"/>
    <mergeCell ref="DS2:DT2"/>
    <mergeCell ref="DK2:DL2"/>
    <mergeCell ref="DM2:DN2"/>
    <mergeCell ref="AS3:AT3"/>
    <mergeCell ref="AU3:AV3"/>
    <mergeCell ref="DV1:EL1"/>
    <mergeCell ref="G1:W1"/>
    <mergeCell ref="GK27:GK28"/>
    <mergeCell ref="EO3:EP3"/>
    <mergeCell ref="DB2:DC2"/>
    <mergeCell ref="EQ3:ER3"/>
    <mergeCell ref="AB3:AC3"/>
    <mergeCell ref="AD3:AE3"/>
    <mergeCell ref="DE1:DU1"/>
    <mergeCell ref="AJ2:AK2"/>
    <mergeCell ref="AL2:AM2"/>
    <mergeCell ref="GA3:GB3"/>
    <mergeCell ref="GC3:GD3"/>
    <mergeCell ref="EH27:EI27"/>
    <mergeCell ref="BN3:BO3"/>
    <mergeCell ref="BP3:BQ3"/>
    <mergeCell ref="CR2:CS2"/>
    <mergeCell ref="FJ3:FK3"/>
    <mergeCell ref="FL3:FM3"/>
    <mergeCell ref="A27:B27"/>
    <mergeCell ref="FR2:FS2"/>
    <mergeCell ref="EL27:EL28"/>
    <mergeCell ref="CZ3:DA3"/>
    <mergeCell ref="CR3:CS3"/>
    <mergeCell ref="DB3:DC3"/>
    <mergeCell ref="W27:W28"/>
    <mergeCell ref="CT3:CU3"/>
    <mergeCell ref="ED2:EE2"/>
    <mergeCell ref="A22:B22"/>
    <mergeCell ref="GV3:GW3"/>
    <mergeCell ref="O2:P2"/>
    <mergeCell ref="GX3:GY3"/>
    <mergeCell ref="Q2:R2"/>
    <mergeCell ref="DU27:DU28"/>
    <mergeCell ref="GL27:GM27"/>
    <mergeCell ref="CI3:CJ3"/>
    <mergeCell ref="GN27:GO27"/>
    <mergeCell ref="C1:F3"/>
    <mergeCell ref="CK3:CL3"/>
    <mergeCell ref="O3:P3"/>
    <mergeCell ref="Q3:R3"/>
    <mergeCell ref="EW2:EX2"/>
    <mergeCell ref="EY2:EZ2"/>
    <mergeCell ref="BF27:BG27"/>
    <mergeCell ref="BY3:BZ3"/>
    <mergeCell ref="EY3:EZ3"/>
    <mergeCell ref="BV27:BV28"/>
    <mergeCell ref="AJ3:AK3"/>
    <mergeCell ref="AL3:AM3"/>
    <mergeCell ref="BT2:BU2"/>
    <mergeCell ref="GP27:GQ27"/>
    <mergeCell ref="BY27:BZ27"/>
    <mergeCell ref="EL2:EL3"/>
    <mergeCell ref="FR27:FS27"/>
    <mergeCell ref="FJ27:FK27"/>
    <mergeCell ref="DK27:DL27"/>
    <mergeCell ref="DM27:DN27"/>
    <mergeCell ref="EF3:EG3"/>
    <mergeCell ref="S3:T3"/>
    <mergeCell ref="FU27:FV27"/>
    <mergeCell ref="CM2:CM3"/>
    <mergeCell ref="AN2:AN3"/>
    <mergeCell ref="AB27:AC27"/>
    <mergeCell ref="AD27:AE27"/>
    <mergeCell ref="EF27:EG27"/>
    <mergeCell ref="EO27:EP27"/>
    <mergeCell ref="CP2:CQ2"/>
    <mergeCell ref="GA27:GB27"/>
    <mergeCell ref="EB2:EC2"/>
    <mergeCell ref="GC27:GD27"/>
    <mergeCell ref="C23:F23"/>
    <mergeCell ref="DV27:DW27"/>
    <mergeCell ref="G27:H27"/>
    <mergeCell ref="I27:J27"/>
    <mergeCell ref="A25:B25"/>
    <mergeCell ref="CI27:CJ27"/>
    <mergeCell ref="BW2:BX2"/>
    <mergeCell ref="DD2:DD3"/>
    <mergeCell ref="AS27:AT27"/>
    <mergeCell ref="AU27:AV27"/>
    <mergeCell ref="GV27:GW27"/>
    <mergeCell ref="GX27:GY27"/>
    <mergeCell ref="EQ27:ER27"/>
    <mergeCell ref="BW3:BX3"/>
    <mergeCell ref="A20:B20"/>
    <mergeCell ref="GG2:GH2"/>
    <mergeCell ref="GI2:GJ2"/>
    <mergeCell ref="DS27:DT27"/>
    <mergeCell ref="DG3:DH3"/>
    <mergeCell ref="GP2:GQ2"/>
    <mergeCell ref="BN27:BO27"/>
    <mergeCell ref="BP27:BQ27"/>
  </mergeCells>
  <conditionalFormatting sqref="G5:HB19">
    <cfRule type="expression" priority="1" dxfId="1">
      <formula>AND($B5&lt;&gt;"",G$4="ح",G$20&gt;0,N(G5)=0)</formula>
    </cfRule>
  </conditionalFormatting>
  <conditionalFormatting sqref="W5:W19">
    <cfRule type="expression" priority="2" dxfId="2">
      <formula>AND($B5&lt;&gt;"",N($W5)=0,SUMPRODUCT(--$G5:$V5)&gt;0)</formula>
    </cfRule>
  </conditionalFormatting>
  <conditionalFormatting sqref="AN5:AN19">
    <cfRule type="expression" priority="3" dxfId="2">
      <formula>AND($B5&lt;&gt;"",N($AN5)=0,SUMPRODUCT(--$X5:$AM5)&gt;0)</formula>
    </cfRule>
  </conditionalFormatting>
  <conditionalFormatting sqref="BE5:BE19">
    <cfRule type="expression" priority="4" dxfId="2">
      <formula>AND($B5&lt;&gt;"",N($BE5)=0,SUMPRODUCT(--$AO5:$BD5)&gt;0)</formula>
    </cfRule>
  </conditionalFormatting>
  <conditionalFormatting sqref="BV5:BV19">
    <cfRule type="expression" priority="5" dxfId="2">
      <formula>AND($B5&lt;&gt;"",N($BV5)=0,SUMPRODUCT(--$BF5:$BU5)&gt;0)</formula>
    </cfRule>
  </conditionalFormatting>
  <conditionalFormatting sqref="CM5:CM19">
    <cfRule type="expression" priority="6" dxfId="2">
      <formula>AND($B5&lt;&gt;"",N($CM5)=0,SUMPRODUCT(--$BW5:$CL5)&gt;0)</formula>
    </cfRule>
  </conditionalFormatting>
  <conditionalFormatting sqref="DD5:DD19">
    <cfRule type="expression" priority="7" dxfId="2">
      <formula>AND($B5&lt;&gt;"",N($DD5)=0,SUMPRODUCT(--$CN5:$DC5)&gt;0)</formula>
    </cfRule>
  </conditionalFormatting>
  <conditionalFormatting sqref="DU5:DU19">
    <cfRule type="expression" priority="8" dxfId="2">
      <formula>AND($B5&lt;&gt;"",N($DU5)=0,SUMPRODUCT(--$DE5:$DT5)&gt;0)</formula>
    </cfRule>
  </conditionalFormatting>
  <conditionalFormatting sqref="EL5:EL19">
    <cfRule type="expression" priority="9" dxfId="2">
      <formula>AND($B5&lt;&gt;"",N($EL5)=0,SUMPRODUCT(--$DV5:$EK5)&gt;0)</formula>
    </cfRule>
  </conditionalFormatting>
  <conditionalFormatting sqref="FC5:FC19">
    <cfRule type="expression" priority="10" dxfId="2">
      <formula>AND($B5&lt;&gt;"",N($FC5)=0,SUMPRODUCT(--$EM5:$FB5)&gt;0)</formula>
    </cfRule>
  </conditionalFormatting>
  <conditionalFormatting sqref="FT5:FT19">
    <cfRule type="expression" priority="11" dxfId="2">
      <formula>AND($B5&lt;&gt;"",N($FT5)=0,SUMPRODUCT(--$FD5:$FS5)&gt;0)</formula>
    </cfRule>
  </conditionalFormatting>
  <conditionalFormatting sqref="GK5:GK19">
    <cfRule type="expression" priority="12" dxfId="2">
      <formula>AND($B5&lt;&gt;"",N($GK5)=0,SUMPRODUCT(--$FU5:$GJ5)&gt;0)</formula>
    </cfRule>
  </conditionalFormatting>
  <conditionalFormatting sqref="HB5:HB19">
    <cfRule type="expression" priority="13" dxfId="2">
      <formula>AND($B5&lt;&gt;"",N($HB5)=0,SUMPRODUCT(--$GL5:$HA5)&gt;0)</formula>
    </cfRule>
  </conditionalFormatting>
  <conditionalFormatting sqref="G3:HB3">
    <cfRule type="expression" priority="14" dxfId="0">
      <formula>AND(G3&lt;&gt;"",G3=TODAY())</formula>
    </cfRule>
  </conditionalFormatting>
  <conditionalFormatting sqref="D5:D19">
    <cfRule type="expression" priority="15" dxfId="1">
      <formula>AND(ISNUMBER(D5),D5&gt;=$HG$1)</formula>
    </cfRule>
  </conditionalFormatting>
  <conditionalFormatting sqref="E5:E19">
    <cfRule type="expression" priority="16" dxfId="0">
      <formula>AND(ISNUMBER(E5),E5&gt;=2)</formula>
    </cfRule>
  </conditionalFormatting>
  <conditionalFormatting sqref="F5:F19">
    <cfRule type="expression" priority="17" dxfId="2">
      <formula>AND(F5&lt;&gt;"",F5&lt;&gt;"تمام",F5&lt;&gt;"-")</formula>
    </cfRule>
  </conditionalFormatting>
  <conditionalFormatting sqref="G30:HB44">
    <cfRule type="expression" priority="18" dxfId="1">
      <formula>AND(G$29&lt;&gt;"ملاحظات",ISNUMBER(G30),ISNUMBER(G$28),G30&gt;G$28)</formula>
    </cfRule>
    <cfRule type="expression" priority="19" dxfId="3">
      <formula>AND(G$29&lt;&gt;"ملاحظات",ISNUMBER(G30),ISNUMBER(G$28),G30&lt;G$28/2)</formula>
    </cfRule>
  </conditionalFormatting>
  <conditionalFormatting sqref="E30:E44">
    <cfRule type="expression" priority="20" dxfId="0">
      <formula>AND(ISNUMBER(E30),E30&lt;=3)</formula>
    </cfRule>
  </conditionalFormatting>
  <conditionalFormatting sqref="G28:HB28">
    <cfRule type="expression" priority="21" dxfId="2">
      <formula>AND(G$29&lt;&gt;"ملاحظات",NOT(ISNUMBER(G28)),COUNT(G$30:G$44)&gt;0)</formula>
    </cfRule>
  </conditionalFormatting>
  <dataValidations count="4">
    <dataValidation sqref="G27 I27 K27 M27 O27 Q27 S27 U27 X27 Z27 AB27 AD27 AF27 AH27 AJ27 AL27 AO27 AQ27 AS27 AU27 AW27 AY27 BA27 BC27 BF27 BH27 BJ27 BL27 BN27 BP27 BR27 BT27 BW27 BY27 CA27 CC27 CE27 CG27 CI27 CK27 CN27 CP27 CR27 CT27 CV27 CX27 CZ27 DB27 DE27 DG27 DI27 DK27 DM27 DO27 DQ27 DS27 DV27 DX27 DZ27 EB27 ED27 EF27 EH27 EJ27 EM27 EO27 EQ27 ES27 EU27 EW27 EY27 FA27 FD27 FF27 FH27 FJ27 FL27 FN27 FP27 FR27 FU27 FW27 FY27 GA27 GC27 GE27 GG27 GI27 GL27 GN27 GP27 GR27 GT27 GV27 GX27 GZ27" showDropDown="0" showInputMessage="0" showErrorMessage="1" allowBlank="1" type="list" errorStyle="warning">
      <formula1>"وحدة,شهر"</formula1>
    </dataValidation>
    <dataValidation sqref="F27" showDropDown="0" showInputMessage="0" showErrorMessage="1" allowBlank="0" type="list">
      <formula1>'حسابات'!$F$2:$F$14</formula1>
    </dataValidation>
    <dataValidation sqref="G28:V28 G30:V44 X28:AM28 X30:AM44 AO28:BD28 AO30:BD44 BF28:BU28 BF30:BU44 BW28:CL28 BW30:CL44 CN28:DC28 CN30:DC44 DE28:DT28 DE30:DT44 DV28:EK28 DV30:EK44 EM28:FB28 EM30:FB44 FD28:FS28 FD30:FS44 FU28:GJ28 FU30:GJ44 GL28:HA28 GL30:HA44" showDropDown="0" showInputMessage="0" showErrorMessage="1" allowBlank="1" errorTitle="الدرجة" error="اكتبي رقم بس، بالشكل ده: 8 أو 8.5" type="decimal" operator="between">
      <formula1>0</formula1>
      <formula2>1000</formula2>
    </dataValidation>
    <dataValidation sqref="G3:V3 X3:AM3 AO3:BD3 BF3:BU3 BW3:CL3 CN3:DC3 DE3:DT3 DV3:EK3 EM3:FB3 FD3:FS3 FU3:GJ3 GL3:HA3" showDropDown="0" showInputMessage="0" showErrorMessage="1" allowBlank="1" errorTitle="التاريخ" error="اكتبي التاريخ كده: 5/10" type="date" operator="greaterThan">
      <formula1>40000</formula1>
    </dataValidation>
  </dataValidations>
  <pageMargins left="0.75" right="0.75" top="1" bottom="1" header="0.5" footer="0.5"/>
</worksheet>
</file>

<file path=xl/worksheets/sheet4.xml><?xml version="1.0" encoding="utf-8"?>
<worksheet xmlns="http://schemas.openxmlformats.org/spreadsheetml/2006/main">
  <sheetPr>
    <tabColor rgb="00A9DEF9"/>
    <outlinePr summaryBelow="1" summaryRight="1"/>
    <pageSetUpPr/>
  </sheetPr>
  <dimension ref="A1:HG47"/>
  <sheetViews>
    <sheetView showGridLines="0" rightToLeft="1" workbookViewId="0">
      <pane xSplit="2" ySplit="3" topLeftCell="C4" activePane="bottomRight" state="frozen"/>
      <selection pane="topRight"/>
      <selection pane="bottomLeft"/>
      <selection pane="bottomRight" activeCell="A1" sqref="A1"/>
    </sheetView>
  </sheetViews>
  <sheetFormatPr baseColWidth="8" defaultRowHeight="15"/>
  <cols>
    <col width="3.57" customWidth="1" min="1" max="1"/>
    <col width="19.29" customWidth="1" min="2" max="2"/>
    <col width="14.71" customWidth="1" min="3" max="3"/>
    <col width="5.86" customWidth="1" min="4" max="4"/>
    <col width="5.86" customWidth="1" min="5" max="5"/>
    <col width="10.71" customWidth="1" min="6" max="6"/>
    <col outlineLevel="1" width="5" customWidth="1" min="7" max="7"/>
    <col outlineLevel="1" width="5" customWidth="1" min="8" max="8"/>
    <col outlineLevel="1" width="5" customWidth="1" min="9" max="9"/>
    <col outlineLevel="1" width="5" customWidth="1" min="10" max="10"/>
    <col outlineLevel="1" width="5" customWidth="1" min="11" max="11"/>
    <col outlineLevel="1" width="5" customWidth="1" min="12" max="12"/>
    <col outlineLevel="1" width="5" customWidth="1" min="13" max="13"/>
    <col outlineLevel="1" width="5" customWidth="1" min="14" max="14"/>
    <col outlineLevel="1" width="5" customWidth="1" min="15" max="15"/>
    <col outlineLevel="1" width="5" customWidth="1" min="16" max="16"/>
    <col outlineLevel="1" width="5" customWidth="1" min="17" max="17"/>
    <col outlineLevel="1" width="5" customWidth="1" min="18" max="18"/>
    <col outlineLevel="1" width="5" customWidth="1" min="19" max="19"/>
    <col outlineLevel="1" width="5" customWidth="1" min="20" max="20"/>
    <col outlineLevel="1" width="5" customWidth="1" min="21" max="21"/>
    <col outlineLevel="1" width="5" customWidth="1" min="22" max="22"/>
    <col width="14.14" customWidth="1" min="23" max="23"/>
    <col outlineLevel="1" width="5" customWidth="1" min="24" max="24"/>
    <col outlineLevel="1" width="5" customWidth="1" min="25" max="25"/>
    <col outlineLevel="1" width="5" customWidth="1" min="26" max="26"/>
    <col outlineLevel="1" width="5" customWidth="1" min="27" max="27"/>
    <col outlineLevel="1" width="5" customWidth="1" min="28" max="28"/>
    <col outlineLevel="1" width="5" customWidth="1" min="29" max="29"/>
    <col outlineLevel="1" width="5" customWidth="1" min="30" max="30"/>
    <col outlineLevel="1" width="5" customWidth="1" min="31" max="31"/>
    <col outlineLevel="1" width="5" customWidth="1" min="32" max="32"/>
    <col outlineLevel="1" width="5" customWidth="1" min="33" max="33"/>
    <col outlineLevel="1" width="5" customWidth="1" min="34" max="34"/>
    <col outlineLevel="1" width="5" customWidth="1" min="35" max="35"/>
    <col outlineLevel="1" width="5" customWidth="1" min="36" max="36"/>
    <col outlineLevel="1" width="5" customWidth="1" min="37" max="37"/>
    <col outlineLevel="1" width="5" customWidth="1" min="38" max="38"/>
    <col outlineLevel="1" width="5" customWidth="1" min="39" max="39"/>
    <col width="14.14" customWidth="1" min="40" max="40"/>
    <col outlineLevel="1" width="5" customWidth="1" min="41" max="41"/>
    <col outlineLevel="1" width="5" customWidth="1" min="42" max="42"/>
    <col outlineLevel="1" width="5" customWidth="1" min="43" max="43"/>
    <col outlineLevel="1" width="5" customWidth="1" min="44" max="44"/>
    <col outlineLevel="1" width="5" customWidth="1" min="45" max="45"/>
    <col outlineLevel="1" width="5" customWidth="1" min="46" max="46"/>
    <col outlineLevel="1" width="5" customWidth="1" min="47" max="47"/>
    <col outlineLevel="1" width="5" customWidth="1" min="48" max="48"/>
    <col outlineLevel="1" width="5" customWidth="1" min="49" max="49"/>
    <col outlineLevel="1" width="5" customWidth="1" min="50" max="50"/>
    <col outlineLevel="1" width="5" customWidth="1" min="51" max="51"/>
    <col outlineLevel="1" width="5" customWidth="1" min="52" max="52"/>
    <col outlineLevel="1" width="5" customWidth="1" min="53" max="53"/>
    <col outlineLevel="1" width="5" customWidth="1" min="54" max="54"/>
    <col outlineLevel="1" width="5" customWidth="1" min="55" max="55"/>
    <col outlineLevel="1" width="5" customWidth="1" min="56" max="56"/>
    <col width="14.14" customWidth="1" min="57" max="57"/>
    <col outlineLevel="1" width="5" customWidth="1" min="58" max="58"/>
    <col outlineLevel="1" width="5" customWidth="1" min="59" max="59"/>
    <col outlineLevel="1" width="5" customWidth="1" min="60" max="60"/>
    <col outlineLevel="1" width="5" customWidth="1" min="61" max="61"/>
    <col outlineLevel="1" width="5" customWidth="1" min="62" max="62"/>
    <col outlineLevel="1" width="5" customWidth="1" min="63" max="63"/>
    <col outlineLevel="1" width="5" customWidth="1" min="64" max="64"/>
    <col outlineLevel="1" width="5" customWidth="1" min="65" max="65"/>
    <col outlineLevel="1" width="5" customWidth="1" min="66" max="66"/>
    <col outlineLevel="1" width="5" customWidth="1" min="67" max="67"/>
    <col outlineLevel="1" width="5" customWidth="1" min="68" max="68"/>
    <col outlineLevel="1" width="5" customWidth="1" min="69" max="69"/>
    <col outlineLevel="1" width="5" customWidth="1" min="70" max="70"/>
    <col outlineLevel="1" width="5" customWidth="1" min="71" max="71"/>
    <col outlineLevel="1" width="5" customWidth="1" min="72" max="72"/>
    <col outlineLevel="1" width="5" customWidth="1" min="73" max="73"/>
    <col width="14.14" customWidth="1" min="74" max="74"/>
    <col outlineLevel="1" width="5" customWidth="1" min="75" max="75"/>
    <col outlineLevel="1" width="5" customWidth="1" min="76" max="76"/>
    <col outlineLevel="1" width="5" customWidth="1" min="77" max="77"/>
    <col outlineLevel="1" width="5" customWidth="1" min="78" max="78"/>
    <col outlineLevel="1" width="5" customWidth="1" min="79" max="79"/>
    <col outlineLevel="1" width="5" customWidth="1" min="80" max="80"/>
    <col outlineLevel="1" width="5" customWidth="1" min="81" max="81"/>
    <col outlineLevel="1" width="5" customWidth="1" min="82" max="82"/>
    <col outlineLevel="1" width="5" customWidth="1" min="83" max="83"/>
    <col outlineLevel="1" width="5" customWidth="1" min="84" max="84"/>
    <col outlineLevel="1" width="5" customWidth="1" min="85" max="85"/>
    <col outlineLevel="1" width="5" customWidth="1" min="86" max="86"/>
    <col outlineLevel="1" width="5" customWidth="1" min="87" max="87"/>
    <col outlineLevel="1" width="5" customWidth="1" min="88" max="88"/>
    <col outlineLevel="1" width="5" customWidth="1" min="89" max="89"/>
    <col outlineLevel="1" width="5" customWidth="1" min="90" max="90"/>
    <col width="14.14" customWidth="1" min="91" max="91"/>
    <col outlineLevel="1" width="5" customWidth="1" min="92" max="92"/>
    <col outlineLevel="1" width="5" customWidth="1" min="93" max="93"/>
    <col outlineLevel="1" width="5" customWidth="1" min="94" max="94"/>
    <col outlineLevel="1" width="5" customWidth="1" min="95" max="95"/>
    <col outlineLevel="1" width="5" customWidth="1" min="96" max="96"/>
    <col outlineLevel="1" width="5" customWidth="1" min="97" max="97"/>
    <col outlineLevel="1" width="5" customWidth="1" min="98" max="98"/>
    <col outlineLevel="1" width="5" customWidth="1" min="99" max="99"/>
    <col outlineLevel="1" width="5" customWidth="1" min="100" max="100"/>
    <col outlineLevel="1" width="5" customWidth="1" min="101" max="101"/>
    <col outlineLevel="1" width="5" customWidth="1" min="102" max="102"/>
    <col outlineLevel="1" width="5" customWidth="1" min="103" max="103"/>
    <col outlineLevel="1" width="5" customWidth="1" min="104" max="104"/>
    <col outlineLevel="1" width="5" customWidth="1" min="105" max="105"/>
    <col outlineLevel="1" width="5" customWidth="1" min="106" max="106"/>
    <col outlineLevel="1" width="5" customWidth="1" min="107" max="107"/>
    <col width="14.14" customWidth="1" min="108" max="108"/>
    <col outlineLevel="1" width="5" customWidth="1" min="109" max="109"/>
    <col outlineLevel="1" width="5" customWidth="1" min="110" max="110"/>
    <col outlineLevel="1" width="5" customWidth="1" min="111" max="111"/>
    <col outlineLevel="1" width="5" customWidth="1" min="112" max="112"/>
    <col outlineLevel="1" width="5" customWidth="1" min="113" max="113"/>
    <col outlineLevel="1" width="5" customWidth="1" min="114" max="114"/>
    <col outlineLevel="1" width="5" customWidth="1" min="115" max="115"/>
    <col outlineLevel="1" width="5" customWidth="1" min="116" max="116"/>
    <col outlineLevel="1" width="5" customWidth="1" min="117" max="117"/>
    <col outlineLevel="1" width="5" customWidth="1" min="118" max="118"/>
    <col outlineLevel="1" width="5" customWidth="1" min="119" max="119"/>
    <col outlineLevel="1" width="5" customWidth="1" min="120" max="120"/>
    <col outlineLevel="1" width="5" customWidth="1" min="121" max="121"/>
    <col outlineLevel="1" width="5" customWidth="1" min="122" max="122"/>
    <col outlineLevel="1" width="5" customWidth="1" min="123" max="123"/>
    <col outlineLevel="1" width="5" customWidth="1" min="124" max="124"/>
    <col width="14.14" customWidth="1" min="125" max="125"/>
    <col outlineLevel="1" width="5" customWidth="1" min="126" max="126"/>
    <col outlineLevel="1" width="5" customWidth="1" min="127" max="127"/>
    <col outlineLevel="1" width="5" customWidth="1" min="128" max="128"/>
    <col outlineLevel="1" width="5" customWidth="1" min="129" max="129"/>
    <col outlineLevel="1" width="5" customWidth="1" min="130" max="130"/>
    <col outlineLevel="1" width="5" customWidth="1" min="131" max="131"/>
    <col outlineLevel="1" width="5" customWidth="1" min="132" max="132"/>
    <col outlineLevel="1" width="5" customWidth="1" min="133" max="133"/>
    <col outlineLevel="1" width="5" customWidth="1" min="134" max="134"/>
    <col outlineLevel="1" width="5" customWidth="1" min="135" max="135"/>
    <col outlineLevel="1" width="5" customWidth="1" min="136" max="136"/>
    <col outlineLevel="1" width="5" customWidth="1" min="137" max="137"/>
    <col outlineLevel="1" width="5" customWidth="1" min="138" max="138"/>
    <col outlineLevel="1" width="5" customWidth="1" min="139" max="139"/>
    <col outlineLevel="1" width="5" customWidth="1" min="140" max="140"/>
    <col outlineLevel="1" width="5" customWidth="1" min="141" max="141"/>
    <col width="14.14" customWidth="1" min="142" max="142"/>
    <col outlineLevel="1" width="5" customWidth="1" min="143" max="143"/>
    <col outlineLevel="1" width="5" customWidth="1" min="144" max="144"/>
    <col outlineLevel="1" width="5" customWidth="1" min="145" max="145"/>
    <col outlineLevel="1" width="5" customWidth="1" min="146" max="146"/>
    <col outlineLevel="1" width="5" customWidth="1" min="147" max="147"/>
    <col outlineLevel="1" width="5" customWidth="1" min="148" max="148"/>
    <col outlineLevel="1" width="5" customWidth="1" min="149" max="149"/>
    <col outlineLevel="1" width="5" customWidth="1" min="150" max="150"/>
    <col outlineLevel="1" width="5" customWidth="1" min="151" max="151"/>
    <col outlineLevel="1" width="5" customWidth="1" min="152" max="152"/>
    <col outlineLevel="1" width="5" customWidth="1" min="153" max="153"/>
    <col outlineLevel="1" width="5" customWidth="1" min="154" max="154"/>
    <col outlineLevel="1" width="5" customWidth="1" min="155" max="155"/>
    <col outlineLevel="1" width="5" customWidth="1" min="156" max="156"/>
    <col outlineLevel="1" width="5" customWidth="1" min="157" max="157"/>
    <col outlineLevel="1" width="5" customWidth="1" min="158" max="158"/>
    <col width="14.14" customWidth="1" min="159" max="159"/>
    <col outlineLevel="1" width="5" customWidth="1" min="160" max="160"/>
    <col outlineLevel="1" width="5" customWidth="1" min="161" max="161"/>
    <col outlineLevel="1" width="5" customWidth="1" min="162" max="162"/>
    <col outlineLevel="1" width="5" customWidth="1" min="163" max="163"/>
    <col outlineLevel="1" width="5" customWidth="1" min="164" max="164"/>
    <col outlineLevel="1" width="5" customWidth="1" min="165" max="165"/>
    <col outlineLevel="1" width="5" customWidth="1" min="166" max="166"/>
    <col outlineLevel="1" width="5" customWidth="1" min="167" max="167"/>
    <col outlineLevel="1" width="5" customWidth="1" min="168" max="168"/>
    <col outlineLevel="1" width="5" customWidth="1" min="169" max="169"/>
    <col outlineLevel="1" width="5" customWidth="1" min="170" max="170"/>
    <col outlineLevel="1" width="5" customWidth="1" min="171" max="171"/>
    <col outlineLevel="1" width="5" customWidth="1" min="172" max="172"/>
    <col outlineLevel="1" width="5" customWidth="1" min="173" max="173"/>
    <col outlineLevel="1" width="5" customWidth="1" min="174" max="174"/>
    <col outlineLevel="1" width="5" customWidth="1" min="175" max="175"/>
    <col width="14.14" customWidth="1" min="176" max="176"/>
    <col outlineLevel="1" width="5" customWidth="1" min="177" max="177"/>
    <col outlineLevel="1" width="5" customWidth="1" min="178" max="178"/>
    <col outlineLevel="1" width="5" customWidth="1" min="179" max="179"/>
    <col outlineLevel="1" width="5" customWidth="1" min="180" max="180"/>
    <col outlineLevel="1" width="5" customWidth="1" min="181" max="181"/>
    <col outlineLevel="1" width="5" customWidth="1" min="182" max="182"/>
    <col outlineLevel="1" width="5" customWidth="1" min="183" max="183"/>
    <col outlineLevel="1" width="5" customWidth="1" min="184" max="184"/>
    <col outlineLevel="1" width="5" customWidth="1" min="185" max="185"/>
    <col outlineLevel="1" width="5" customWidth="1" min="186" max="186"/>
    <col outlineLevel="1" width="5" customWidth="1" min="187" max="187"/>
    <col outlineLevel="1" width="5" customWidth="1" min="188" max="188"/>
    <col outlineLevel="1" width="5" customWidth="1" min="189" max="189"/>
    <col outlineLevel="1" width="5" customWidth="1" min="190" max="190"/>
    <col outlineLevel="1" width="5" customWidth="1" min="191" max="191"/>
    <col outlineLevel="1" width="5" customWidth="1" min="192" max="192"/>
    <col width="14.14" customWidth="1" min="193" max="193"/>
    <col outlineLevel="1" width="5" customWidth="1" min="194" max="194"/>
    <col outlineLevel="1" width="5" customWidth="1" min="195" max="195"/>
    <col outlineLevel="1" width="5" customWidth="1" min="196" max="196"/>
    <col outlineLevel="1" width="5" customWidth="1" min="197" max="197"/>
    <col outlineLevel="1" width="5" customWidth="1" min="198" max="198"/>
    <col outlineLevel="1" width="5" customWidth="1" min="199" max="199"/>
    <col outlineLevel="1" width="5" customWidth="1" min="200" max="200"/>
    <col outlineLevel="1" width="5" customWidth="1" min="201" max="201"/>
    <col outlineLevel="1" width="5" customWidth="1" min="202" max="202"/>
    <col outlineLevel="1" width="5" customWidth="1" min="203" max="203"/>
    <col outlineLevel="1" width="5" customWidth="1" min="204" max="204"/>
    <col outlineLevel="1" width="5" customWidth="1" min="205" max="205"/>
    <col outlineLevel="1" width="5" customWidth="1" min="206" max="206"/>
    <col outlineLevel="1" width="5" customWidth="1" min="207" max="207"/>
    <col outlineLevel="1" width="5" customWidth="1" min="208" max="208"/>
    <col outlineLevel="1" width="5" customWidth="1" min="209" max="209"/>
    <col width="14.14" customWidth="1" min="210" max="210"/>
    <col hidden="1" width="7.86" customWidth="1" min="211" max="211"/>
    <col hidden="1" width="7.86" customWidth="1" min="212" max="212"/>
    <col hidden="1" width="7.86" customWidth="1" min="213" max="213"/>
    <col hidden="1" width="7.86" customWidth="1" min="214" max="214"/>
    <col hidden="1" width="7.86" customWidth="1" min="215" max="215"/>
  </cols>
  <sheetData>
    <row r="1" ht="24" customHeight="1">
      <c r="A1" s="40" t="inlineStr">
        <is>
          <t>مجموعة 2</t>
        </is>
      </c>
      <c r="B1" s="4" t="n"/>
      <c r="C1" s="41" t="str">
        <f>"عدد الطلاب: "&amp;$HE$1&amp;CHAR(10)&amp;"الغياب والواجب الناقص: في آخر 8 حصص"</f>
        <v>عدد الطلاب: 0
الغياب والواجب الناقص: في آخر 8 حصص</v>
      </c>
      <c r="D1" s="42" t="n"/>
      <c r="E1" s="42" t="n"/>
      <c r="F1" s="43" t="n"/>
      <c r="G1" s="44" t="inlineStr">
        <is>
          <t>الشهر 1</t>
        </is>
      </c>
      <c r="H1" s="13" t="n"/>
      <c r="I1" s="13" t="n"/>
      <c r="J1" s="13" t="n"/>
      <c r="K1" s="13" t="n"/>
      <c r="L1" s="13" t="n"/>
      <c r="M1" s="13" t="n"/>
      <c r="N1" s="13" t="n"/>
      <c r="O1" s="13" t="n"/>
      <c r="P1" s="13" t="n"/>
      <c r="Q1" s="13" t="n"/>
      <c r="R1" s="13" t="n"/>
      <c r="S1" s="13" t="n"/>
      <c r="T1" s="13" t="n"/>
      <c r="U1" s="13" t="n"/>
      <c r="V1" s="13" t="n"/>
      <c r="W1" s="4" t="n"/>
      <c r="X1" s="45" t="inlineStr">
        <is>
          <t>الشهر 2</t>
        </is>
      </c>
      <c r="Y1" s="13" t="n"/>
      <c r="Z1" s="13" t="n"/>
      <c r="AA1" s="13" t="n"/>
      <c r="AB1" s="13" t="n"/>
      <c r="AC1" s="13" t="n"/>
      <c r="AD1" s="13" t="n"/>
      <c r="AE1" s="13" t="n"/>
      <c r="AF1" s="13" t="n"/>
      <c r="AG1" s="13" t="n"/>
      <c r="AH1" s="13" t="n"/>
      <c r="AI1" s="13" t="n"/>
      <c r="AJ1" s="13" t="n"/>
      <c r="AK1" s="13" t="n"/>
      <c r="AL1" s="13" t="n"/>
      <c r="AM1" s="13" t="n"/>
      <c r="AN1" s="4" t="n"/>
      <c r="AO1" s="46" t="inlineStr">
        <is>
          <t>الشهر 3</t>
        </is>
      </c>
      <c r="AP1" s="13" t="n"/>
      <c r="AQ1" s="13" t="n"/>
      <c r="AR1" s="13" t="n"/>
      <c r="AS1" s="13" t="n"/>
      <c r="AT1" s="13" t="n"/>
      <c r="AU1" s="13" t="n"/>
      <c r="AV1" s="13" t="n"/>
      <c r="AW1" s="13" t="n"/>
      <c r="AX1" s="13" t="n"/>
      <c r="AY1" s="13" t="n"/>
      <c r="AZ1" s="13" t="n"/>
      <c r="BA1" s="13" t="n"/>
      <c r="BB1" s="13" t="n"/>
      <c r="BC1" s="13" t="n"/>
      <c r="BD1" s="13" t="n"/>
      <c r="BE1" s="4" t="n"/>
      <c r="BF1" s="47" t="inlineStr">
        <is>
          <t>الشهر 4</t>
        </is>
      </c>
      <c r="BG1" s="13" t="n"/>
      <c r="BH1" s="13" t="n"/>
      <c r="BI1" s="13" t="n"/>
      <c r="BJ1" s="13" t="n"/>
      <c r="BK1" s="13" t="n"/>
      <c r="BL1" s="13" t="n"/>
      <c r="BM1" s="13" t="n"/>
      <c r="BN1" s="13" t="n"/>
      <c r="BO1" s="13" t="n"/>
      <c r="BP1" s="13" t="n"/>
      <c r="BQ1" s="13" t="n"/>
      <c r="BR1" s="13" t="n"/>
      <c r="BS1" s="13" t="n"/>
      <c r="BT1" s="13" t="n"/>
      <c r="BU1" s="13" t="n"/>
      <c r="BV1" s="4" t="n"/>
      <c r="BW1" s="48" t="inlineStr">
        <is>
          <t>الشهر 5</t>
        </is>
      </c>
      <c r="BX1" s="13" t="n"/>
      <c r="BY1" s="13" t="n"/>
      <c r="BZ1" s="13" t="n"/>
      <c r="CA1" s="13" t="n"/>
      <c r="CB1" s="13" t="n"/>
      <c r="CC1" s="13" t="n"/>
      <c r="CD1" s="13" t="n"/>
      <c r="CE1" s="13" t="n"/>
      <c r="CF1" s="13" t="n"/>
      <c r="CG1" s="13" t="n"/>
      <c r="CH1" s="13" t="n"/>
      <c r="CI1" s="13" t="n"/>
      <c r="CJ1" s="13" t="n"/>
      <c r="CK1" s="13" t="n"/>
      <c r="CL1" s="13" t="n"/>
      <c r="CM1" s="4" t="n"/>
      <c r="CN1" s="49" t="inlineStr">
        <is>
          <t>الشهر 6</t>
        </is>
      </c>
      <c r="CO1" s="13" t="n"/>
      <c r="CP1" s="13" t="n"/>
      <c r="CQ1" s="13" t="n"/>
      <c r="CR1" s="13" t="n"/>
      <c r="CS1" s="13" t="n"/>
      <c r="CT1" s="13" t="n"/>
      <c r="CU1" s="13" t="n"/>
      <c r="CV1" s="13" t="n"/>
      <c r="CW1" s="13" t="n"/>
      <c r="CX1" s="13" t="n"/>
      <c r="CY1" s="13" t="n"/>
      <c r="CZ1" s="13" t="n"/>
      <c r="DA1" s="13" t="n"/>
      <c r="DB1" s="13" t="n"/>
      <c r="DC1" s="13" t="n"/>
      <c r="DD1" s="4" t="n"/>
      <c r="DE1" s="50" t="inlineStr">
        <is>
          <t>الشهر 7</t>
        </is>
      </c>
      <c r="DF1" s="13" t="n"/>
      <c r="DG1" s="13" t="n"/>
      <c r="DH1" s="13" t="n"/>
      <c r="DI1" s="13" t="n"/>
      <c r="DJ1" s="13" t="n"/>
      <c r="DK1" s="13" t="n"/>
      <c r="DL1" s="13" t="n"/>
      <c r="DM1" s="13" t="n"/>
      <c r="DN1" s="13" t="n"/>
      <c r="DO1" s="13" t="n"/>
      <c r="DP1" s="13" t="n"/>
      <c r="DQ1" s="13" t="n"/>
      <c r="DR1" s="13" t="n"/>
      <c r="DS1" s="13" t="n"/>
      <c r="DT1" s="13" t="n"/>
      <c r="DU1" s="4" t="n"/>
      <c r="DV1" s="51" t="inlineStr">
        <is>
          <t>الشهر 8</t>
        </is>
      </c>
      <c r="DW1" s="13" t="n"/>
      <c r="DX1" s="13" t="n"/>
      <c r="DY1" s="13" t="n"/>
      <c r="DZ1" s="13" t="n"/>
      <c r="EA1" s="13" t="n"/>
      <c r="EB1" s="13" t="n"/>
      <c r="EC1" s="13" t="n"/>
      <c r="ED1" s="13" t="n"/>
      <c r="EE1" s="13" t="n"/>
      <c r="EF1" s="13" t="n"/>
      <c r="EG1" s="13" t="n"/>
      <c r="EH1" s="13" t="n"/>
      <c r="EI1" s="13" t="n"/>
      <c r="EJ1" s="13" t="n"/>
      <c r="EK1" s="13" t="n"/>
      <c r="EL1" s="4" t="n"/>
      <c r="EM1" s="52" t="inlineStr">
        <is>
          <t>الشهر 9</t>
        </is>
      </c>
      <c r="EN1" s="13" t="n"/>
      <c r="EO1" s="13" t="n"/>
      <c r="EP1" s="13" t="n"/>
      <c r="EQ1" s="13" t="n"/>
      <c r="ER1" s="13" t="n"/>
      <c r="ES1" s="13" t="n"/>
      <c r="ET1" s="13" t="n"/>
      <c r="EU1" s="13" t="n"/>
      <c r="EV1" s="13" t="n"/>
      <c r="EW1" s="13" t="n"/>
      <c r="EX1" s="13" t="n"/>
      <c r="EY1" s="13" t="n"/>
      <c r="EZ1" s="13" t="n"/>
      <c r="FA1" s="13" t="n"/>
      <c r="FB1" s="13" t="n"/>
      <c r="FC1" s="4" t="n"/>
      <c r="FD1" s="53" t="inlineStr">
        <is>
          <t>الشهر 10</t>
        </is>
      </c>
      <c r="FE1" s="13" t="n"/>
      <c r="FF1" s="13" t="n"/>
      <c r="FG1" s="13" t="n"/>
      <c r="FH1" s="13" t="n"/>
      <c r="FI1" s="13" t="n"/>
      <c r="FJ1" s="13" t="n"/>
      <c r="FK1" s="13" t="n"/>
      <c r="FL1" s="13" t="n"/>
      <c r="FM1" s="13" t="n"/>
      <c r="FN1" s="13" t="n"/>
      <c r="FO1" s="13" t="n"/>
      <c r="FP1" s="13" t="n"/>
      <c r="FQ1" s="13" t="n"/>
      <c r="FR1" s="13" t="n"/>
      <c r="FS1" s="13" t="n"/>
      <c r="FT1" s="4" t="n"/>
      <c r="FU1" s="54" t="inlineStr">
        <is>
          <t>الشهر 11</t>
        </is>
      </c>
      <c r="FV1" s="13" t="n"/>
      <c r="FW1" s="13" t="n"/>
      <c r="FX1" s="13" t="n"/>
      <c r="FY1" s="13" t="n"/>
      <c r="FZ1" s="13" t="n"/>
      <c r="GA1" s="13" t="n"/>
      <c r="GB1" s="13" t="n"/>
      <c r="GC1" s="13" t="n"/>
      <c r="GD1" s="13" t="n"/>
      <c r="GE1" s="13" t="n"/>
      <c r="GF1" s="13" t="n"/>
      <c r="GG1" s="13" t="n"/>
      <c r="GH1" s="13" t="n"/>
      <c r="GI1" s="13" t="n"/>
      <c r="GJ1" s="13" t="n"/>
      <c r="GK1" s="4" t="n"/>
      <c r="GL1" s="55" t="inlineStr">
        <is>
          <t>الشهر 12</t>
        </is>
      </c>
      <c r="GM1" s="13" t="n"/>
      <c r="GN1" s="13" t="n"/>
      <c r="GO1" s="13" t="n"/>
      <c r="GP1" s="13" t="n"/>
      <c r="GQ1" s="13" t="n"/>
      <c r="GR1" s="13" t="n"/>
      <c r="GS1" s="13" t="n"/>
      <c r="GT1" s="13" t="n"/>
      <c r="GU1" s="13" t="n"/>
      <c r="GV1" s="13" t="n"/>
      <c r="GW1" s="13" t="n"/>
      <c r="GX1" s="13" t="n"/>
      <c r="GY1" s="13" t="n"/>
      <c r="GZ1" s="13" t="n"/>
      <c r="HA1" s="13" t="n"/>
      <c r="HB1" s="4" t="n"/>
      <c r="HC1">
        <f>SUMPRODUCT(MAX(($G$4:$HB$4="ح")*($G$20:$HB$20&gt;0)*$G$47:$HB$47))</f>
        <v>0</v>
      </c>
      <c r="HD1">
        <f>IF(OR($F$27="",$F$27="الكل"),1,IFERROR(MATCH($F$27,'حسابات'!$F$2:$F$14,0)-1,1))</f>
        <v>1</v>
      </c>
      <c r="HE1">
        <f>SUMPRODUCT(--($B$5:$B$19&lt;&gt;""))</f>
        <v>0</v>
      </c>
      <c r="HF1" t="str">
        <f>IF($HE$3=0,"",8-$HE$3)</f>
        <v/>
      </c>
      <c r="HG1">
        <f>'الرئيسية'!$H$27</f>
        <v>2</v>
      </c>
    </row>
    <row r="2" ht="16.5" customHeight="1">
      <c r="A2" s="56" t="str">
        <f>IF($HC$1=0,"لسه ما بدأتش",IF(INDEX($G$1:$HB$1,1,17*($HC$2-1)+1)="","شهر "&amp;$HC$2,INDEX($G$1:$HB$1,1,17*($HC$2-1)+1))&amp;" · حصة "&amp;$HC$3&amp;" من 8")</f>
        <v>لسه ما بدأتش</v>
      </c>
      <c r="B2" s="43" t="n"/>
      <c r="C2" s="57" t="n"/>
      <c r="F2" s="58" t="n"/>
      <c r="G2" s="59" t="inlineStr">
        <is>
          <t>حصة 1</t>
        </is>
      </c>
      <c r="H2" s="4" t="n"/>
      <c r="I2" s="59" t="inlineStr">
        <is>
          <t>حصة 2</t>
        </is>
      </c>
      <c r="J2" s="4" t="n"/>
      <c r="K2" s="59" t="inlineStr">
        <is>
          <t>حصة 3</t>
        </is>
      </c>
      <c r="L2" s="4" t="n"/>
      <c r="M2" s="59" t="inlineStr">
        <is>
          <t>حصة 4</t>
        </is>
      </c>
      <c r="N2" s="4" t="n"/>
      <c r="O2" s="59" t="inlineStr">
        <is>
          <t>حصة 5</t>
        </is>
      </c>
      <c r="P2" s="4" t="n"/>
      <c r="Q2" s="59" t="inlineStr">
        <is>
          <t>حصة 6</t>
        </is>
      </c>
      <c r="R2" s="4" t="n"/>
      <c r="S2" s="59" t="inlineStr">
        <is>
          <t>حصة 7</t>
        </is>
      </c>
      <c r="T2" s="4" t="n"/>
      <c r="U2" s="59" t="inlineStr">
        <is>
          <t>حصة 8</t>
        </is>
      </c>
      <c r="V2" s="4" t="n"/>
      <c r="W2" s="59" t="inlineStr">
        <is>
          <t>المصاريف</t>
        </is>
      </c>
      <c r="X2" s="60" t="inlineStr">
        <is>
          <t>حصة 1</t>
        </is>
      </c>
      <c r="Y2" s="4" t="n"/>
      <c r="Z2" s="60" t="inlineStr">
        <is>
          <t>حصة 2</t>
        </is>
      </c>
      <c r="AA2" s="4" t="n"/>
      <c r="AB2" s="60" t="inlineStr">
        <is>
          <t>حصة 3</t>
        </is>
      </c>
      <c r="AC2" s="4" t="n"/>
      <c r="AD2" s="60" t="inlineStr">
        <is>
          <t>حصة 4</t>
        </is>
      </c>
      <c r="AE2" s="4" t="n"/>
      <c r="AF2" s="60" t="inlineStr">
        <is>
          <t>حصة 5</t>
        </is>
      </c>
      <c r="AG2" s="4" t="n"/>
      <c r="AH2" s="60" t="inlineStr">
        <is>
          <t>حصة 6</t>
        </is>
      </c>
      <c r="AI2" s="4" t="n"/>
      <c r="AJ2" s="60" t="inlineStr">
        <is>
          <t>حصة 7</t>
        </is>
      </c>
      <c r="AK2" s="4" t="n"/>
      <c r="AL2" s="60" t="inlineStr">
        <is>
          <t>حصة 8</t>
        </is>
      </c>
      <c r="AM2" s="4" t="n"/>
      <c r="AN2" s="60" t="inlineStr">
        <is>
          <t>المصاريف</t>
        </is>
      </c>
      <c r="AO2" s="61" t="inlineStr">
        <is>
          <t>حصة 1</t>
        </is>
      </c>
      <c r="AP2" s="4" t="n"/>
      <c r="AQ2" s="61" t="inlineStr">
        <is>
          <t>حصة 2</t>
        </is>
      </c>
      <c r="AR2" s="4" t="n"/>
      <c r="AS2" s="61" t="inlineStr">
        <is>
          <t>حصة 3</t>
        </is>
      </c>
      <c r="AT2" s="4" t="n"/>
      <c r="AU2" s="61" t="inlineStr">
        <is>
          <t>حصة 4</t>
        </is>
      </c>
      <c r="AV2" s="4" t="n"/>
      <c r="AW2" s="61" t="inlineStr">
        <is>
          <t>حصة 5</t>
        </is>
      </c>
      <c r="AX2" s="4" t="n"/>
      <c r="AY2" s="61" t="inlineStr">
        <is>
          <t>حصة 6</t>
        </is>
      </c>
      <c r="AZ2" s="4" t="n"/>
      <c r="BA2" s="61" t="inlineStr">
        <is>
          <t>حصة 7</t>
        </is>
      </c>
      <c r="BB2" s="4" t="n"/>
      <c r="BC2" s="61" t="inlineStr">
        <is>
          <t>حصة 8</t>
        </is>
      </c>
      <c r="BD2" s="4" t="n"/>
      <c r="BE2" s="61" t="inlineStr">
        <is>
          <t>المصاريف</t>
        </is>
      </c>
      <c r="BF2" s="62" t="inlineStr">
        <is>
          <t>حصة 1</t>
        </is>
      </c>
      <c r="BG2" s="4" t="n"/>
      <c r="BH2" s="62" t="inlineStr">
        <is>
          <t>حصة 2</t>
        </is>
      </c>
      <c r="BI2" s="4" t="n"/>
      <c r="BJ2" s="62" t="inlineStr">
        <is>
          <t>حصة 3</t>
        </is>
      </c>
      <c r="BK2" s="4" t="n"/>
      <c r="BL2" s="62" t="inlineStr">
        <is>
          <t>حصة 4</t>
        </is>
      </c>
      <c r="BM2" s="4" t="n"/>
      <c r="BN2" s="62" t="inlineStr">
        <is>
          <t>حصة 5</t>
        </is>
      </c>
      <c r="BO2" s="4" t="n"/>
      <c r="BP2" s="62" t="inlineStr">
        <is>
          <t>حصة 6</t>
        </is>
      </c>
      <c r="BQ2" s="4" t="n"/>
      <c r="BR2" s="62" t="inlineStr">
        <is>
          <t>حصة 7</t>
        </is>
      </c>
      <c r="BS2" s="4" t="n"/>
      <c r="BT2" s="62" t="inlineStr">
        <is>
          <t>حصة 8</t>
        </is>
      </c>
      <c r="BU2" s="4" t="n"/>
      <c r="BV2" s="62" t="inlineStr">
        <is>
          <t>المصاريف</t>
        </is>
      </c>
      <c r="BW2" s="63" t="inlineStr">
        <is>
          <t>حصة 1</t>
        </is>
      </c>
      <c r="BX2" s="4" t="n"/>
      <c r="BY2" s="63" t="inlineStr">
        <is>
          <t>حصة 2</t>
        </is>
      </c>
      <c r="BZ2" s="4" t="n"/>
      <c r="CA2" s="63" t="inlineStr">
        <is>
          <t>حصة 3</t>
        </is>
      </c>
      <c r="CB2" s="4" t="n"/>
      <c r="CC2" s="63" t="inlineStr">
        <is>
          <t>حصة 4</t>
        </is>
      </c>
      <c r="CD2" s="4" t="n"/>
      <c r="CE2" s="63" t="inlineStr">
        <is>
          <t>حصة 5</t>
        </is>
      </c>
      <c r="CF2" s="4" t="n"/>
      <c r="CG2" s="63" t="inlineStr">
        <is>
          <t>حصة 6</t>
        </is>
      </c>
      <c r="CH2" s="4" t="n"/>
      <c r="CI2" s="63" t="inlineStr">
        <is>
          <t>حصة 7</t>
        </is>
      </c>
      <c r="CJ2" s="4" t="n"/>
      <c r="CK2" s="63" t="inlineStr">
        <is>
          <t>حصة 8</t>
        </is>
      </c>
      <c r="CL2" s="4" t="n"/>
      <c r="CM2" s="63" t="inlineStr">
        <is>
          <t>المصاريف</t>
        </is>
      </c>
      <c r="CN2" s="64" t="inlineStr">
        <is>
          <t>حصة 1</t>
        </is>
      </c>
      <c r="CO2" s="4" t="n"/>
      <c r="CP2" s="64" t="inlineStr">
        <is>
          <t>حصة 2</t>
        </is>
      </c>
      <c r="CQ2" s="4" t="n"/>
      <c r="CR2" s="64" t="inlineStr">
        <is>
          <t>حصة 3</t>
        </is>
      </c>
      <c r="CS2" s="4" t="n"/>
      <c r="CT2" s="64" t="inlineStr">
        <is>
          <t>حصة 4</t>
        </is>
      </c>
      <c r="CU2" s="4" t="n"/>
      <c r="CV2" s="64" t="inlineStr">
        <is>
          <t>حصة 5</t>
        </is>
      </c>
      <c r="CW2" s="4" t="n"/>
      <c r="CX2" s="64" t="inlineStr">
        <is>
          <t>حصة 6</t>
        </is>
      </c>
      <c r="CY2" s="4" t="n"/>
      <c r="CZ2" s="64" t="inlineStr">
        <is>
          <t>حصة 7</t>
        </is>
      </c>
      <c r="DA2" s="4" t="n"/>
      <c r="DB2" s="64" t="inlineStr">
        <is>
          <t>حصة 8</t>
        </is>
      </c>
      <c r="DC2" s="4" t="n"/>
      <c r="DD2" s="64" t="inlineStr">
        <is>
          <t>المصاريف</t>
        </is>
      </c>
      <c r="DE2" s="65" t="inlineStr">
        <is>
          <t>حصة 1</t>
        </is>
      </c>
      <c r="DF2" s="4" t="n"/>
      <c r="DG2" s="65" t="inlineStr">
        <is>
          <t>حصة 2</t>
        </is>
      </c>
      <c r="DH2" s="4" t="n"/>
      <c r="DI2" s="65" t="inlineStr">
        <is>
          <t>حصة 3</t>
        </is>
      </c>
      <c r="DJ2" s="4" t="n"/>
      <c r="DK2" s="65" t="inlineStr">
        <is>
          <t>حصة 4</t>
        </is>
      </c>
      <c r="DL2" s="4" t="n"/>
      <c r="DM2" s="65" t="inlineStr">
        <is>
          <t>حصة 5</t>
        </is>
      </c>
      <c r="DN2" s="4" t="n"/>
      <c r="DO2" s="65" t="inlineStr">
        <is>
          <t>حصة 6</t>
        </is>
      </c>
      <c r="DP2" s="4" t="n"/>
      <c r="DQ2" s="65" t="inlineStr">
        <is>
          <t>حصة 7</t>
        </is>
      </c>
      <c r="DR2" s="4" t="n"/>
      <c r="DS2" s="65" t="inlineStr">
        <is>
          <t>حصة 8</t>
        </is>
      </c>
      <c r="DT2" s="4" t="n"/>
      <c r="DU2" s="65" t="inlineStr">
        <is>
          <t>المصاريف</t>
        </is>
      </c>
      <c r="DV2" s="66" t="inlineStr">
        <is>
          <t>حصة 1</t>
        </is>
      </c>
      <c r="DW2" s="4" t="n"/>
      <c r="DX2" s="66" t="inlineStr">
        <is>
          <t>حصة 2</t>
        </is>
      </c>
      <c r="DY2" s="4" t="n"/>
      <c r="DZ2" s="66" t="inlineStr">
        <is>
          <t>حصة 3</t>
        </is>
      </c>
      <c r="EA2" s="4" t="n"/>
      <c r="EB2" s="66" t="inlineStr">
        <is>
          <t>حصة 4</t>
        </is>
      </c>
      <c r="EC2" s="4" t="n"/>
      <c r="ED2" s="66" t="inlineStr">
        <is>
          <t>حصة 5</t>
        </is>
      </c>
      <c r="EE2" s="4" t="n"/>
      <c r="EF2" s="66" t="inlineStr">
        <is>
          <t>حصة 6</t>
        </is>
      </c>
      <c r="EG2" s="4" t="n"/>
      <c r="EH2" s="66" t="inlineStr">
        <is>
          <t>حصة 7</t>
        </is>
      </c>
      <c r="EI2" s="4" t="n"/>
      <c r="EJ2" s="66" t="inlineStr">
        <is>
          <t>حصة 8</t>
        </is>
      </c>
      <c r="EK2" s="4" t="n"/>
      <c r="EL2" s="66" t="inlineStr">
        <is>
          <t>المصاريف</t>
        </is>
      </c>
      <c r="EM2" s="67" t="inlineStr">
        <is>
          <t>حصة 1</t>
        </is>
      </c>
      <c r="EN2" s="4" t="n"/>
      <c r="EO2" s="67" t="inlineStr">
        <is>
          <t>حصة 2</t>
        </is>
      </c>
      <c r="EP2" s="4" t="n"/>
      <c r="EQ2" s="67" t="inlineStr">
        <is>
          <t>حصة 3</t>
        </is>
      </c>
      <c r="ER2" s="4" t="n"/>
      <c r="ES2" s="67" t="inlineStr">
        <is>
          <t>حصة 4</t>
        </is>
      </c>
      <c r="ET2" s="4" t="n"/>
      <c r="EU2" s="67" t="inlineStr">
        <is>
          <t>حصة 5</t>
        </is>
      </c>
      <c r="EV2" s="4" t="n"/>
      <c r="EW2" s="67" t="inlineStr">
        <is>
          <t>حصة 6</t>
        </is>
      </c>
      <c r="EX2" s="4" t="n"/>
      <c r="EY2" s="67" t="inlineStr">
        <is>
          <t>حصة 7</t>
        </is>
      </c>
      <c r="EZ2" s="4" t="n"/>
      <c r="FA2" s="67" t="inlineStr">
        <is>
          <t>حصة 8</t>
        </is>
      </c>
      <c r="FB2" s="4" t="n"/>
      <c r="FC2" s="67" t="inlineStr">
        <is>
          <t>المصاريف</t>
        </is>
      </c>
      <c r="FD2" s="68" t="inlineStr">
        <is>
          <t>حصة 1</t>
        </is>
      </c>
      <c r="FE2" s="4" t="n"/>
      <c r="FF2" s="68" t="inlineStr">
        <is>
          <t>حصة 2</t>
        </is>
      </c>
      <c r="FG2" s="4" t="n"/>
      <c r="FH2" s="68" t="inlineStr">
        <is>
          <t>حصة 3</t>
        </is>
      </c>
      <c r="FI2" s="4" t="n"/>
      <c r="FJ2" s="68" t="inlineStr">
        <is>
          <t>حصة 4</t>
        </is>
      </c>
      <c r="FK2" s="4" t="n"/>
      <c r="FL2" s="68" t="inlineStr">
        <is>
          <t>حصة 5</t>
        </is>
      </c>
      <c r="FM2" s="4" t="n"/>
      <c r="FN2" s="68" t="inlineStr">
        <is>
          <t>حصة 6</t>
        </is>
      </c>
      <c r="FO2" s="4" t="n"/>
      <c r="FP2" s="68" t="inlineStr">
        <is>
          <t>حصة 7</t>
        </is>
      </c>
      <c r="FQ2" s="4" t="n"/>
      <c r="FR2" s="68" t="inlineStr">
        <is>
          <t>حصة 8</t>
        </is>
      </c>
      <c r="FS2" s="4" t="n"/>
      <c r="FT2" s="68" t="inlineStr">
        <is>
          <t>المصاريف</t>
        </is>
      </c>
      <c r="FU2" s="69" t="inlineStr">
        <is>
          <t>حصة 1</t>
        </is>
      </c>
      <c r="FV2" s="4" t="n"/>
      <c r="FW2" s="69" t="inlineStr">
        <is>
          <t>حصة 2</t>
        </is>
      </c>
      <c r="FX2" s="4" t="n"/>
      <c r="FY2" s="69" t="inlineStr">
        <is>
          <t>حصة 3</t>
        </is>
      </c>
      <c r="FZ2" s="4" t="n"/>
      <c r="GA2" s="69" t="inlineStr">
        <is>
          <t>حصة 4</t>
        </is>
      </c>
      <c r="GB2" s="4" t="n"/>
      <c r="GC2" s="69" t="inlineStr">
        <is>
          <t>حصة 5</t>
        </is>
      </c>
      <c r="GD2" s="4" t="n"/>
      <c r="GE2" s="69" t="inlineStr">
        <is>
          <t>حصة 6</t>
        </is>
      </c>
      <c r="GF2" s="4" t="n"/>
      <c r="GG2" s="69" t="inlineStr">
        <is>
          <t>حصة 7</t>
        </is>
      </c>
      <c r="GH2" s="4" t="n"/>
      <c r="GI2" s="69" t="inlineStr">
        <is>
          <t>حصة 8</t>
        </is>
      </c>
      <c r="GJ2" s="4" t="n"/>
      <c r="GK2" s="69" t="inlineStr">
        <is>
          <t>المصاريف</t>
        </is>
      </c>
      <c r="GL2" s="70" t="inlineStr">
        <is>
          <t>حصة 1</t>
        </is>
      </c>
      <c r="GM2" s="4" t="n"/>
      <c r="GN2" s="70" t="inlineStr">
        <is>
          <t>حصة 2</t>
        </is>
      </c>
      <c r="GO2" s="4" t="n"/>
      <c r="GP2" s="70" t="inlineStr">
        <is>
          <t>حصة 3</t>
        </is>
      </c>
      <c r="GQ2" s="4" t="n"/>
      <c r="GR2" s="70" t="inlineStr">
        <is>
          <t>حصة 4</t>
        </is>
      </c>
      <c r="GS2" s="4" t="n"/>
      <c r="GT2" s="70" t="inlineStr">
        <is>
          <t>حصة 5</t>
        </is>
      </c>
      <c r="GU2" s="4" t="n"/>
      <c r="GV2" s="70" t="inlineStr">
        <is>
          <t>حصة 6</t>
        </is>
      </c>
      <c r="GW2" s="4" t="n"/>
      <c r="GX2" s="70" t="inlineStr">
        <is>
          <t>حصة 7</t>
        </is>
      </c>
      <c r="GY2" s="4" t="n"/>
      <c r="GZ2" s="70" t="inlineStr">
        <is>
          <t>حصة 8</t>
        </is>
      </c>
      <c r="HA2" s="4" t="n"/>
      <c r="HB2" s="70" t="inlineStr">
        <is>
          <t>المصاريف</t>
        </is>
      </c>
      <c r="HC2">
        <f>IF($HC$1=0,1,INT(($HC$1-1)/8)+1)</f>
        <v>1</v>
      </c>
      <c r="HD2">
        <f>IF(OR($F$27="",$F$27="الكل"),12,$HD$1)</f>
        <v>12</v>
      </c>
      <c r="HE2">
        <f>IF(SUMPRODUCT(($G$3:$HB$3=TODAY())*($G$20:$HB$20&gt;0))&gt;0,1,0)</f>
        <v>0</v>
      </c>
      <c r="HF2" t="str">
        <f>IF($HF$1="","",TODAY()+$HF$1)</f>
        <v/>
      </c>
    </row>
    <row r="3" ht="19.5" customHeight="1">
      <c r="A3" s="71" t="n"/>
      <c r="B3" s="72" t="n"/>
      <c r="C3" s="71" t="n"/>
      <c r="D3" s="73" t="n"/>
      <c r="E3" s="73" t="n"/>
      <c r="F3" s="72" t="n"/>
      <c r="G3" s="74" t="n"/>
      <c r="H3" s="4" t="n"/>
      <c r="I3" s="74" t="n"/>
      <c r="J3" s="4" t="n"/>
      <c r="K3" s="74" t="n"/>
      <c r="L3" s="4" t="n"/>
      <c r="M3" s="74" t="n"/>
      <c r="N3" s="4" t="n"/>
      <c r="O3" s="74" t="n"/>
      <c r="P3" s="4" t="n"/>
      <c r="Q3" s="74" t="n"/>
      <c r="R3" s="4" t="n"/>
      <c r="S3" s="74" t="n"/>
      <c r="T3" s="4" t="n"/>
      <c r="U3" s="74" t="n"/>
      <c r="V3" s="4" t="n"/>
      <c r="W3" s="75" t="n"/>
      <c r="X3" s="74" t="n"/>
      <c r="Y3" s="4" t="n"/>
      <c r="Z3" s="74" t="n"/>
      <c r="AA3" s="4" t="n"/>
      <c r="AB3" s="74" t="n"/>
      <c r="AC3" s="4" t="n"/>
      <c r="AD3" s="74" t="n"/>
      <c r="AE3" s="4" t="n"/>
      <c r="AF3" s="74" t="n"/>
      <c r="AG3" s="4" t="n"/>
      <c r="AH3" s="74" t="n"/>
      <c r="AI3" s="4" t="n"/>
      <c r="AJ3" s="74" t="n"/>
      <c r="AK3" s="4" t="n"/>
      <c r="AL3" s="74" t="n"/>
      <c r="AM3" s="4" t="n"/>
      <c r="AN3" s="75" t="n"/>
      <c r="AO3" s="74" t="n"/>
      <c r="AP3" s="4" t="n"/>
      <c r="AQ3" s="74" t="n"/>
      <c r="AR3" s="4" t="n"/>
      <c r="AS3" s="74" t="n"/>
      <c r="AT3" s="4" t="n"/>
      <c r="AU3" s="74" t="n"/>
      <c r="AV3" s="4" t="n"/>
      <c r="AW3" s="74" t="n"/>
      <c r="AX3" s="4" t="n"/>
      <c r="AY3" s="74" t="n"/>
      <c r="AZ3" s="4" t="n"/>
      <c r="BA3" s="74" t="n"/>
      <c r="BB3" s="4" t="n"/>
      <c r="BC3" s="74" t="n"/>
      <c r="BD3" s="4" t="n"/>
      <c r="BE3" s="75" t="n"/>
      <c r="BF3" s="74" t="n"/>
      <c r="BG3" s="4" t="n"/>
      <c r="BH3" s="74" t="n"/>
      <c r="BI3" s="4" t="n"/>
      <c r="BJ3" s="74" t="n"/>
      <c r="BK3" s="4" t="n"/>
      <c r="BL3" s="74" t="n"/>
      <c r="BM3" s="4" t="n"/>
      <c r="BN3" s="74" t="n"/>
      <c r="BO3" s="4" t="n"/>
      <c r="BP3" s="74" t="n"/>
      <c r="BQ3" s="4" t="n"/>
      <c r="BR3" s="74" t="n"/>
      <c r="BS3" s="4" t="n"/>
      <c r="BT3" s="74" t="n"/>
      <c r="BU3" s="4" t="n"/>
      <c r="BV3" s="75" t="n"/>
      <c r="BW3" s="74" t="n"/>
      <c r="BX3" s="4" t="n"/>
      <c r="BY3" s="74" t="n"/>
      <c r="BZ3" s="4" t="n"/>
      <c r="CA3" s="74" t="n"/>
      <c r="CB3" s="4" t="n"/>
      <c r="CC3" s="74" t="n"/>
      <c r="CD3" s="4" t="n"/>
      <c r="CE3" s="74" t="n"/>
      <c r="CF3" s="4" t="n"/>
      <c r="CG3" s="74" t="n"/>
      <c r="CH3" s="4" t="n"/>
      <c r="CI3" s="74" t="n"/>
      <c r="CJ3" s="4" t="n"/>
      <c r="CK3" s="74" t="n"/>
      <c r="CL3" s="4" t="n"/>
      <c r="CM3" s="75" t="n"/>
      <c r="CN3" s="74" t="n"/>
      <c r="CO3" s="4" t="n"/>
      <c r="CP3" s="74" t="n"/>
      <c r="CQ3" s="4" t="n"/>
      <c r="CR3" s="74" t="n"/>
      <c r="CS3" s="4" t="n"/>
      <c r="CT3" s="74" t="n"/>
      <c r="CU3" s="4" t="n"/>
      <c r="CV3" s="74" t="n"/>
      <c r="CW3" s="4" t="n"/>
      <c r="CX3" s="74" t="n"/>
      <c r="CY3" s="4" t="n"/>
      <c r="CZ3" s="74" t="n"/>
      <c r="DA3" s="4" t="n"/>
      <c r="DB3" s="74" t="n"/>
      <c r="DC3" s="4" t="n"/>
      <c r="DD3" s="75" t="n"/>
      <c r="DE3" s="74" t="n"/>
      <c r="DF3" s="4" t="n"/>
      <c r="DG3" s="74" t="n"/>
      <c r="DH3" s="4" t="n"/>
      <c r="DI3" s="74" t="n"/>
      <c r="DJ3" s="4" t="n"/>
      <c r="DK3" s="74" t="n"/>
      <c r="DL3" s="4" t="n"/>
      <c r="DM3" s="74" t="n"/>
      <c r="DN3" s="4" t="n"/>
      <c r="DO3" s="74" t="n"/>
      <c r="DP3" s="4" t="n"/>
      <c r="DQ3" s="74" t="n"/>
      <c r="DR3" s="4" t="n"/>
      <c r="DS3" s="74" t="n"/>
      <c r="DT3" s="4" t="n"/>
      <c r="DU3" s="75" t="n"/>
      <c r="DV3" s="74" t="n"/>
      <c r="DW3" s="4" t="n"/>
      <c r="DX3" s="74" t="n"/>
      <c r="DY3" s="4" t="n"/>
      <c r="DZ3" s="74" t="n"/>
      <c r="EA3" s="4" t="n"/>
      <c r="EB3" s="74" t="n"/>
      <c r="EC3" s="4" t="n"/>
      <c r="ED3" s="74" t="n"/>
      <c r="EE3" s="4" t="n"/>
      <c r="EF3" s="74" t="n"/>
      <c r="EG3" s="4" t="n"/>
      <c r="EH3" s="74" t="n"/>
      <c r="EI3" s="4" t="n"/>
      <c r="EJ3" s="74" t="n"/>
      <c r="EK3" s="4" t="n"/>
      <c r="EL3" s="75" t="n"/>
      <c r="EM3" s="74" t="n"/>
      <c r="EN3" s="4" t="n"/>
      <c r="EO3" s="74" t="n"/>
      <c r="EP3" s="4" t="n"/>
      <c r="EQ3" s="74" t="n"/>
      <c r="ER3" s="4" t="n"/>
      <c r="ES3" s="74" t="n"/>
      <c r="ET3" s="4" t="n"/>
      <c r="EU3" s="74" t="n"/>
      <c r="EV3" s="4" t="n"/>
      <c r="EW3" s="74" t="n"/>
      <c r="EX3" s="4" t="n"/>
      <c r="EY3" s="74" t="n"/>
      <c r="EZ3" s="4" t="n"/>
      <c r="FA3" s="74" t="n"/>
      <c r="FB3" s="4" t="n"/>
      <c r="FC3" s="75" t="n"/>
      <c r="FD3" s="74" t="n"/>
      <c r="FE3" s="4" t="n"/>
      <c r="FF3" s="74" t="n"/>
      <c r="FG3" s="4" t="n"/>
      <c r="FH3" s="74" t="n"/>
      <c r="FI3" s="4" t="n"/>
      <c r="FJ3" s="74" t="n"/>
      <c r="FK3" s="4" t="n"/>
      <c r="FL3" s="74" t="n"/>
      <c r="FM3" s="4" t="n"/>
      <c r="FN3" s="74" t="n"/>
      <c r="FO3" s="4" t="n"/>
      <c r="FP3" s="74" t="n"/>
      <c r="FQ3" s="4" t="n"/>
      <c r="FR3" s="74" t="n"/>
      <c r="FS3" s="4" t="n"/>
      <c r="FT3" s="75" t="n"/>
      <c r="FU3" s="74" t="n"/>
      <c r="FV3" s="4" t="n"/>
      <c r="FW3" s="74" t="n"/>
      <c r="FX3" s="4" t="n"/>
      <c r="FY3" s="74" t="n"/>
      <c r="FZ3" s="4" t="n"/>
      <c r="GA3" s="74" t="n"/>
      <c r="GB3" s="4" t="n"/>
      <c r="GC3" s="74" t="n"/>
      <c r="GD3" s="4" t="n"/>
      <c r="GE3" s="74" t="n"/>
      <c r="GF3" s="4" t="n"/>
      <c r="GG3" s="74" t="n"/>
      <c r="GH3" s="4" t="n"/>
      <c r="GI3" s="74" t="n"/>
      <c r="GJ3" s="4" t="n"/>
      <c r="GK3" s="75" t="n"/>
      <c r="GL3" s="74" t="n"/>
      <c r="GM3" s="4" t="n"/>
      <c r="GN3" s="74" t="n"/>
      <c r="GO3" s="4" t="n"/>
      <c r="GP3" s="74" t="n"/>
      <c r="GQ3" s="4" t="n"/>
      <c r="GR3" s="74" t="n"/>
      <c r="GS3" s="4" t="n"/>
      <c r="GT3" s="74" t="n"/>
      <c r="GU3" s="4" t="n"/>
      <c r="GV3" s="74" t="n"/>
      <c r="GW3" s="4" t="n"/>
      <c r="GX3" s="74" t="n"/>
      <c r="GY3" s="4" t="n"/>
      <c r="GZ3" s="74" t="n"/>
      <c r="HA3" s="4" t="n"/>
      <c r="HB3" s="75" t="n"/>
      <c r="HC3">
        <f>$HC$1-8*($HC$2-1)</f>
        <v>0</v>
      </c>
      <c r="HE3">
        <f>IF($A$1="",0,IF($HE$2=1,SUMPRODUCT(MAX(('المواعيد'!$D$5:$D$34=$A$1)*(8-'المواعيد'!$L$5:$L$34))),SUMPRODUCT(MAX(('المواعيد'!$D$5:$D$34=$A$1)*(8-'المواعيد'!$K$5:$K$34)))))</f>
        <v>0</v>
      </c>
      <c r="HF3">
        <f>IF($HF$1="",0,SUMPRODUCT(MAX(('المواعيد'!$D$5:$D$34=$A$1)*('المواعيد'!$G$5:$G$34=WEEKDAY($HF$2))*(ROW('المواعيد'!$D$5:$D$34)-4))))</f>
        <v>0</v>
      </c>
    </row>
    <row r="4" ht="16.5" customHeight="1">
      <c r="A4" s="76" t="inlineStr">
        <is>
          <t>م</t>
        </is>
      </c>
      <c r="B4" s="76" t="inlineStr">
        <is>
          <t>الاسم</t>
        </is>
      </c>
      <c r="C4" s="76" t="inlineStr">
        <is>
          <t>ولي الأمر</t>
        </is>
      </c>
      <c r="D4" s="76" t="inlineStr">
        <is>
          <t>غياب</t>
        </is>
      </c>
      <c r="E4" s="76" t="inlineStr">
        <is>
          <t>واجب</t>
        </is>
      </c>
      <c r="F4" s="76" t="inlineStr">
        <is>
          <t>المصاريف</t>
        </is>
      </c>
      <c r="G4" s="8" t="inlineStr">
        <is>
          <t>ح</t>
        </is>
      </c>
      <c r="H4" s="77" t="inlineStr">
        <is>
          <t>و</t>
        </is>
      </c>
      <c r="I4" s="8" t="inlineStr">
        <is>
          <t>ح</t>
        </is>
      </c>
      <c r="J4" s="77" t="inlineStr">
        <is>
          <t>و</t>
        </is>
      </c>
      <c r="K4" s="8" t="inlineStr">
        <is>
          <t>ح</t>
        </is>
      </c>
      <c r="L4" s="77" t="inlineStr">
        <is>
          <t>و</t>
        </is>
      </c>
      <c r="M4" s="8" t="inlineStr">
        <is>
          <t>ح</t>
        </is>
      </c>
      <c r="N4" s="77" t="inlineStr">
        <is>
          <t>و</t>
        </is>
      </c>
      <c r="O4" s="8" t="inlineStr">
        <is>
          <t>ح</t>
        </is>
      </c>
      <c r="P4" s="77" t="inlineStr">
        <is>
          <t>و</t>
        </is>
      </c>
      <c r="Q4" s="8" t="inlineStr">
        <is>
          <t>ح</t>
        </is>
      </c>
      <c r="R4" s="77" t="inlineStr">
        <is>
          <t>و</t>
        </is>
      </c>
      <c r="S4" s="8" t="inlineStr">
        <is>
          <t>ح</t>
        </is>
      </c>
      <c r="T4" s="77" t="inlineStr">
        <is>
          <t>و</t>
        </is>
      </c>
      <c r="U4" s="8" t="inlineStr">
        <is>
          <t>ح</t>
        </is>
      </c>
      <c r="V4" s="77" t="inlineStr">
        <is>
          <t>و</t>
        </is>
      </c>
      <c r="W4" s="77" t="inlineStr">
        <is>
          <t>دفع</t>
        </is>
      </c>
      <c r="X4" s="9" t="inlineStr">
        <is>
          <t>ح</t>
        </is>
      </c>
      <c r="Y4" s="78" t="inlineStr">
        <is>
          <t>و</t>
        </is>
      </c>
      <c r="Z4" s="9" t="inlineStr">
        <is>
          <t>ح</t>
        </is>
      </c>
      <c r="AA4" s="78" t="inlineStr">
        <is>
          <t>و</t>
        </is>
      </c>
      <c r="AB4" s="9" t="inlineStr">
        <is>
          <t>ح</t>
        </is>
      </c>
      <c r="AC4" s="78" t="inlineStr">
        <is>
          <t>و</t>
        </is>
      </c>
      <c r="AD4" s="9" t="inlineStr">
        <is>
          <t>ح</t>
        </is>
      </c>
      <c r="AE4" s="78" t="inlineStr">
        <is>
          <t>و</t>
        </is>
      </c>
      <c r="AF4" s="9" t="inlineStr">
        <is>
          <t>ح</t>
        </is>
      </c>
      <c r="AG4" s="78" t="inlineStr">
        <is>
          <t>و</t>
        </is>
      </c>
      <c r="AH4" s="9" t="inlineStr">
        <is>
          <t>ح</t>
        </is>
      </c>
      <c r="AI4" s="78" t="inlineStr">
        <is>
          <t>و</t>
        </is>
      </c>
      <c r="AJ4" s="9" t="inlineStr">
        <is>
          <t>ح</t>
        </is>
      </c>
      <c r="AK4" s="78" t="inlineStr">
        <is>
          <t>و</t>
        </is>
      </c>
      <c r="AL4" s="9" t="inlineStr">
        <is>
          <t>ح</t>
        </is>
      </c>
      <c r="AM4" s="78" t="inlineStr">
        <is>
          <t>و</t>
        </is>
      </c>
      <c r="AN4" s="78" t="inlineStr">
        <is>
          <t>دفع</t>
        </is>
      </c>
      <c r="AO4" s="10" t="inlineStr">
        <is>
          <t>ح</t>
        </is>
      </c>
      <c r="AP4" s="79" t="inlineStr">
        <is>
          <t>و</t>
        </is>
      </c>
      <c r="AQ4" s="10" t="inlineStr">
        <is>
          <t>ح</t>
        </is>
      </c>
      <c r="AR4" s="79" t="inlineStr">
        <is>
          <t>و</t>
        </is>
      </c>
      <c r="AS4" s="10" t="inlineStr">
        <is>
          <t>ح</t>
        </is>
      </c>
      <c r="AT4" s="79" t="inlineStr">
        <is>
          <t>و</t>
        </is>
      </c>
      <c r="AU4" s="10" t="inlineStr">
        <is>
          <t>ح</t>
        </is>
      </c>
      <c r="AV4" s="79" t="inlineStr">
        <is>
          <t>و</t>
        </is>
      </c>
      <c r="AW4" s="10" t="inlineStr">
        <is>
          <t>ح</t>
        </is>
      </c>
      <c r="AX4" s="79" t="inlineStr">
        <is>
          <t>و</t>
        </is>
      </c>
      <c r="AY4" s="10" t="inlineStr">
        <is>
          <t>ح</t>
        </is>
      </c>
      <c r="AZ4" s="79" t="inlineStr">
        <is>
          <t>و</t>
        </is>
      </c>
      <c r="BA4" s="10" t="inlineStr">
        <is>
          <t>ح</t>
        </is>
      </c>
      <c r="BB4" s="79" t="inlineStr">
        <is>
          <t>و</t>
        </is>
      </c>
      <c r="BC4" s="10" t="inlineStr">
        <is>
          <t>ح</t>
        </is>
      </c>
      <c r="BD4" s="79" t="inlineStr">
        <is>
          <t>و</t>
        </is>
      </c>
      <c r="BE4" s="79" t="inlineStr">
        <is>
          <t>دفع</t>
        </is>
      </c>
      <c r="BF4" s="11" t="inlineStr">
        <is>
          <t>ح</t>
        </is>
      </c>
      <c r="BG4" s="80" t="inlineStr">
        <is>
          <t>و</t>
        </is>
      </c>
      <c r="BH4" s="11" t="inlineStr">
        <is>
          <t>ح</t>
        </is>
      </c>
      <c r="BI4" s="80" t="inlineStr">
        <is>
          <t>و</t>
        </is>
      </c>
      <c r="BJ4" s="11" t="inlineStr">
        <is>
          <t>ح</t>
        </is>
      </c>
      <c r="BK4" s="80" t="inlineStr">
        <is>
          <t>و</t>
        </is>
      </c>
      <c r="BL4" s="11" t="inlineStr">
        <is>
          <t>ح</t>
        </is>
      </c>
      <c r="BM4" s="80" t="inlineStr">
        <is>
          <t>و</t>
        </is>
      </c>
      <c r="BN4" s="11" t="inlineStr">
        <is>
          <t>ح</t>
        </is>
      </c>
      <c r="BO4" s="80" t="inlineStr">
        <is>
          <t>و</t>
        </is>
      </c>
      <c r="BP4" s="11" t="inlineStr">
        <is>
          <t>ح</t>
        </is>
      </c>
      <c r="BQ4" s="80" t="inlineStr">
        <is>
          <t>و</t>
        </is>
      </c>
      <c r="BR4" s="11" t="inlineStr">
        <is>
          <t>ح</t>
        </is>
      </c>
      <c r="BS4" s="80" t="inlineStr">
        <is>
          <t>و</t>
        </is>
      </c>
      <c r="BT4" s="11" t="inlineStr">
        <is>
          <t>ح</t>
        </is>
      </c>
      <c r="BU4" s="80" t="inlineStr">
        <is>
          <t>و</t>
        </is>
      </c>
      <c r="BV4" s="80" t="inlineStr">
        <is>
          <t>دفع</t>
        </is>
      </c>
      <c r="BW4" s="81" t="inlineStr">
        <is>
          <t>ح</t>
        </is>
      </c>
      <c r="BX4" s="82" t="inlineStr">
        <is>
          <t>و</t>
        </is>
      </c>
      <c r="BY4" s="81" t="inlineStr">
        <is>
          <t>ح</t>
        </is>
      </c>
      <c r="BZ4" s="82" t="inlineStr">
        <is>
          <t>و</t>
        </is>
      </c>
      <c r="CA4" s="81" t="inlineStr">
        <is>
          <t>ح</t>
        </is>
      </c>
      <c r="CB4" s="82" t="inlineStr">
        <is>
          <t>و</t>
        </is>
      </c>
      <c r="CC4" s="81" t="inlineStr">
        <is>
          <t>ح</t>
        </is>
      </c>
      <c r="CD4" s="82" t="inlineStr">
        <is>
          <t>و</t>
        </is>
      </c>
      <c r="CE4" s="81" t="inlineStr">
        <is>
          <t>ح</t>
        </is>
      </c>
      <c r="CF4" s="82" t="inlineStr">
        <is>
          <t>و</t>
        </is>
      </c>
      <c r="CG4" s="81" t="inlineStr">
        <is>
          <t>ح</t>
        </is>
      </c>
      <c r="CH4" s="82" t="inlineStr">
        <is>
          <t>و</t>
        </is>
      </c>
      <c r="CI4" s="81" t="inlineStr">
        <is>
          <t>ح</t>
        </is>
      </c>
      <c r="CJ4" s="82" t="inlineStr">
        <is>
          <t>و</t>
        </is>
      </c>
      <c r="CK4" s="81" t="inlineStr">
        <is>
          <t>ح</t>
        </is>
      </c>
      <c r="CL4" s="82" t="inlineStr">
        <is>
          <t>و</t>
        </is>
      </c>
      <c r="CM4" s="82" t="inlineStr">
        <is>
          <t>دفع</t>
        </is>
      </c>
      <c r="CN4" s="83" t="inlineStr">
        <is>
          <t>ح</t>
        </is>
      </c>
      <c r="CO4" s="84" t="inlineStr">
        <is>
          <t>و</t>
        </is>
      </c>
      <c r="CP4" s="83" t="inlineStr">
        <is>
          <t>ح</t>
        </is>
      </c>
      <c r="CQ4" s="84" t="inlineStr">
        <is>
          <t>و</t>
        </is>
      </c>
      <c r="CR4" s="83" t="inlineStr">
        <is>
          <t>ح</t>
        </is>
      </c>
      <c r="CS4" s="84" t="inlineStr">
        <is>
          <t>و</t>
        </is>
      </c>
      <c r="CT4" s="83" t="inlineStr">
        <is>
          <t>ح</t>
        </is>
      </c>
      <c r="CU4" s="84" t="inlineStr">
        <is>
          <t>و</t>
        </is>
      </c>
      <c r="CV4" s="83" t="inlineStr">
        <is>
          <t>ح</t>
        </is>
      </c>
      <c r="CW4" s="84" t="inlineStr">
        <is>
          <t>و</t>
        </is>
      </c>
      <c r="CX4" s="83" t="inlineStr">
        <is>
          <t>ح</t>
        </is>
      </c>
      <c r="CY4" s="84" t="inlineStr">
        <is>
          <t>و</t>
        </is>
      </c>
      <c r="CZ4" s="83" t="inlineStr">
        <is>
          <t>ح</t>
        </is>
      </c>
      <c r="DA4" s="84" t="inlineStr">
        <is>
          <t>و</t>
        </is>
      </c>
      <c r="DB4" s="83" t="inlineStr">
        <is>
          <t>ح</t>
        </is>
      </c>
      <c r="DC4" s="84" t="inlineStr">
        <is>
          <t>و</t>
        </is>
      </c>
      <c r="DD4" s="84" t="inlineStr">
        <is>
          <t>دفع</t>
        </is>
      </c>
      <c r="DE4" s="85" t="inlineStr">
        <is>
          <t>ح</t>
        </is>
      </c>
      <c r="DF4" s="86" t="inlineStr">
        <is>
          <t>و</t>
        </is>
      </c>
      <c r="DG4" s="85" t="inlineStr">
        <is>
          <t>ح</t>
        </is>
      </c>
      <c r="DH4" s="86" t="inlineStr">
        <is>
          <t>و</t>
        </is>
      </c>
      <c r="DI4" s="85" t="inlineStr">
        <is>
          <t>ح</t>
        </is>
      </c>
      <c r="DJ4" s="86" t="inlineStr">
        <is>
          <t>و</t>
        </is>
      </c>
      <c r="DK4" s="85" t="inlineStr">
        <is>
          <t>ح</t>
        </is>
      </c>
      <c r="DL4" s="86" t="inlineStr">
        <is>
          <t>و</t>
        </is>
      </c>
      <c r="DM4" s="85" t="inlineStr">
        <is>
          <t>ح</t>
        </is>
      </c>
      <c r="DN4" s="86" t="inlineStr">
        <is>
          <t>و</t>
        </is>
      </c>
      <c r="DO4" s="85" t="inlineStr">
        <is>
          <t>ح</t>
        </is>
      </c>
      <c r="DP4" s="86" t="inlineStr">
        <is>
          <t>و</t>
        </is>
      </c>
      <c r="DQ4" s="85" t="inlineStr">
        <is>
          <t>ح</t>
        </is>
      </c>
      <c r="DR4" s="86" t="inlineStr">
        <is>
          <t>و</t>
        </is>
      </c>
      <c r="DS4" s="85" t="inlineStr">
        <is>
          <t>ح</t>
        </is>
      </c>
      <c r="DT4" s="86" t="inlineStr">
        <is>
          <t>و</t>
        </is>
      </c>
      <c r="DU4" s="86" t="inlineStr">
        <is>
          <t>دفع</t>
        </is>
      </c>
      <c r="DV4" s="87" t="inlineStr">
        <is>
          <t>ح</t>
        </is>
      </c>
      <c r="DW4" s="88" t="inlineStr">
        <is>
          <t>و</t>
        </is>
      </c>
      <c r="DX4" s="87" t="inlineStr">
        <is>
          <t>ح</t>
        </is>
      </c>
      <c r="DY4" s="88" t="inlineStr">
        <is>
          <t>و</t>
        </is>
      </c>
      <c r="DZ4" s="87" t="inlineStr">
        <is>
          <t>ح</t>
        </is>
      </c>
      <c r="EA4" s="88" t="inlineStr">
        <is>
          <t>و</t>
        </is>
      </c>
      <c r="EB4" s="87" t="inlineStr">
        <is>
          <t>ح</t>
        </is>
      </c>
      <c r="EC4" s="88" t="inlineStr">
        <is>
          <t>و</t>
        </is>
      </c>
      <c r="ED4" s="87" t="inlineStr">
        <is>
          <t>ح</t>
        </is>
      </c>
      <c r="EE4" s="88" t="inlineStr">
        <is>
          <t>و</t>
        </is>
      </c>
      <c r="EF4" s="87" t="inlineStr">
        <is>
          <t>ح</t>
        </is>
      </c>
      <c r="EG4" s="88" t="inlineStr">
        <is>
          <t>و</t>
        </is>
      </c>
      <c r="EH4" s="87" t="inlineStr">
        <is>
          <t>ح</t>
        </is>
      </c>
      <c r="EI4" s="88" t="inlineStr">
        <is>
          <t>و</t>
        </is>
      </c>
      <c r="EJ4" s="87" t="inlineStr">
        <is>
          <t>ح</t>
        </is>
      </c>
      <c r="EK4" s="88" t="inlineStr">
        <is>
          <t>و</t>
        </is>
      </c>
      <c r="EL4" s="88" t="inlineStr">
        <is>
          <t>دفع</t>
        </is>
      </c>
      <c r="EM4" s="89" t="inlineStr">
        <is>
          <t>ح</t>
        </is>
      </c>
      <c r="EN4" s="90" t="inlineStr">
        <is>
          <t>و</t>
        </is>
      </c>
      <c r="EO4" s="89" t="inlineStr">
        <is>
          <t>ح</t>
        </is>
      </c>
      <c r="EP4" s="90" t="inlineStr">
        <is>
          <t>و</t>
        </is>
      </c>
      <c r="EQ4" s="89" t="inlineStr">
        <is>
          <t>ح</t>
        </is>
      </c>
      <c r="ER4" s="90" t="inlineStr">
        <is>
          <t>و</t>
        </is>
      </c>
      <c r="ES4" s="89" t="inlineStr">
        <is>
          <t>ح</t>
        </is>
      </c>
      <c r="ET4" s="90" t="inlineStr">
        <is>
          <t>و</t>
        </is>
      </c>
      <c r="EU4" s="89" t="inlineStr">
        <is>
          <t>ح</t>
        </is>
      </c>
      <c r="EV4" s="90" t="inlineStr">
        <is>
          <t>و</t>
        </is>
      </c>
      <c r="EW4" s="89" t="inlineStr">
        <is>
          <t>ح</t>
        </is>
      </c>
      <c r="EX4" s="90" t="inlineStr">
        <is>
          <t>و</t>
        </is>
      </c>
      <c r="EY4" s="89" t="inlineStr">
        <is>
          <t>ح</t>
        </is>
      </c>
      <c r="EZ4" s="90" t="inlineStr">
        <is>
          <t>و</t>
        </is>
      </c>
      <c r="FA4" s="89" t="inlineStr">
        <is>
          <t>ح</t>
        </is>
      </c>
      <c r="FB4" s="90" t="inlineStr">
        <is>
          <t>و</t>
        </is>
      </c>
      <c r="FC4" s="90" t="inlineStr">
        <is>
          <t>دفع</t>
        </is>
      </c>
      <c r="FD4" s="91" t="inlineStr">
        <is>
          <t>ح</t>
        </is>
      </c>
      <c r="FE4" s="92" t="inlineStr">
        <is>
          <t>و</t>
        </is>
      </c>
      <c r="FF4" s="91" t="inlineStr">
        <is>
          <t>ح</t>
        </is>
      </c>
      <c r="FG4" s="92" t="inlineStr">
        <is>
          <t>و</t>
        </is>
      </c>
      <c r="FH4" s="91" t="inlineStr">
        <is>
          <t>ح</t>
        </is>
      </c>
      <c r="FI4" s="92" t="inlineStr">
        <is>
          <t>و</t>
        </is>
      </c>
      <c r="FJ4" s="91" t="inlineStr">
        <is>
          <t>ح</t>
        </is>
      </c>
      <c r="FK4" s="92" t="inlineStr">
        <is>
          <t>و</t>
        </is>
      </c>
      <c r="FL4" s="91" t="inlineStr">
        <is>
          <t>ح</t>
        </is>
      </c>
      <c r="FM4" s="92" t="inlineStr">
        <is>
          <t>و</t>
        </is>
      </c>
      <c r="FN4" s="91" t="inlineStr">
        <is>
          <t>ح</t>
        </is>
      </c>
      <c r="FO4" s="92" t="inlineStr">
        <is>
          <t>و</t>
        </is>
      </c>
      <c r="FP4" s="91" t="inlineStr">
        <is>
          <t>ح</t>
        </is>
      </c>
      <c r="FQ4" s="92" t="inlineStr">
        <is>
          <t>و</t>
        </is>
      </c>
      <c r="FR4" s="91" t="inlineStr">
        <is>
          <t>ح</t>
        </is>
      </c>
      <c r="FS4" s="92" t="inlineStr">
        <is>
          <t>و</t>
        </is>
      </c>
      <c r="FT4" s="92" t="inlineStr">
        <is>
          <t>دفع</t>
        </is>
      </c>
      <c r="FU4" s="93" t="inlineStr">
        <is>
          <t>ح</t>
        </is>
      </c>
      <c r="FV4" s="94" t="inlineStr">
        <is>
          <t>و</t>
        </is>
      </c>
      <c r="FW4" s="93" t="inlineStr">
        <is>
          <t>ح</t>
        </is>
      </c>
      <c r="FX4" s="94" t="inlineStr">
        <is>
          <t>و</t>
        </is>
      </c>
      <c r="FY4" s="93" t="inlineStr">
        <is>
          <t>ح</t>
        </is>
      </c>
      <c r="FZ4" s="94" t="inlineStr">
        <is>
          <t>و</t>
        </is>
      </c>
      <c r="GA4" s="93" t="inlineStr">
        <is>
          <t>ح</t>
        </is>
      </c>
      <c r="GB4" s="94" t="inlineStr">
        <is>
          <t>و</t>
        </is>
      </c>
      <c r="GC4" s="93" t="inlineStr">
        <is>
          <t>ح</t>
        </is>
      </c>
      <c r="GD4" s="94" t="inlineStr">
        <is>
          <t>و</t>
        </is>
      </c>
      <c r="GE4" s="93" t="inlineStr">
        <is>
          <t>ح</t>
        </is>
      </c>
      <c r="GF4" s="94" t="inlineStr">
        <is>
          <t>و</t>
        </is>
      </c>
      <c r="GG4" s="93" t="inlineStr">
        <is>
          <t>ح</t>
        </is>
      </c>
      <c r="GH4" s="94" t="inlineStr">
        <is>
          <t>و</t>
        </is>
      </c>
      <c r="GI4" s="93" t="inlineStr">
        <is>
          <t>ح</t>
        </is>
      </c>
      <c r="GJ4" s="94" t="inlineStr">
        <is>
          <t>و</t>
        </is>
      </c>
      <c r="GK4" s="94" t="inlineStr">
        <is>
          <t>دفع</t>
        </is>
      </c>
      <c r="GL4" s="95" t="inlineStr">
        <is>
          <t>ح</t>
        </is>
      </c>
      <c r="GM4" s="96" t="inlineStr">
        <is>
          <t>و</t>
        </is>
      </c>
      <c r="GN4" s="95" t="inlineStr">
        <is>
          <t>ح</t>
        </is>
      </c>
      <c r="GO4" s="96" t="inlineStr">
        <is>
          <t>و</t>
        </is>
      </c>
      <c r="GP4" s="95" t="inlineStr">
        <is>
          <t>ح</t>
        </is>
      </c>
      <c r="GQ4" s="96" t="inlineStr">
        <is>
          <t>و</t>
        </is>
      </c>
      <c r="GR4" s="95" t="inlineStr">
        <is>
          <t>ح</t>
        </is>
      </c>
      <c r="GS4" s="96" t="inlineStr">
        <is>
          <t>و</t>
        </is>
      </c>
      <c r="GT4" s="95" t="inlineStr">
        <is>
          <t>ح</t>
        </is>
      </c>
      <c r="GU4" s="96" t="inlineStr">
        <is>
          <t>و</t>
        </is>
      </c>
      <c r="GV4" s="95" t="inlineStr">
        <is>
          <t>ح</t>
        </is>
      </c>
      <c r="GW4" s="96" t="inlineStr">
        <is>
          <t>و</t>
        </is>
      </c>
      <c r="GX4" s="95" t="inlineStr">
        <is>
          <t>ح</t>
        </is>
      </c>
      <c r="GY4" s="96" t="inlineStr">
        <is>
          <t>و</t>
        </is>
      </c>
      <c r="GZ4" s="95" t="inlineStr">
        <is>
          <t>ح</t>
        </is>
      </c>
      <c r="HA4" s="96" t="inlineStr">
        <is>
          <t>و</t>
        </is>
      </c>
      <c r="HB4" s="96" t="inlineStr">
        <is>
          <t>دفع</t>
        </is>
      </c>
      <c r="HF4" t="str">
        <f>IF($HF$1="","",IF($HF$1=0,"النهارده",IF($HF$1=1,"بكرة",INDEX('حسابات'!$A$2:$A$8,MATCH(WEEKDAY($HF$2),'حسابات'!$B$2:$B$8,0))))&amp;" "&amp;DAY($HF$2)&amp;"/"&amp;MONTH($HF$2)&amp;IF($HF$3=0,"",IF(INDEX('المواعيد'!$C$5:$C$34,$HF$3)="",""," – "&amp;INDEX('المواعيد'!$C$5:$C$34,$HF$3))))</f>
        <v/>
      </c>
    </row>
    <row r="5" ht="22.5" customHeight="1">
      <c r="A5" s="36" t="n">
        <v>1</v>
      </c>
      <c r="B5" s="97" t="n"/>
      <c r="C5" s="28" t="n"/>
      <c r="D5" s="98" t="str">
        <f>IF($B5="","",IF($HC5=97,"-",IF($HD5=0,"متوقف",SUMPRODUCT(($G$4:$HB$4="ح")*($G$20:$HB$20&gt;0)*($G5:$HB5&lt;&gt;TRUE)*($G$47:$HB$47&gt;$HC$1-8)*($G$47:$HB$47&gt;=$HC5)))))</f>
        <v/>
      </c>
      <c r="E5" s="98" t="str">
        <f>IF(OR($B5="",$HC5=97),"",SUMPRODUCT(($G$4:$HA$4="ح")*($G5:$HA5=TRUE)*($H5:$HB5&lt;&gt;TRUE)*($G$47:$HA$47&gt;$HC$1-8)))</f>
        <v/>
      </c>
      <c r="F5" s="99" t="str">
        <f>IF($B5="","",IF($HE5=0,IF($HC5=97,"-","تمام"),IF($HE5=1,IF(INDEX($G$1:$HB$1,1,17*($HF5-1)+1)="","شهر "&amp;$HF5,INDEX($G$1:$HB$1,1,17*($HF5-1)+1)),IF($HE5=2,"شهرين",$HE5&amp;" شهور"))))</f>
        <v/>
      </c>
      <c r="G5" s="100" t="n"/>
      <c r="H5" s="101" t="n"/>
      <c r="I5" s="100" t="n"/>
      <c r="J5" s="101" t="n"/>
      <c r="K5" s="100" t="n"/>
      <c r="L5" s="101" t="n"/>
      <c r="M5" s="100" t="n"/>
      <c r="N5" s="101" t="n"/>
      <c r="O5" s="100" t="n"/>
      <c r="P5" s="101" t="n"/>
      <c r="Q5" s="100" t="n"/>
      <c r="R5" s="101" t="n"/>
      <c r="S5" s="100" t="n"/>
      <c r="T5" s="101" t="n"/>
      <c r="U5" s="100" t="n"/>
      <c r="V5" s="101" t="n"/>
      <c r="W5" s="102" t="n"/>
      <c r="X5" s="103" t="n"/>
      <c r="Y5" s="104" t="n"/>
      <c r="Z5" s="103" t="n"/>
      <c r="AA5" s="104" t="n"/>
      <c r="AB5" s="103" t="n"/>
      <c r="AC5" s="104" t="n"/>
      <c r="AD5" s="103" t="n"/>
      <c r="AE5" s="104" t="n"/>
      <c r="AF5" s="103" t="n"/>
      <c r="AG5" s="104" t="n"/>
      <c r="AH5" s="103" t="n"/>
      <c r="AI5" s="104" t="n"/>
      <c r="AJ5" s="103" t="n"/>
      <c r="AK5" s="104" t="n"/>
      <c r="AL5" s="103" t="n"/>
      <c r="AM5" s="104" t="n"/>
      <c r="AN5" s="105" t="n"/>
      <c r="AO5" s="106" t="n"/>
      <c r="AP5" s="107" t="n"/>
      <c r="AQ5" s="106" t="n"/>
      <c r="AR5" s="107" t="n"/>
      <c r="AS5" s="106" t="n"/>
      <c r="AT5" s="107" t="n"/>
      <c r="AU5" s="106" t="n"/>
      <c r="AV5" s="107" t="n"/>
      <c r="AW5" s="106" t="n"/>
      <c r="AX5" s="107" t="n"/>
      <c r="AY5" s="106" t="n"/>
      <c r="AZ5" s="107" t="n"/>
      <c r="BA5" s="106" t="n"/>
      <c r="BB5" s="107" t="n"/>
      <c r="BC5" s="106" t="n"/>
      <c r="BD5" s="107" t="n"/>
      <c r="BE5" s="108" t="n"/>
      <c r="BF5" s="109" t="n"/>
      <c r="BG5" s="110" t="n"/>
      <c r="BH5" s="109" t="n"/>
      <c r="BI5" s="110" t="n"/>
      <c r="BJ5" s="109" t="n"/>
      <c r="BK5" s="110" t="n"/>
      <c r="BL5" s="109" t="n"/>
      <c r="BM5" s="110" t="n"/>
      <c r="BN5" s="109" t="n"/>
      <c r="BO5" s="110" t="n"/>
      <c r="BP5" s="109" t="n"/>
      <c r="BQ5" s="110" t="n"/>
      <c r="BR5" s="109" t="n"/>
      <c r="BS5" s="110" t="n"/>
      <c r="BT5" s="109" t="n"/>
      <c r="BU5" s="110" t="n"/>
      <c r="BV5" s="111" t="n"/>
      <c r="BW5" s="112" t="n"/>
      <c r="BX5" s="113" t="n"/>
      <c r="BY5" s="112" t="n"/>
      <c r="BZ5" s="113" t="n"/>
      <c r="CA5" s="112" t="n"/>
      <c r="CB5" s="113" t="n"/>
      <c r="CC5" s="112" t="n"/>
      <c r="CD5" s="113" t="n"/>
      <c r="CE5" s="112" t="n"/>
      <c r="CF5" s="113" t="n"/>
      <c r="CG5" s="112" t="n"/>
      <c r="CH5" s="113" t="n"/>
      <c r="CI5" s="112" t="n"/>
      <c r="CJ5" s="113" t="n"/>
      <c r="CK5" s="112" t="n"/>
      <c r="CL5" s="113" t="n"/>
      <c r="CM5" s="114" t="n"/>
      <c r="CN5" s="115" t="n"/>
      <c r="CO5" s="116" t="n"/>
      <c r="CP5" s="115" t="n"/>
      <c r="CQ5" s="116" t="n"/>
      <c r="CR5" s="115" t="n"/>
      <c r="CS5" s="116" t="n"/>
      <c r="CT5" s="115" t="n"/>
      <c r="CU5" s="116" t="n"/>
      <c r="CV5" s="115" t="n"/>
      <c r="CW5" s="116" t="n"/>
      <c r="CX5" s="115" t="n"/>
      <c r="CY5" s="116" t="n"/>
      <c r="CZ5" s="115" t="n"/>
      <c r="DA5" s="116" t="n"/>
      <c r="DB5" s="115" t="n"/>
      <c r="DC5" s="116" t="n"/>
      <c r="DD5" s="117" t="n"/>
      <c r="DE5" s="118" t="n"/>
      <c r="DF5" s="119" t="n"/>
      <c r="DG5" s="118" t="n"/>
      <c r="DH5" s="119" t="n"/>
      <c r="DI5" s="118" t="n"/>
      <c r="DJ5" s="119" t="n"/>
      <c r="DK5" s="118" t="n"/>
      <c r="DL5" s="119" t="n"/>
      <c r="DM5" s="118" t="n"/>
      <c r="DN5" s="119" t="n"/>
      <c r="DO5" s="118" t="n"/>
      <c r="DP5" s="119" t="n"/>
      <c r="DQ5" s="118" t="n"/>
      <c r="DR5" s="119" t="n"/>
      <c r="DS5" s="118" t="n"/>
      <c r="DT5" s="119" t="n"/>
      <c r="DU5" s="120" t="n"/>
      <c r="DV5" s="121" t="n"/>
      <c r="DW5" s="122" t="n"/>
      <c r="DX5" s="121" t="n"/>
      <c r="DY5" s="122" t="n"/>
      <c r="DZ5" s="121" t="n"/>
      <c r="EA5" s="122" t="n"/>
      <c r="EB5" s="121" t="n"/>
      <c r="EC5" s="122" t="n"/>
      <c r="ED5" s="121" t="n"/>
      <c r="EE5" s="122" t="n"/>
      <c r="EF5" s="121" t="n"/>
      <c r="EG5" s="122" t="n"/>
      <c r="EH5" s="121" t="n"/>
      <c r="EI5" s="122" t="n"/>
      <c r="EJ5" s="121" t="n"/>
      <c r="EK5" s="122" t="n"/>
      <c r="EL5" s="123" t="n"/>
      <c r="EM5" s="124" t="n"/>
      <c r="EN5" s="125" t="n"/>
      <c r="EO5" s="124" t="n"/>
      <c r="EP5" s="125" t="n"/>
      <c r="EQ5" s="124" t="n"/>
      <c r="ER5" s="125" t="n"/>
      <c r="ES5" s="124" t="n"/>
      <c r="ET5" s="125" t="n"/>
      <c r="EU5" s="124" t="n"/>
      <c r="EV5" s="125" t="n"/>
      <c r="EW5" s="124" t="n"/>
      <c r="EX5" s="125" t="n"/>
      <c r="EY5" s="124" t="n"/>
      <c r="EZ5" s="125" t="n"/>
      <c r="FA5" s="124" t="n"/>
      <c r="FB5" s="125" t="n"/>
      <c r="FC5" s="126" t="n"/>
      <c r="FD5" s="127" t="n"/>
      <c r="FE5" s="128" t="n"/>
      <c r="FF5" s="127" t="n"/>
      <c r="FG5" s="128" t="n"/>
      <c r="FH5" s="127" t="n"/>
      <c r="FI5" s="128" t="n"/>
      <c r="FJ5" s="127" t="n"/>
      <c r="FK5" s="128" t="n"/>
      <c r="FL5" s="127" t="n"/>
      <c r="FM5" s="128" t="n"/>
      <c r="FN5" s="127" t="n"/>
      <c r="FO5" s="128" t="n"/>
      <c r="FP5" s="127" t="n"/>
      <c r="FQ5" s="128" t="n"/>
      <c r="FR5" s="127" t="n"/>
      <c r="FS5" s="128" t="n"/>
      <c r="FT5" s="129" t="n"/>
      <c r="FU5" s="130" t="n"/>
      <c r="FV5" s="131" t="n"/>
      <c r="FW5" s="130" t="n"/>
      <c r="FX5" s="131" t="n"/>
      <c r="FY5" s="130" t="n"/>
      <c r="FZ5" s="131" t="n"/>
      <c r="GA5" s="130" t="n"/>
      <c r="GB5" s="131" t="n"/>
      <c r="GC5" s="130" t="n"/>
      <c r="GD5" s="131" t="n"/>
      <c r="GE5" s="130" t="n"/>
      <c r="GF5" s="131" t="n"/>
      <c r="GG5" s="130" t="n"/>
      <c r="GH5" s="131" t="n"/>
      <c r="GI5" s="130" t="n"/>
      <c r="GJ5" s="131" t="n"/>
      <c r="GK5" s="132" t="n"/>
      <c r="GL5" s="133" t="n"/>
      <c r="GM5" s="134" t="n"/>
      <c r="GN5" s="133" t="n"/>
      <c r="GO5" s="134" t="n"/>
      <c r="GP5" s="133" t="n"/>
      <c r="GQ5" s="134" t="n"/>
      <c r="GR5" s="133" t="n"/>
      <c r="GS5" s="134" t="n"/>
      <c r="GT5" s="133" t="n"/>
      <c r="GU5" s="134" t="n"/>
      <c r="GV5" s="133" t="n"/>
      <c r="GW5" s="134" t="n"/>
      <c r="GX5" s="133" t="n"/>
      <c r="GY5" s="134" t="n"/>
      <c r="GZ5" s="133" t="n"/>
      <c r="HA5" s="134" t="n"/>
      <c r="HB5" s="135" t="n"/>
      <c r="HC5">
        <f>97-SUMPRODUCT(MAX(($G$4:$HB$4="ح")*($G5:$HB5=TRUE)*(97-$G$47:$HB$47)))</f>
        <v>97</v>
      </c>
      <c r="HD5">
        <f>SUMPRODUCT(($G$4:$HB$4="ح")*($G5:$HB5=TRUE)*($G$47:$HB$47&gt;$HC$1-8))</f>
        <v>0</v>
      </c>
      <c r="HE5">
        <f>(COUNTIF($G5:$V5,TRUE)&gt;0)*($W5&lt;&gt;TRUE)+(COUNTIF($X5:$AM5,TRUE)&gt;0)*($AN5&lt;&gt;TRUE)+(COUNTIF($AO5:$BD5,TRUE)&gt;0)*($BE5&lt;&gt;TRUE)+(COUNTIF($BF5:$BU5,TRUE)&gt;0)*($BV5&lt;&gt;TRUE)+(COUNTIF($BW5:$CL5,TRUE)&gt;0)*($CM5&lt;&gt;TRUE)+(COUNTIF($CN5:$DC5,TRUE)&gt;0)*($DD5&lt;&gt;TRUE)+(COUNTIF($DE5:$DT5,TRUE)&gt;0)*($DU5&lt;&gt;TRUE)+(COUNTIF($DV5:$EK5,TRUE)&gt;0)*($EL5&lt;&gt;TRUE)+(COUNTIF($EM5:$FB5,TRUE)&gt;0)*($FC5&lt;&gt;TRUE)+(COUNTIF($FD5:$FS5,TRUE)&gt;0)*($FT5&lt;&gt;TRUE)+(COUNTIF($FU5:$GJ5,TRUE)&gt;0)*($GK5&lt;&gt;TRUE)+(COUNTIF($GL5:$HA5,TRUE)&gt;0)*($HB5&lt;&gt;TRUE)</f>
        <v>0</v>
      </c>
      <c r="HF5">
        <f>IF($HE5=0,0,13-MAX((COUNTIF($G5:$V5,TRUE)&gt;0)*($W5&lt;&gt;TRUE)*12,(COUNTIF($X5:$AM5,TRUE)&gt;0)*($AN5&lt;&gt;TRUE)*11,(COUNTIF($AO5:$BD5,TRUE)&gt;0)*($BE5&lt;&gt;TRUE)*10,(COUNTIF($BF5:$BU5,TRUE)&gt;0)*($BV5&lt;&gt;TRUE)*9,(COUNTIF($BW5:$CL5,TRUE)&gt;0)*($CM5&lt;&gt;TRUE)*8,(COUNTIF($CN5:$DC5,TRUE)&gt;0)*($DD5&lt;&gt;TRUE)*7,(COUNTIF($DE5:$DT5,TRUE)&gt;0)*($DU5&lt;&gt;TRUE)*6,(COUNTIF($DV5:$EK5,TRUE)&gt;0)*($EL5&lt;&gt;TRUE)*5,(COUNTIF($EM5:$FB5,TRUE)&gt;0)*($FC5&lt;&gt;TRUE)*4,(COUNTIF($FD5:$FS5,TRUE)&gt;0)*($FT5&lt;&gt;TRUE)*3,(COUNTIF($FU5:$GJ5,TRUE)&gt;0)*($GK5&lt;&gt;TRUE)*2,(COUNTIF($GL5:$HA5,TRUE)&gt;0)*($HB5&lt;&gt;TRUE)*1))</f>
        <v>0</v>
      </c>
    </row>
    <row r="6" ht="22.5" customHeight="1">
      <c r="A6" s="36" t="n">
        <v>2</v>
      </c>
      <c r="B6" s="97" t="n"/>
      <c r="C6" s="28" t="n"/>
      <c r="D6" s="98" t="str">
        <f>IF($B6="","",IF($HC6=97,"-",IF($HD6=0,"متوقف",SUMPRODUCT(($G$4:$HB$4="ح")*($G$20:$HB$20&gt;0)*($G6:$HB6&lt;&gt;TRUE)*($G$47:$HB$47&gt;$HC$1-8)*($G$47:$HB$47&gt;=$HC6)))))</f>
        <v/>
      </c>
      <c r="E6" s="98" t="str">
        <f>IF(OR($B6="",$HC6=97),"",SUMPRODUCT(($G$4:$HA$4="ح")*($G6:$HA6=TRUE)*($H6:$HB6&lt;&gt;TRUE)*($G$47:$HA$47&gt;$HC$1-8)))</f>
        <v/>
      </c>
      <c r="F6" s="99" t="str">
        <f>IF($B6="","",IF($HE6=0,IF($HC6=97,"-","تمام"),IF($HE6=1,IF(INDEX($G$1:$HB$1,1,17*($HF6-1)+1)="","شهر "&amp;$HF6,INDEX($G$1:$HB$1,1,17*($HF6-1)+1)),IF($HE6=2,"شهرين",$HE6&amp;" شهور"))))</f>
        <v/>
      </c>
      <c r="G6" s="100" t="n"/>
      <c r="H6" s="101" t="n"/>
      <c r="I6" s="100" t="n"/>
      <c r="J6" s="101" t="n"/>
      <c r="K6" s="100" t="n"/>
      <c r="L6" s="101" t="n"/>
      <c r="M6" s="100" t="n"/>
      <c r="N6" s="101" t="n"/>
      <c r="O6" s="100" t="n"/>
      <c r="P6" s="101" t="n"/>
      <c r="Q6" s="100" t="n"/>
      <c r="R6" s="101" t="n"/>
      <c r="S6" s="100" t="n"/>
      <c r="T6" s="101" t="n"/>
      <c r="U6" s="100" t="n"/>
      <c r="V6" s="101" t="n"/>
      <c r="W6" s="102" t="n"/>
      <c r="X6" s="103" t="n"/>
      <c r="Y6" s="104" t="n"/>
      <c r="Z6" s="103" t="n"/>
      <c r="AA6" s="104" t="n"/>
      <c r="AB6" s="103" t="n"/>
      <c r="AC6" s="104" t="n"/>
      <c r="AD6" s="103" t="n"/>
      <c r="AE6" s="104" t="n"/>
      <c r="AF6" s="103" t="n"/>
      <c r="AG6" s="104" t="n"/>
      <c r="AH6" s="103" t="n"/>
      <c r="AI6" s="104" t="n"/>
      <c r="AJ6" s="103" t="n"/>
      <c r="AK6" s="104" t="n"/>
      <c r="AL6" s="103" t="n"/>
      <c r="AM6" s="104" t="n"/>
      <c r="AN6" s="105" t="n"/>
      <c r="AO6" s="106" t="n"/>
      <c r="AP6" s="107" t="n"/>
      <c r="AQ6" s="106" t="n"/>
      <c r="AR6" s="107" t="n"/>
      <c r="AS6" s="106" t="n"/>
      <c r="AT6" s="107" t="n"/>
      <c r="AU6" s="106" t="n"/>
      <c r="AV6" s="107" t="n"/>
      <c r="AW6" s="106" t="n"/>
      <c r="AX6" s="107" t="n"/>
      <c r="AY6" s="106" t="n"/>
      <c r="AZ6" s="107" t="n"/>
      <c r="BA6" s="106" t="n"/>
      <c r="BB6" s="107" t="n"/>
      <c r="BC6" s="106" t="n"/>
      <c r="BD6" s="107" t="n"/>
      <c r="BE6" s="108" t="n"/>
      <c r="BF6" s="109" t="n"/>
      <c r="BG6" s="110" t="n"/>
      <c r="BH6" s="109" t="n"/>
      <c r="BI6" s="110" t="n"/>
      <c r="BJ6" s="109" t="n"/>
      <c r="BK6" s="110" t="n"/>
      <c r="BL6" s="109" t="n"/>
      <c r="BM6" s="110" t="n"/>
      <c r="BN6" s="109" t="n"/>
      <c r="BO6" s="110" t="n"/>
      <c r="BP6" s="109" t="n"/>
      <c r="BQ6" s="110" t="n"/>
      <c r="BR6" s="109" t="n"/>
      <c r="BS6" s="110" t="n"/>
      <c r="BT6" s="109" t="n"/>
      <c r="BU6" s="110" t="n"/>
      <c r="BV6" s="111" t="n"/>
      <c r="BW6" s="112" t="n"/>
      <c r="BX6" s="113" t="n"/>
      <c r="BY6" s="112" t="n"/>
      <c r="BZ6" s="113" t="n"/>
      <c r="CA6" s="112" t="n"/>
      <c r="CB6" s="113" t="n"/>
      <c r="CC6" s="112" t="n"/>
      <c r="CD6" s="113" t="n"/>
      <c r="CE6" s="112" t="n"/>
      <c r="CF6" s="113" t="n"/>
      <c r="CG6" s="112" t="n"/>
      <c r="CH6" s="113" t="n"/>
      <c r="CI6" s="112" t="n"/>
      <c r="CJ6" s="113" t="n"/>
      <c r="CK6" s="112" t="n"/>
      <c r="CL6" s="113" t="n"/>
      <c r="CM6" s="114" t="n"/>
      <c r="CN6" s="115" t="n"/>
      <c r="CO6" s="116" t="n"/>
      <c r="CP6" s="115" t="n"/>
      <c r="CQ6" s="116" t="n"/>
      <c r="CR6" s="115" t="n"/>
      <c r="CS6" s="116" t="n"/>
      <c r="CT6" s="115" t="n"/>
      <c r="CU6" s="116" t="n"/>
      <c r="CV6" s="115" t="n"/>
      <c r="CW6" s="116" t="n"/>
      <c r="CX6" s="115" t="n"/>
      <c r="CY6" s="116" t="n"/>
      <c r="CZ6" s="115" t="n"/>
      <c r="DA6" s="116" t="n"/>
      <c r="DB6" s="115" t="n"/>
      <c r="DC6" s="116" t="n"/>
      <c r="DD6" s="117" t="n"/>
      <c r="DE6" s="118" t="n"/>
      <c r="DF6" s="119" t="n"/>
      <c r="DG6" s="118" t="n"/>
      <c r="DH6" s="119" t="n"/>
      <c r="DI6" s="118" t="n"/>
      <c r="DJ6" s="119" t="n"/>
      <c r="DK6" s="118" t="n"/>
      <c r="DL6" s="119" t="n"/>
      <c r="DM6" s="118" t="n"/>
      <c r="DN6" s="119" t="n"/>
      <c r="DO6" s="118" t="n"/>
      <c r="DP6" s="119" t="n"/>
      <c r="DQ6" s="118" t="n"/>
      <c r="DR6" s="119" t="n"/>
      <c r="DS6" s="118" t="n"/>
      <c r="DT6" s="119" t="n"/>
      <c r="DU6" s="120" t="n"/>
      <c r="DV6" s="121" t="n"/>
      <c r="DW6" s="122" t="n"/>
      <c r="DX6" s="121" t="n"/>
      <c r="DY6" s="122" t="n"/>
      <c r="DZ6" s="121" t="n"/>
      <c r="EA6" s="122" t="n"/>
      <c r="EB6" s="121" t="n"/>
      <c r="EC6" s="122" t="n"/>
      <c r="ED6" s="121" t="n"/>
      <c r="EE6" s="122" t="n"/>
      <c r="EF6" s="121" t="n"/>
      <c r="EG6" s="122" t="n"/>
      <c r="EH6" s="121" t="n"/>
      <c r="EI6" s="122" t="n"/>
      <c r="EJ6" s="121" t="n"/>
      <c r="EK6" s="122" t="n"/>
      <c r="EL6" s="123" t="n"/>
      <c r="EM6" s="124" t="n"/>
      <c r="EN6" s="125" t="n"/>
      <c r="EO6" s="124" t="n"/>
      <c r="EP6" s="125" t="n"/>
      <c r="EQ6" s="124" t="n"/>
      <c r="ER6" s="125" t="n"/>
      <c r="ES6" s="124" t="n"/>
      <c r="ET6" s="125" t="n"/>
      <c r="EU6" s="124" t="n"/>
      <c r="EV6" s="125" t="n"/>
      <c r="EW6" s="124" t="n"/>
      <c r="EX6" s="125" t="n"/>
      <c r="EY6" s="124" t="n"/>
      <c r="EZ6" s="125" t="n"/>
      <c r="FA6" s="124" t="n"/>
      <c r="FB6" s="125" t="n"/>
      <c r="FC6" s="126" t="n"/>
      <c r="FD6" s="127" t="n"/>
      <c r="FE6" s="128" t="n"/>
      <c r="FF6" s="127" t="n"/>
      <c r="FG6" s="128" t="n"/>
      <c r="FH6" s="127" t="n"/>
      <c r="FI6" s="128" t="n"/>
      <c r="FJ6" s="127" t="n"/>
      <c r="FK6" s="128" t="n"/>
      <c r="FL6" s="127" t="n"/>
      <c r="FM6" s="128" t="n"/>
      <c r="FN6" s="127" t="n"/>
      <c r="FO6" s="128" t="n"/>
      <c r="FP6" s="127" t="n"/>
      <c r="FQ6" s="128" t="n"/>
      <c r="FR6" s="127" t="n"/>
      <c r="FS6" s="128" t="n"/>
      <c r="FT6" s="129" t="n"/>
      <c r="FU6" s="130" t="n"/>
      <c r="FV6" s="131" t="n"/>
      <c r="FW6" s="130" t="n"/>
      <c r="FX6" s="131" t="n"/>
      <c r="FY6" s="130" t="n"/>
      <c r="FZ6" s="131" t="n"/>
      <c r="GA6" s="130" t="n"/>
      <c r="GB6" s="131" t="n"/>
      <c r="GC6" s="130" t="n"/>
      <c r="GD6" s="131" t="n"/>
      <c r="GE6" s="130" t="n"/>
      <c r="GF6" s="131" t="n"/>
      <c r="GG6" s="130" t="n"/>
      <c r="GH6" s="131" t="n"/>
      <c r="GI6" s="130" t="n"/>
      <c r="GJ6" s="131" t="n"/>
      <c r="GK6" s="132" t="n"/>
      <c r="GL6" s="133" t="n"/>
      <c r="GM6" s="134" t="n"/>
      <c r="GN6" s="133" t="n"/>
      <c r="GO6" s="134" t="n"/>
      <c r="GP6" s="133" t="n"/>
      <c r="GQ6" s="134" t="n"/>
      <c r="GR6" s="133" t="n"/>
      <c r="GS6" s="134" t="n"/>
      <c r="GT6" s="133" t="n"/>
      <c r="GU6" s="134" t="n"/>
      <c r="GV6" s="133" t="n"/>
      <c r="GW6" s="134" t="n"/>
      <c r="GX6" s="133" t="n"/>
      <c r="GY6" s="134" t="n"/>
      <c r="GZ6" s="133" t="n"/>
      <c r="HA6" s="134" t="n"/>
      <c r="HB6" s="135" t="n"/>
      <c r="HC6">
        <f>97-SUMPRODUCT(MAX(($G$4:$HB$4="ح")*($G6:$HB6=TRUE)*(97-$G$47:$HB$47)))</f>
        <v>97</v>
      </c>
      <c r="HD6">
        <f>SUMPRODUCT(($G$4:$HB$4="ح")*($G6:$HB6=TRUE)*($G$47:$HB$47&gt;$HC$1-8))</f>
        <v>0</v>
      </c>
      <c r="HE6">
        <f>(COUNTIF($G6:$V6,TRUE)&gt;0)*($W6&lt;&gt;TRUE)+(COUNTIF($X6:$AM6,TRUE)&gt;0)*($AN6&lt;&gt;TRUE)+(COUNTIF($AO6:$BD6,TRUE)&gt;0)*($BE6&lt;&gt;TRUE)+(COUNTIF($BF6:$BU6,TRUE)&gt;0)*($BV6&lt;&gt;TRUE)+(COUNTIF($BW6:$CL6,TRUE)&gt;0)*($CM6&lt;&gt;TRUE)+(COUNTIF($CN6:$DC6,TRUE)&gt;0)*($DD6&lt;&gt;TRUE)+(COUNTIF($DE6:$DT6,TRUE)&gt;0)*($DU6&lt;&gt;TRUE)+(COUNTIF($DV6:$EK6,TRUE)&gt;0)*($EL6&lt;&gt;TRUE)+(COUNTIF($EM6:$FB6,TRUE)&gt;0)*($FC6&lt;&gt;TRUE)+(COUNTIF($FD6:$FS6,TRUE)&gt;0)*($FT6&lt;&gt;TRUE)+(COUNTIF($FU6:$GJ6,TRUE)&gt;0)*($GK6&lt;&gt;TRUE)+(COUNTIF($GL6:$HA6,TRUE)&gt;0)*($HB6&lt;&gt;TRUE)</f>
        <v>0</v>
      </c>
      <c r="HF6">
        <f>IF($HE6=0,0,13-MAX((COUNTIF($G6:$V6,TRUE)&gt;0)*($W6&lt;&gt;TRUE)*12,(COUNTIF($X6:$AM6,TRUE)&gt;0)*($AN6&lt;&gt;TRUE)*11,(COUNTIF($AO6:$BD6,TRUE)&gt;0)*($BE6&lt;&gt;TRUE)*10,(COUNTIF($BF6:$BU6,TRUE)&gt;0)*($BV6&lt;&gt;TRUE)*9,(COUNTIF($BW6:$CL6,TRUE)&gt;0)*($CM6&lt;&gt;TRUE)*8,(COUNTIF($CN6:$DC6,TRUE)&gt;0)*($DD6&lt;&gt;TRUE)*7,(COUNTIF($DE6:$DT6,TRUE)&gt;0)*($DU6&lt;&gt;TRUE)*6,(COUNTIF($DV6:$EK6,TRUE)&gt;0)*($EL6&lt;&gt;TRUE)*5,(COUNTIF($EM6:$FB6,TRUE)&gt;0)*($FC6&lt;&gt;TRUE)*4,(COUNTIF($FD6:$FS6,TRUE)&gt;0)*($FT6&lt;&gt;TRUE)*3,(COUNTIF($FU6:$GJ6,TRUE)&gt;0)*($GK6&lt;&gt;TRUE)*2,(COUNTIF($GL6:$HA6,TRUE)&gt;0)*($HB6&lt;&gt;TRUE)*1))</f>
        <v>0</v>
      </c>
    </row>
    <row r="7" ht="22.5" customHeight="1">
      <c r="A7" s="36" t="n">
        <v>3</v>
      </c>
      <c r="B7" s="97" t="n"/>
      <c r="C7" s="28" t="n"/>
      <c r="D7" s="98" t="str">
        <f>IF($B7="","",IF($HC7=97,"-",IF($HD7=0,"متوقف",SUMPRODUCT(($G$4:$HB$4="ح")*($G$20:$HB$20&gt;0)*($G7:$HB7&lt;&gt;TRUE)*($G$47:$HB$47&gt;$HC$1-8)*($G$47:$HB$47&gt;=$HC7)))))</f>
        <v/>
      </c>
      <c r="E7" s="98" t="str">
        <f>IF(OR($B7="",$HC7=97),"",SUMPRODUCT(($G$4:$HA$4="ح")*($G7:$HA7=TRUE)*($H7:$HB7&lt;&gt;TRUE)*($G$47:$HA$47&gt;$HC$1-8)))</f>
        <v/>
      </c>
      <c r="F7" s="99" t="str">
        <f>IF($B7="","",IF($HE7=0,IF($HC7=97,"-","تمام"),IF($HE7=1,IF(INDEX($G$1:$HB$1,1,17*($HF7-1)+1)="","شهر "&amp;$HF7,INDEX($G$1:$HB$1,1,17*($HF7-1)+1)),IF($HE7=2,"شهرين",$HE7&amp;" شهور"))))</f>
        <v/>
      </c>
      <c r="G7" s="100" t="n"/>
      <c r="H7" s="101" t="n"/>
      <c r="I7" s="100" t="n"/>
      <c r="J7" s="101" t="n"/>
      <c r="K7" s="100" t="n"/>
      <c r="L7" s="101" t="n"/>
      <c r="M7" s="100" t="n"/>
      <c r="N7" s="101" t="n"/>
      <c r="O7" s="100" t="n"/>
      <c r="P7" s="101" t="n"/>
      <c r="Q7" s="100" t="n"/>
      <c r="R7" s="101" t="n"/>
      <c r="S7" s="100" t="n"/>
      <c r="T7" s="101" t="n"/>
      <c r="U7" s="100" t="n"/>
      <c r="V7" s="101" t="n"/>
      <c r="W7" s="102" t="n"/>
      <c r="X7" s="103" t="n"/>
      <c r="Y7" s="104" t="n"/>
      <c r="Z7" s="103" t="n"/>
      <c r="AA7" s="104" t="n"/>
      <c r="AB7" s="103" t="n"/>
      <c r="AC7" s="104" t="n"/>
      <c r="AD7" s="103" t="n"/>
      <c r="AE7" s="104" t="n"/>
      <c r="AF7" s="103" t="n"/>
      <c r="AG7" s="104" t="n"/>
      <c r="AH7" s="103" t="n"/>
      <c r="AI7" s="104" t="n"/>
      <c r="AJ7" s="103" t="n"/>
      <c r="AK7" s="104" t="n"/>
      <c r="AL7" s="103" t="n"/>
      <c r="AM7" s="104" t="n"/>
      <c r="AN7" s="105" t="n"/>
      <c r="AO7" s="106" t="n"/>
      <c r="AP7" s="107" t="n"/>
      <c r="AQ7" s="106" t="n"/>
      <c r="AR7" s="107" t="n"/>
      <c r="AS7" s="106" t="n"/>
      <c r="AT7" s="107" t="n"/>
      <c r="AU7" s="106" t="n"/>
      <c r="AV7" s="107" t="n"/>
      <c r="AW7" s="106" t="n"/>
      <c r="AX7" s="107" t="n"/>
      <c r="AY7" s="106" t="n"/>
      <c r="AZ7" s="107" t="n"/>
      <c r="BA7" s="106" t="n"/>
      <c r="BB7" s="107" t="n"/>
      <c r="BC7" s="106" t="n"/>
      <c r="BD7" s="107" t="n"/>
      <c r="BE7" s="108" t="n"/>
      <c r="BF7" s="109" t="n"/>
      <c r="BG7" s="110" t="n"/>
      <c r="BH7" s="109" t="n"/>
      <c r="BI7" s="110" t="n"/>
      <c r="BJ7" s="109" t="n"/>
      <c r="BK7" s="110" t="n"/>
      <c r="BL7" s="109" t="n"/>
      <c r="BM7" s="110" t="n"/>
      <c r="BN7" s="109" t="n"/>
      <c r="BO7" s="110" t="n"/>
      <c r="BP7" s="109" t="n"/>
      <c r="BQ7" s="110" t="n"/>
      <c r="BR7" s="109" t="n"/>
      <c r="BS7" s="110" t="n"/>
      <c r="BT7" s="109" t="n"/>
      <c r="BU7" s="110" t="n"/>
      <c r="BV7" s="111" t="n"/>
      <c r="BW7" s="112" t="n"/>
      <c r="BX7" s="113" t="n"/>
      <c r="BY7" s="112" t="n"/>
      <c r="BZ7" s="113" t="n"/>
      <c r="CA7" s="112" t="n"/>
      <c r="CB7" s="113" t="n"/>
      <c r="CC7" s="112" t="n"/>
      <c r="CD7" s="113" t="n"/>
      <c r="CE7" s="112" t="n"/>
      <c r="CF7" s="113" t="n"/>
      <c r="CG7" s="112" t="n"/>
      <c r="CH7" s="113" t="n"/>
      <c r="CI7" s="112" t="n"/>
      <c r="CJ7" s="113" t="n"/>
      <c r="CK7" s="112" t="n"/>
      <c r="CL7" s="113" t="n"/>
      <c r="CM7" s="114" t="n"/>
      <c r="CN7" s="115" t="n"/>
      <c r="CO7" s="116" t="n"/>
      <c r="CP7" s="115" t="n"/>
      <c r="CQ7" s="116" t="n"/>
      <c r="CR7" s="115" t="n"/>
      <c r="CS7" s="116" t="n"/>
      <c r="CT7" s="115" t="n"/>
      <c r="CU7" s="116" t="n"/>
      <c r="CV7" s="115" t="n"/>
      <c r="CW7" s="116" t="n"/>
      <c r="CX7" s="115" t="n"/>
      <c r="CY7" s="116" t="n"/>
      <c r="CZ7" s="115" t="n"/>
      <c r="DA7" s="116" t="n"/>
      <c r="DB7" s="115" t="n"/>
      <c r="DC7" s="116" t="n"/>
      <c r="DD7" s="117" t="n"/>
      <c r="DE7" s="118" t="n"/>
      <c r="DF7" s="119" t="n"/>
      <c r="DG7" s="118" t="n"/>
      <c r="DH7" s="119" t="n"/>
      <c r="DI7" s="118" t="n"/>
      <c r="DJ7" s="119" t="n"/>
      <c r="DK7" s="118" t="n"/>
      <c r="DL7" s="119" t="n"/>
      <c r="DM7" s="118" t="n"/>
      <c r="DN7" s="119" t="n"/>
      <c r="DO7" s="118" t="n"/>
      <c r="DP7" s="119" t="n"/>
      <c r="DQ7" s="118" t="n"/>
      <c r="DR7" s="119" t="n"/>
      <c r="DS7" s="118" t="n"/>
      <c r="DT7" s="119" t="n"/>
      <c r="DU7" s="120" t="n"/>
      <c r="DV7" s="121" t="n"/>
      <c r="DW7" s="122" t="n"/>
      <c r="DX7" s="121" t="n"/>
      <c r="DY7" s="122" t="n"/>
      <c r="DZ7" s="121" t="n"/>
      <c r="EA7" s="122" t="n"/>
      <c r="EB7" s="121" t="n"/>
      <c r="EC7" s="122" t="n"/>
      <c r="ED7" s="121" t="n"/>
      <c r="EE7" s="122" t="n"/>
      <c r="EF7" s="121" t="n"/>
      <c r="EG7" s="122" t="n"/>
      <c r="EH7" s="121" t="n"/>
      <c r="EI7" s="122" t="n"/>
      <c r="EJ7" s="121" t="n"/>
      <c r="EK7" s="122" t="n"/>
      <c r="EL7" s="123" t="n"/>
      <c r="EM7" s="124" t="n"/>
      <c r="EN7" s="125" t="n"/>
      <c r="EO7" s="124" t="n"/>
      <c r="EP7" s="125" t="n"/>
      <c r="EQ7" s="124" t="n"/>
      <c r="ER7" s="125" t="n"/>
      <c r="ES7" s="124" t="n"/>
      <c r="ET7" s="125" t="n"/>
      <c r="EU7" s="124" t="n"/>
      <c r="EV7" s="125" t="n"/>
      <c r="EW7" s="124" t="n"/>
      <c r="EX7" s="125" t="n"/>
      <c r="EY7" s="124" t="n"/>
      <c r="EZ7" s="125" t="n"/>
      <c r="FA7" s="124" t="n"/>
      <c r="FB7" s="125" t="n"/>
      <c r="FC7" s="126" t="n"/>
      <c r="FD7" s="127" t="n"/>
      <c r="FE7" s="128" t="n"/>
      <c r="FF7" s="127" t="n"/>
      <c r="FG7" s="128" t="n"/>
      <c r="FH7" s="127" t="n"/>
      <c r="FI7" s="128" t="n"/>
      <c r="FJ7" s="127" t="n"/>
      <c r="FK7" s="128" t="n"/>
      <c r="FL7" s="127" t="n"/>
      <c r="FM7" s="128" t="n"/>
      <c r="FN7" s="127" t="n"/>
      <c r="FO7" s="128" t="n"/>
      <c r="FP7" s="127" t="n"/>
      <c r="FQ7" s="128" t="n"/>
      <c r="FR7" s="127" t="n"/>
      <c r="FS7" s="128" t="n"/>
      <c r="FT7" s="129" t="n"/>
      <c r="FU7" s="130" t="n"/>
      <c r="FV7" s="131" t="n"/>
      <c r="FW7" s="130" t="n"/>
      <c r="FX7" s="131" t="n"/>
      <c r="FY7" s="130" t="n"/>
      <c r="FZ7" s="131" t="n"/>
      <c r="GA7" s="130" t="n"/>
      <c r="GB7" s="131" t="n"/>
      <c r="GC7" s="130" t="n"/>
      <c r="GD7" s="131" t="n"/>
      <c r="GE7" s="130" t="n"/>
      <c r="GF7" s="131" t="n"/>
      <c r="GG7" s="130" t="n"/>
      <c r="GH7" s="131" t="n"/>
      <c r="GI7" s="130" t="n"/>
      <c r="GJ7" s="131" t="n"/>
      <c r="GK7" s="132" t="n"/>
      <c r="GL7" s="133" t="n"/>
      <c r="GM7" s="134" t="n"/>
      <c r="GN7" s="133" t="n"/>
      <c r="GO7" s="134" t="n"/>
      <c r="GP7" s="133" t="n"/>
      <c r="GQ7" s="134" t="n"/>
      <c r="GR7" s="133" t="n"/>
      <c r="GS7" s="134" t="n"/>
      <c r="GT7" s="133" t="n"/>
      <c r="GU7" s="134" t="n"/>
      <c r="GV7" s="133" t="n"/>
      <c r="GW7" s="134" t="n"/>
      <c r="GX7" s="133" t="n"/>
      <c r="GY7" s="134" t="n"/>
      <c r="GZ7" s="133" t="n"/>
      <c r="HA7" s="134" t="n"/>
      <c r="HB7" s="135" t="n"/>
      <c r="HC7">
        <f>97-SUMPRODUCT(MAX(($G$4:$HB$4="ح")*($G7:$HB7=TRUE)*(97-$G$47:$HB$47)))</f>
        <v>97</v>
      </c>
      <c r="HD7">
        <f>SUMPRODUCT(($G$4:$HB$4="ح")*($G7:$HB7=TRUE)*($G$47:$HB$47&gt;$HC$1-8))</f>
        <v>0</v>
      </c>
      <c r="HE7">
        <f>(COUNTIF($G7:$V7,TRUE)&gt;0)*($W7&lt;&gt;TRUE)+(COUNTIF($X7:$AM7,TRUE)&gt;0)*($AN7&lt;&gt;TRUE)+(COUNTIF($AO7:$BD7,TRUE)&gt;0)*($BE7&lt;&gt;TRUE)+(COUNTIF($BF7:$BU7,TRUE)&gt;0)*($BV7&lt;&gt;TRUE)+(COUNTIF($BW7:$CL7,TRUE)&gt;0)*($CM7&lt;&gt;TRUE)+(COUNTIF($CN7:$DC7,TRUE)&gt;0)*($DD7&lt;&gt;TRUE)+(COUNTIF($DE7:$DT7,TRUE)&gt;0)*($DU7&lt;&gt;TRUE)+(COUNTIF($DV7:$EK7,TRUE)&gt;0)*($EL7&lt;&gt;TRUE)+(COUNTIF($EM7:$FB7,TRUE)&gt;0)*($FC7&lt;&gt;TRUE)+(COUNTIF($FD7:$FS7,TRUE)&gt;0)*($FT7&lt;&gt;TRUE)+(COUNTIF($FU7:$GJ7,TRUE)&gt;0)*($GK7&lt;&gt;TRUE)+(COUNTIF($GL7:$HA7,TRUE)&gt;0)*($HB7&lt;&gt;TRUE)</f>
        <v>0</v>
      </c>
      <c r="HF7">
        <f>IF($HE7=0,0,13-MAX((COUNTIF($G7:$V7,TRUE)&gt;0)*($W7&lt;&gt;TRUE)*12,(COUNTIF($X7:$AM7,TRUE)&gt;0)*($AN7&lt;&gt;TRUE)*11,(COUNTIF($AO7:$BD7,TRUE)&gt;0)*($BE7&lt;&gt;TRUE)*10,(COUNTIF($BF7:$BU7,TRUE)&gt;0)*($BV7&lt;&gt;TRUE)*9,(COUNTIF($BW7:$CL7,TRUE)&gt;0)*($CM7&lt;&gt;TRUE)*8,(COUNTIF($CN7:$DC7,TRUE)&gt;0)*($DD7&lt;&gt;TRUE)*7,(COUNTIF($DE7:$DT7,TRUE)&gt;0)*($DU7&lt;&gt;TRUE)*6,(COUNTIF($DV7:$EK7,TRUE)&gt;0)*($EL7&lt;&gt;TRUE)*5,(COUNTIF($EM7:$FB7,TRUE)&gt;0)*($FC7&lt;&gt;TRUE)*4,(COUNTIF($FD7:$FS7,TRUE)&gt;0)*($FT7&lt;&gt;TRUE)*3,(COUNTIF($FU7:$GJ7,TRUE)&gt;0)*($GK7&lt;&gt;TRUE)*2,(COUNTIF($GL7:$HA7,TRUE)&gt;0)*($HB7&lt;&gt;TRUE)*1))</f>
        <v>0</v>
      </c>
    </row>
    <row r="8" ht="22.5" customHeight="1">
      <c r="A8" s="36" t="n">
        <v>4</v>
      </c>
      <c r="B8" s="97" t="n"/>
      <c r="C8" s="28" t="n"/>
      <c r="D8" s="98" t="str">
        <f>IF($B8="","",IF($HC8=97,"-",IF($HD8=0,"متوقف",SUMPRODUCT(($G$4:$HB$4="ح")*($G$20:$HB$20&gt;0)*($G8:$HB8&lt;&gt;TRUE)*($G$47:$HB$47&gt;$HC$1-8)*($G$47:$HB$47&gt;=$HC8)))))</f>
        <v/>
      </c>
      <c r="E8" s="98" t="str">
        <f>IF(OR($B8="",$HC8=97),"",SUMPRODUCT(($G$4:$HA$4="ح")*($G8:$HA8=TRUE)*($H8:$HB8&lt;&gt;TRUE)*($G$47:$HA$47&gt;$HC$1-8)))</f>
        <v/>
      </c>
      <c r="F8" s="99" t="str">
        <f>IF($B8="","",IF($HE8=0,IF($HC8=97,"-","تمام"),IF($HE8=1,IF(INDEX($G$1:$HB$1,1,17*($HF8-1)+1)="","شهر "&amp;$HF8,INDEX($G$1:$HB$1,1,17*($HF8-1)+1)),IF($HE8=2,"شهرين",$HE8&amp;" شهور"))))</f>
        <v/>
      </c>
      <c r="G8" s="100" t="n"/>
      <c r="H8" s="101" t="n"/>
      <c r="I8" s="100" t="n"/>
      <c r="J8" s="101" t="n"/>
      <c r="K8" s="100" t="n"/>
      <c r="L8" s="101" t="n"/>
      <c r="M8" s="100" t="n"/>
      <c r="N8" s="101" t="n"/>
      <c r="O8" s="100" t="n"/>
      <c r="P8" s="101" t="n"/>
      <c r="Q8" s="100" t="n"/>
      <c r="R8" s="101" t="n"/>
      <c r="S8" s="100" t="n"/>
      <c r="T8" s="101" t="n"/>
      <c r="U8" s="100" t="n"/>
      <c r="V8" s="101" t="n"/>
      <c r="W8" s="102" t="n"/>
      <c r="X8" s="103" t="n"/>
      <c r="Y8" s="104" t="n"/>
      <c r="Z8" s="103" t="n"/>
      <c r="AA8" s="104" t="n"/>
      <c r="AB8" s="103" t="n"/>
      <c r="AC8" s="104" t="n"/>
      <c r="AD8" s="103" t="n"/>
      <c r="AE8" s="104" t="n"/>
      <c r="AF8" s="103" t="n"/>
      <c r="AG8" s="104" t="n"/>
      <c r="AH8" s="103" t="n"/>
      <c r="AI8" s="104" t="n"/>
      <c r="AJ8" s="103" t="n"/>
      <c r="AK8" s="104" t="n"/>
      <c r="AL8" s="103" t="n"/>
      <c r="AM8" s="104" t="n"/>
      <c r="AN8" s="105" t="n"/>
      <c r="AO8" s="106" t="n"/>
      <c r="AP8" s="107" t="n"/>
      <c r="AQ8" s="106" t="n"/>
      <c r="AR8" s="107" t="n"/>
      <c r="AS8" s="106" t="n"/>
      <c r="AT8" s="107" t="n"/>
      <c r="AU8" s="106" t="n"/>
      <c r="AV8" s="107" t="n"/>
      <c r="AW8" s="106" t="n"/>
      <c r="AX8" s="107" t="n"/>
      <c r="AY8" s="106" t="n"/>
      <c r="AZ8" s="107" t="n"/>
      <c r="BA8" s="106" t="n"/>
      <c r="BB8" s="107" t="n"/>
      <c r="BC8" s="106" t="n"/>
      <c r="BD8" s="107" t="n"/>
      <c r="BE8" s="108" t="n"/>
      <c r="BF8" s="109" t="n"/>
      <c r="BG8" s="110" t="n"/>
      <c r="BH8" s="109" t="n"/>
      <c r="BI8" s="110" t="n"/>
      <c r="BJ8" s="109" t="n"/>
      <c r="BK8" s="110" t="n"/>
      <c r="BL8" s="109" t="n"/>
      <c r="BM8" s="110" t="n"/>
      <c r="BN8" s="109" t="n"/>
      <c r="BO8" s="110" t="n"/>
      <c r="BP8" s="109" t="n"/>
      <c r="BQ8" s="110" t="n"/>
      <c r="BR8" s="109" t="n"/>
      <c r="BS8" s="110" t="n"/>
      <c r="BT8" s="109" t="n"/>
      <c r="BU8" s="110" t="n"/>
      <c r="BV8" s="111" t="n"/>
      <c r="BW8" s="112" t="n"/>
      <c r="BX8" s="113" t="n"/>
      <c r="BY8" s="112" t="n"/>
      <c r="BZ8" s="113" t="n"/>
      <c r="CA8" s="112" t="n"/>
      <c r="CB8" s="113" t="n"/>
      <c r="CC8" s="112" t="n"/>
      <c r="CD8" s="113" t="n"/>
      <c r="CE8" s="112" t="n"/>
      <c r="CF8" s="113" t="n"/>
      <c r="CG8" s="112" t="n"/>
      <c r="CH8" s="113" t="n"/>
      <c r="CI8" s="112" t="n"/>
      <c r="CJ8" s="113" t="n"/>
      <c r="CK8" s="112" t="n"/>
      <c r="CL8" s="113" t="n"/>
      <c r="CM8" s="114" t="n"/>
      <c r="CN8" s="115" t="n"/>
      <c r="CO8" s="116" t="n"/>
      <c r="CP8" s="115" t="n"/>
      <c r="CQ8" s="116" t="n"/>
      <c r="CR8" s="115" t="n"/>
      <c r="CS8" s="116" t="n"/>
      <c r="CT8" s="115" t="n"/>
      <c r="CU8" s="116" t="n"/>
      <c r="CV8" s="115" t="n"/>
      <c r="CW8" s="116" t="n"/>
      <c r="CX8" s="115" t="n"/>
      <c r="CY8" s="116" t="n"/>
      <c r="CZ8" s="115" t="n"/>
      <c r="DA8" s="116" t="n"/>
      <c r="DB8" s="115" t="n"/>
      <c r="DC8" s="116" t="n"/>
      <c r="DD8" s="117" t="n"/>
      <c r="DE8" s="118" t="n"/>
      <c r="DF8" s="119" t="n"/>
      <c r="DG8" s="118" t="n"/>
      <c r="DH8" s="119" t="n"/>
      <c r="DI8" s="118" t="n"/>
      <c r="DJ8" s="119" t="n"/>
      <c r="DK8" s="118" t="n"/>
      <c r="DL8" s="119" t="n"/>
      <c r="DM8" s="118" t="n"/>
      <c r="DN8" s="119" t="n"/>
      <c r="DO8" s="118" t="n"/>
      <c r="DP8" s="119" t="n"/>
      <c r="DQ8" s="118" t="n"/>
      <c r="DR8" s="119" t="n"/>
      <c r="DS8" s="118" t="n"/>
      <c r="DT8" s="119" t="n"/>
      <c r="DU8" s="120" t="n"/>
      <c r="DV8" s="121" t="n"/>
      <c r="DW8" s="122" t="n"/>
      <c r="DX8" s="121" t="n"/>
      <c r="DY8" s="122" t="n"/>
      <c r="DZ8" s="121" t="n"/>
      <c r="EA8" s="122" t="n"/>
      <c r="EB8" s="121" t="n"/>
      <c r="EC8" s="122" t="n"/>
      <c r="ED8" s="121" t="n"/>
      <c r="EE8" s="122" t="n"/>
      <c r="EF8" s="121" t="n"/>
      <c r="EG8" s="122" t="n"/>
      <c r="EH8" s="121" t="n"/>
      <c r="EI8" s="122" t="n"/>
      <c r="EJ8" s="121" t="n"/>
      <c r="EK8" s="122" t="n"/>
      <c r="EL8" s="123" t="n"/>
      <c r="EM8" s="124" t="n"/>
      <c r="EN8" s="125" t="n"/>
      <c r="EO8" s="124" t="n"/>
      <c r="EP8" s="125" t="n"/>
      <c r="EQ8" s="124" t="n"/>
      <c r="ER8" s="125" t="n"/>
      <c r="ES8" s="124" t="n"/>
      <c r="ET8" s="125" t="n"/>
      <c r="EU8" s="124" t="n"/>
      <c r="EV8" s="125" t="n"/>
      <c r="EW8" s="124" t="n"/>
      <c r="EX8" s="125" t="n"/>
      <c r="EY8" s="124" t="n"/>
      <c r="EZ8" s="125" t="n"/>
      <c r="FA8" s="124" t="n"/>
      <c r="FB8" s="125" t="n"/>
      <c r="FC8" s="126" t="n"/>
      <c r="FD8" s="127" t="n"/>
      <c r="FE8" s="128" t="n"/>
      <c r="FF8" s="127" t="n"/>
      <c r="FG8" s="128" t="n"/>
      <c r="FH8" s="127" t="n"/>
      <c r="FI8" s="128" t="n"/>
      <c r="FJ8" s="127" t="n"/>
      <c r="FK8" s="128" t="n"/>
      <c r="FL8" s="127" t="n"/>
      <c r="FM8" s="128" t="n"/>
      <c r="FN8" s="127" t="n"/>
      <c r="FO8" s="128" t="n"/>
      <c r="FP8" s="127" t="n"/>
      <c r="FQ8" s="128" t="n"/>
      <c r="FR8" s="127" t="n"/>
      <c r="FS8" s="128" t="n"/>
      <c r="FT8" s="129" t="n"/>
      <c r="FU8" s="130" t="n"/>
      <c r="FV8" s="131" t="n"/>
      <c r="FW8" s="130" t="n"/>
      <c r="FX8" s="131" t="n"/>
      <c r="FY8" s="130" t="n"/>
      <c r="FZ8" s="131" t="n"/>
      <c r="GA8" s="130" t="n"/>
      <c r="GB8" s="131" t="n"/>
      <c r="GC8" s="130" t="n"/>
      <c r="GD8" s="131" t="n"/>
      <c r="GE8" s="130" t="n"/>
      <c r="GF8" s="131" t="n"/>
      <c r="GG8" s="130" t="n"/>
      <c r="GH8" s="131" t="n"/>
      <c r="GI8" s="130" t="n"/>
      <c r="GJ8" s="131" t="n"/>
      <c r="GK8" s="132" t="n"/>
      <c r="GL8" s="133" t="n"/>
      <c r="GM8" s="134" t="n"/>
      <c r="GN8" s="133" t="n"/>
      <c r="GO8" s="134" t="n"/>
      <c r="GP8" s="133" t="n"/>
      <c r="GQ8" s="134" t="n"/>
      <c r="GR8" s="133" t="n"/>
      <c r="GS8" s="134" t="n"/>
      <c r="GT8" s="133" t="n"/>
      <c r="GU8" s="134" t="n"/>
      <c r="GV8" s="133" t="n"/>
      <c r="GW8" s="134" t="n"/>
      <c r="GX8" s="133" t="n"/>
      <c r="GY8" s="134" t="n"/>
      <c r="GZ8" s="133" t="n"/>
      <c r="HA8" s="134" t="n"/>
      <c r="HB8" s="135" t="n"/>
      <c r="HC8">
        <f>97-SUMPRODUCT(MAX(($G$4:$HB$4="ح")*($G8:$HB8=TRUE)*(97-$G$47:$HB$47)))</f>
        <v>97</v>
      </c>
      <c r="HD8">
        <f>SUMPRODUCT(($G$4:$HB$4="ح")*($G8:$HB8=TRUE)*($G$47:$HB$47&gt;$HC$1-8))</f>
        <v>0</v>
      </c>
      <c r="HE8">
        <f>(COUNTIF($G8:$V8,TRUE)&gt;0)*($W8&lt;&gt;TRUE)+(COUNTIF($X8:$AM8,TRUE)&gt;0)*($AN8&lt;&gt;TRUE)+(COUNTIF($AO8:$BD8,TRUE)&gt;0)*($BE8&lt;&gt;TRUE)+(COUNTIF($BF8:$BU8,TRUE)&gt;0)*($BV8&lt;&gt;TRUE)+(COUNTIF($BW8:$CL8,TRUE)&gt;0)*($CM8&lt;&gt;TRUE)+(COUNTIF($CN8:$DC8,TRUE)&gt;0)*($DD8&lt;&gt;TRUE)+(COUNTIF($DE8:$DT8,TRUE)&gt;0)*($DU8&lt;&gt;TRUE)+(COUNTIF($DV8:$EK8,TRUE)&gt;0)*($EL8&lt;&gt;TRUE)+(COUNTIF($EM8:$FB8,TRUE)&gt;0)*($FC8&lt;&gt;TRUE)+(COUNTIF($FD8:$FS8,TRUE)&gt;0)*($FT8&lt;&gt;TRUE)+(COUNTIF($FU8:$GJ8,TRUE)&gt;0)*($GK8&lt;&gt;TRUE)+(COUNTIF($GL8:$HA8,TRUE)&gt;0)*($HB8&lt;&gt;TRUE)</f>
        <v>0</v>
      </c>
      <c r="HF8">
        <f>IF($HE8=0,0,13-MAX((COUNTIF($G8:$V8,TRUE)&gt;0)*($W8&lt;&gt;TRUE)*12,(COUNTIF($X8:$AM8,TRUE)&gt;0)*($AN8&lt;&gt;TRUE)*11,(COUNTIF($AO8:$BD8,TRUE)&gt;0)*($BE8&lt;&gt;TRUE)*10,(COUNTIF($BF8:$BU8,TRUE)&gt;0)*($BV8&lt;&gt;TRUE)*9,(COUNTIF($BW8:$CL8,TRUE)&gt;0)*($CM8&lt;&gt;TRUE)*8,(COUNTIF($CN8:$DC8,TRUE)&gt;0)*($DD8&lt;&gt;TRUE)*7,(COUNTIF($DE8:$DT8,TRUE)&gt;0)*($DU8&lt;&gt;TRUE)*6,(COUNTIF($DV8:$EK8,TRUE)&gt;0)*($EL8&lt;&gt;TRUE)*5,(COUNTIF($EM8:$FB8,TRUE)&gt;0)*($FC8&lt;&gt;TRUE)*4,(COUNTIF($FD8:$FS8,TRUE)&gt;0)*($FT8&lt;&gt;TRUE)*3,(COUNTIF($FU8:$GJ8,TRUE)&gt;0)*($GK8&lt;&gt;TRUE)*2,(COUNTIF($GL8:$HA8,TRUE)&gt;0)*($HB8&lt;&gt;TRUE)*1))</f>
        <v>0</v>
      </c>
    </row>
    <row r="9" ht="22.5" customHeight="1">
      <c r="A9" s="36" t="n">
        <v>5</v>
      </c>
      <c r="B9" s="97" t="n"/>
      <c r="C9" s="28" t="n"/>
      <c r="D9" s="98" t="str">
        <f>IF($B9="","",IF($HC9=97,"-",IF($HD9=0,"متوقف",SUMPRODUCT(($G$4:$HB$4="ح")*($G$20:$HB$20&gt;0)*($G9:$HB9&lt;&gt;TRUE)*($G$47:$HB$47&gt;$HC$1-8)*($G$47:$HB$47&gt;=$HC9)))))</f>
        <v/>
      </c>
      <c r="E9" s="98" t="str">
        <f>IF(OR($B9="",$HC9=97),"",SUMPRODUCT(($G$4:$HA$4="ح")*($G9:$HA9=TRUE)*($H9:$HB9&lt;&gt;TRUE)*($G$47:$HA$47&gt;$HC$1-8)))</f>
        <v/>
      </c>
      <c r="F9" s="99" t="str">
        <f>IF($B9="","",IF($HE9=0,IF($HC9=97,"-","تمام"),IF($HE9=1,IF(INDEX($G$1:$HB$1,1,17*($HF9-1)+1)="","شهر "&amp;$HF9,INDEX($G$1:$HB$1,1,17*($HF9-1)+1)),IF($HE9=2,"شهرين",$HE9&amp;" شهور"))))</f>
        <v/>
      </c>
      <c r="G9" s="100" t="n"/>
      <c r="H9" s="101" t="n"/>
      <c r="I9" s="100" t="n"/>
      <c r="J9" s="101" t="n"/>
      <c r="K9" s="100" t="n"/>
      <c r="L9" s="101" t="n"/>
      <c r="M9" s="100" t="n"/>
      <c r="N9" s="101" t="n"/>
      <c r="O9" s="100" t="n"/>
      <c r="P9" s="101" t="n"/>
      <c r="Q9" s="100" t="n"/>
      <c r="R9" s="101" t="n"/>
      <c r="S9" s="100" t="n"/>
      <c r="T9" s="101" t="n"/>
      <c r="U9" s="100" t="n"/>
      <c r="V9" s="101" t="n"/>
      <c r="W9" s="102" t="n"/>
      <c r="X9" s="103" t="n"/>
      <c r="Y9" s="104" t="n"/>
      <c r="Z9" s="103" t="n"/>
      <c r="AA9" s="104" t="n"/>
      <c r="AB9" s="103" t="n"/>
      <c r="AC9" s="104" t="n"/>
      <c r="AD9" s="103" t="n"/>
      <c r="AE9" s="104" t="n"/>
      <c r="AF9" s="103" t="n"/>
      <c r="AG9" s="104" t="n"/>
      <c r="AH9" s="103" t="n"/>
      <c r="AI9" s="104" t="n"/>
      <c r="AJ9" s="103" t="n"/>
      <c r="AK9" s="104" t="n"/>
      <c r="AL9" s="103" t="n"/>
      <c r="AM9" s="104" t="n"/>
      <c r="AN9" s="105" t="n"/>
      <c r="AO9" s="106" t="n"/>
      <c r="AP9" s="107" t="n"/>
      <c r="AQ9" s="106" t="n"/>
      <c r="AR9" s="107" t="n"/>
      <c r="AS9" s="106" t="n"/>
      <c r="AT9" s="107" t="n"/>
      <c r="AU9" s="106" t="n"/>
      <c r="AV9" s="107" t="n"/>
      <c r="AW9" s="106" t="n"/>
      <c r="AX9" s="107" t="n"/>
      <c r="AY9" s="106" t="n"/>
      <c r="AZ9" s="107" t="n"/>
      <c r="BA9" s="106" t="n"/>
      <c r="BB9" s="107" t="n"/>
      <c r="BC9" s="106" t="n"/>
      <c r="BD9" s="107" t="n"/>
      <c r="BE9" s="108" t="n"/>
      <c r="BF9" s="109" t="n"/>
      <c r="BG9" s="110" t="n"/>
      <c r="BH9" s="109" t="n"/>
      <c r="BI9" s="110" t="n"/>
      <c r="BJ9" s="109" t="n"/>
      <c r="BK9" s="110" t="n"/>
      <c r="BL9" s="109" t="n"/>
      <c r="BM9" s="110" t="n"/>
      <c r="BN9" s="109" t="n"/>
      <c r="BO9" s="110" t="n"/>
      <c r="BP9" s="109" t="n"/>
      <c r="BQ9" s="110" t="n"/>
      <c r="BR9" s="109" t="n"/>
      <c r="BS9" s="110" t="n"/>
      <c r="BT9" s="109" t="n"/>
      <c r="BU9" s="110" t="n"/>
      <c r="BV9" s="111" t="n"/>
      <c r="BW9" s="112" t="n"/>
      <c r="BX9" s="113" t="n"/>
      <c r="BY9" s="112" t="n"/>
      <c r="BZ9" s="113" t="n"/>
      <c r="CA9" s="112" t="n"/>
      <c r="CB9" s="113" t="n"/>
      <c r="CC9" s="112" t="n"/>
      <c r="CD9" s="113" t="n"/>
      <c r="CE9" s="112" t="n"/>
      <c r="CF9" s="113" t="n"/>
      <c r="CG9" s="112" t="n"/>
      <c r="CH9" s="113" t="n"/>
      <c r="CI9" s="112" t="n"/>
      <c r="CJ9" s="113" t="n"/>
      <c r="CK9" s="112" t="n"/>
      <c r="CL9" s="113" t="n"/>
      <c r="CM9" s="114" t="n"/>
      <c r="CN9" s="115" t="n"/>
      <c r="CO9" s="116" t="n"/>
      <c r="CP9" s="115" t="n"/>
      <c r="CQ9" s="116" t="n"/>
      <c r="CR9" s="115" t="n"/>
      <c r="CS9" s="116" t="n"/>
      <c r="CT9" s="115" t="n"/>
      <c r="CU9" s="116" t="n"/>
      <c r="CV9" s="115" t="n"/>
      <c r="CW9" s="116" t="n"/>
      <c r="CX9" s="115" t="n"/>
      <c r="CY9" s="116" t="n"/>
      <c r="CZ9" s="115" t="n"/>
      <c r="DA9" s="116" t="n"/>
      <c r="DB9" s="115" t="n"/>
      <c r="DC9" s="116" t="n"/>
      <c r="DD9" s="117" t="n"/>
      <c r="DE9" s="118" t="n"/>
      <c r="DF9" s="119" t="n"/>
      <c r="DG9" s="118" t="n"/>
      <c r="DH9" s="119" t="n"/>
      <c r="DI9" s="118" t="n"/>
      <c r="DJ9" s="119" t="n"/>
      <c r="DK9" s="118" t="n"/>
      <c r="DL9" s="119" t="n"/>
      <c r="DM9" s="118" t="n"/>
      <c r="DN9" s="119" t="n"/>
      <c r="DO9" s="118" t="n"/>
      <c r="DP9" s="119" t="n"/>
      <c r="DQ9" s="118" t="n"/>
      <c r="DR9" s="119" t="n"/>
      <c r="DS9" s="118" t="n"/>
      <c r="DT9" s="119" t="n"/>
      <c r="DU9" s="120" t="n"/>
      <c r="DV9" s="121" t="n"/>
      <c r="DW9" s="122" t="n"/>
      <c r="DX9" s="121" t="n"/>
      <c r="DY9" s="122" t="n"/>
      <c r="DZ9" s="121" t="n"/>
      <c r="EA9" s="122" t="n"/>
      <c r="EB9" s="121" t="n"/>
      <c r="EC9" s="122" t="n"/>
      <c r="ED9" s="121" t="n"/>
      <c r="EE9" s="122" t="n"/>
      <c r="EF9" s="121" t="n"/>
      <c r="EG9" s="122" t="n"/>
      <c r="EH9" s="121" t="n"/>
      <c r="EI9" s="122" t="n"/>
      <c r="EJ9" s="121" t="n"/>
      <c r="EK9" s="122" t="n"/>
      <c r="EL9" s="123" t="n"/>
      <c r="EM9" s="124" t="n"/>
      <c r="EN9" s="125" t="n"/>
      <c r="EO9" s="124" t="n"/>
      <c r="EP9" s="125" t="n"/>
      <c r="EQ9" s="124" t="n"/>
      <c r="ER9" s="125" t="n"/>
      <c r="ES9" s="124" t="n"/>
      <c r="ET9" s="125" t="n"/>
      <c r="EU9" s="124" t="n"/>
      <c r="EV9" s="125" t="n"/>
      <c r="EW9" s="124" t="n"/>
      <c r="EX9" s="125" t="n"/>
      <c r="EY9" s="124" t="n"/>
      <c r="EZ9" s="125" t="n"/>
      <c r="FA9" s="124" t="n"/>
      <c r="FB9" s="125" t="n"/>
      <c r="FC9" s="126" t="n"/>
      <c r="FD9" s="127" t="n"/>
      <c r="FE9" s="128" t="n"/>
      <c r="FF9" s="127" t="n"/>
      <c r="FG9" s="128" t="n"/>
      <c r="FH9" s="127" t="n"/>
      <c r="FI9" s="128" t="n"/>
      <c r="FJ9" s="127" t="n"/>
      <c r="FK9" s="128" t="n"/>
      <c r="FL9" s="127" t="n"/>
      <c r="FM9" s="128" t="n"/>
      <c r="FN9" s="127" t="n"/>
      <c r="FO9" s="128" t="n"/>
      <c r="FP9" s="127" t="n"/>
      <c r="FQ9" s="128" t="n"/>
      <c r="FR9" s="127" t="n"/>
      <c r="FS9" s="128" t="n"/>
      <c r="FT9" s="129" t="n"/>
      <c r="FU9" s="130" t="n"/>
      <c r="FV9" s="131" t="n"/>
      <c r="FW9" s="130" t="n"/>
      <c r="FX9" s="131" t="n"/>
      <c r="FY9" s="130" t="n"/>
      <c r="FZ9" s="131" t="n"/>
      <c r="GA9" s="130" t="n"/>
      <c r="GB9" s="131" t="n"/>
      <c r="GC9" s="130" t="n"/>
      <c r="GD9" s="131" t="n"/>
      <c r="GE9" s="130" t="n"/>
      <c r="GF9" s="131" t="n"/>
      <c r="GG9" s="130" t="n"/>
      <c r="GH9" s="131" t="n"/>
      <c r="GI9" s="130" t="n"/>
      <c r="GJ9" s="131" t="n"/>
      <c r="GK9" s="132" t="n"/>
      <c r="GL9" s="133" t="n"/>
      <c r="GM9" s="134" t="n"/>
      <c r="GN9" s="133" t="n"/>
      <c r="GO9" s="134" t="n"/>
      <c r="GP9" s="133" t="n"/>
      <c r="GQ9" s="134" t="n"/>
      <c r="GR9" s="133" t="n"/>
      <c r="GS9" s="134" t="n"/>
      <c r="GT9" s="133" t="n"/>
      <c r="GU9" s="134" t="n"/>
      <c r="GV9" s="133" t="n"/>
      <c r="GW9" s="134" t="n"/>
      <c r="GX9" s="133" t="n"/>
      <c r="GY9" s="134" t="n"/>
      <c r="GZ9" s="133" t="n"/>
      <c r="HA9" s="134" t="n"/>
      <c r="HB9" s="135" t="n"/>
      <c r="HC9">
        <f>97-SUMPRODUCT(MAX(($G$4:$HB$4="ح")*($G9:$HB9=TRUE)*(97-$G$47:$HB$47)))</f>
        <v>97</v>
      </c>
      <c r="HD9">
        <f>SUMPRODUCT(($G$4:$HB$4="ح")*($G9:$HB9=TRUE)*($G$47:$HB$47&gt;$HC$1-8))</f>
        <v>0</v>
      </c>
      <c r="HE9">
        <f>(COUNTIF($G9:$V9,TRUE)&gt;0)*($W9&lt;&gt;TRUE)+(COUNTIF($X9:$AM9,TRUE)&gt;0)*($AN9&lt;&gt;TRUE)+(COUNTIF($AO9:$BD9,TRUE)&gt;0)*($BE9&lt;&gt;TRUE)+(COUNTIF($BF9:$BU9,TRUE)&gt;0)*($BV9&lt;&gt;TRUE)+(COUNTIF($BW9:$CL9,TRUE)&gt;0)*($CM9&lt;&gt;TRUE)+(COUNTIF($CN9:$DC9,TRUE)&gt;0)*($DD9&lt;&gt;TRUE)+(COUNTIF($DE9:$DT9,TRUE)&gt;0)*($DU9&lt;&gt;TRUE)+(COUNTIF($DV9:$EK9,TRUE)&gt;0)*($EL9&lt;&gt;TRUE)+(COUNTIF($EM9:$FB9,TRUE)&gt;0)*($FC9&lt;&gt;TRUE)+(COUNTIF($FD9:$FS9,TRUE)&gt;0)*($FT9&lt;&gt;TRUE)+(COUNTIF($FU9:$GJ9,TRUE)&gt;0)*($GK9&lt;&gt;TRUE)+(COUNTIF($GL9:$HA9,TRUE)&gt;0)*($HB9&lt;&gt;TRUE)</f>
        <v>0</v>
      </c>
      <c r="HF9">
        <f>IF($HE9=0,0,13-MAX((COUNTIF($G9:$V9,TRUE)&gt;0)*($W9&lt;&gt;TRUE)*12,(COUNTIF($X9:$AM9,TRUE)&gt;0)*($AN9&lt;&gt;TRUE)*11,(COUNTIF($AO9:$BD9,TRUE)&gt;0)*($BE9&lt;&gt;TRUE)*10,(COUNTIF($BF9:$BU9,TRUE)&gt;0)*($BV9&lt;&gt;TRUE)*9,(COUNTIF($BW9:$CL9,TRUE)&gt;0)*($CM9&lt;&gt;TRUE)*8,(COUNTIF($CN9:$DC9,TRUE)&gt;0)*($DD9&lt;&gt;TRUE)*7,(COUNTIF($DE9:$DT9,TRUE)&gt;0)*($DU9&lt;&gt;TRUE)*6,(COUNTIF($DV9:$EK9,TRUE)&gt;0)*($EL9&lt;&gt;TRUE)*5,(COUNTIF($EM9:$FB9,TRUE)&gt;0)*($FC9&lt;&gt;TRUE)*4,(COUNTIF($FD9:$FS9,TRUE)&gt;0)*($FT9&lt;&gt;TRUE)*3,(COUNTIF($FU9:$GJ9,TRUE)&gt;0)*($GK9&lt;&gt;TRUE)*2,(COUNTIF($GL9:$HA9,TRUE)&gt;0)*($HB9&lt;&gt;TRUE)*1))</f>
        <v>0</v>
      </c>
    </row>
    <row r="10" ht="22.5" customHeight="1">
      <c r="A10" s="36" t="n">
        <v>6</v>
      </c>
      <c r="B10" s="97" t="n"/>
      <c r="C10" s="28" t="n"/>
      <c r="D10" s="98" t="str">
        <f>IF($B10="","",IF($HC10=97,"-",IF($HD10=0,"متوقف",SUMPRODUCT(($G$4:$HB$4="ح")*($G$20:$HB$20&gt;0)*($G10:$HB10&lt;&gt;TRUE)*($G$47:$HB$47&gt;$HC$1-8)*($G$47:$HB$47&gt;=$HC10)))))</f>
        <v/>
      </c>
      <c r="E10" s="98" t="str">
        <f>IF(OR($B10="",$HC10=97),"",SUMPRODUCT(($G$4:$HA$4="ح")*($G10:$HA10=TRUE)*($H10:$HB10&lt;&gt;TRUE)*($G$47:$HA$47&gt;$HC$1-8)))</f>
        <v/>
      </c>
      <c r="F10" s="99" t="str">
        <f>IF($B10="","",IF($HE10=0,IF($HC10=97,"-","تمام"),IF($HE10=1,IF(INDEX($G$1:$HB$1,1,17*($HF10-1)+1)="","شهر "&amp;$HF10,INDEX($G$1:$HB$1,1,17*($HF10-1)+1)),IF($HE10=2,"شهرين",$HE10&amp;" شهور"))))</f>
        <v/>
      </c>
      <c r="G10" s="100" t="n"/>
      <c r="H10" s="101" t="n"/>
      <c r="I10" s="100" t="n"/>
      <c r="J10" s="101" t="n"/>
      <c r="K10" s="100" t="n"/>
      <c r="L10" s="101" t="n"/>
      <c r="M10" s="100" t="n"/>
      <c r="N10" s="101" t="n"/>
      <c r="O10" s="100" t="n"/>
      <c r="P10" s="101" t="n"/>
      <c r="Q10" s="100" t="n"/>
      <c r="R10" s="101" t="n"/>
      <c r="S10" s="100" t="n"/>
      <c r="T10" s="101" t="n"/>
      <c r="U10" s="100" t="n"/>
      <c r="V10" s="101" t="n"/>
      <c r="W10" s="102" t="n"/>
      <c r="X10" s="103" t="n"/>
      <c r="Y10" s="104" t="n"/>
      <c r="Z10" s="103" t="n"/>
      <c r="AA10" s="104" t="n"/>
      <c r="AB10" s="103" t="n"/>
      <c r="AC10" s="104" t="n"/>
      <c r="AD10" s="103" t="n"/>
      <c r="AE10" s="104" t="n"/>
      <c r="AF10" s="103" t="n"/>
      <c r="AG10" s="104" t="n"/>
      <c r="AH10" s="103" t="n"/>
      <c r="AI10" s="104" t="n"/>
      <c r="AJ10" s="103" t="n"/>
      <c r="AK10" s="104" t="n"/>
      <c r="AL10" s="103" t="n"/>
      <c r="AM10" s="104" t="n"/>
      <c r="AN10" s="105" t="n"/>
      <c r="AO10" s="106" t="n"/>
      <c r="AP10" s="107" t="n"/>
      <c r="AQ10" s="106" t="n"/>
      <c r="AR10" s="107" t="n"/>
      <c r="AS10" s="106" t="n"/>
      <c r="AT10" s="107" t="n"/>
      <c r="AU10" s="106" t="n"/>
      <c r="AV10" s="107" t="n"/>
      <c r="AW10" s="106" t="n"/>
      <c r="AX10" s="107" t="n"/>
      <c r="AY10" s="106" t="n"/>
      <c r="AZ10" s="107" t="n"/>
      <c r="BA10" s="106" t="n"/>
      <c r="BB10" s="107" t="n"/>
      <c r="BC10" s="106" t="n"/>
      <c r="BD10" s="107" t="n"/>
      <c r="BE10" s="108" t="n"/>
      <c r="BF10" s="109" t="n"/>
      <c r="BG10" s="110" t="n"/>
      <c r="BH10" s="109" t="n"/>
      <c r="BI10" s="110" t="n"/>
      <c r="BJ10" s="109" t="n"/>
      <c r="BK10" s="110" t="n"/>
      <c r="BL10" s="109" t="n"/>
      <c r="BM10" s="110" t="n"/>
      <c r="BN10" s="109" t="n"/>
      <c r="BO10" s="110" t="n"/>
      <c r="BP10" s="109" t="n"/>
      <c r="BQ10" s="110" t="n"/>
      <c r="BR10" s="109" t="n"/>
      <c r="BS10" s="110" t="n"/>
      <c r="BT10" s="109" t="n"/>
      <c r="BU10" s="110" t="n"/>
      <c r="BV10" s="111" t="n"/>
      <c r="BW10" s="112" t="n"/>
      <c r="BX10" s="113" t="n"/>
      <c r="BY10" s="112" t="n"/>
      <c r="BZ10" s="113" t="n"/>
      <c r="CA10" s="112" t="n"/>
      <c r="CB10" s="113" t="n"/>
      <c r="CC10" s="112" t="n"/>
      <c r="CD10" s="113" t="n"/>
      <c r="CE10" s="112" t="n"/>
      <c r="CF10" s="113" t="n"/>
      <c r="CG10" s="112" t="n"/>
      <c r="CH10" s="113" t="n"/>
      <c r="CI10" s="112" t="n"/>
      <c r="CJ10" s="113" t="n"/>
      <c r="CK10" s="112" t="n"/>
      <c r="CL10" s="113" t="n"/>
      <c r="CM10" s="114" t="n"/>
      <c r="CN10" s="115" t="n"/>
      <c r="CO10" s="116" t="n"/>
      <c r="CP10" s="115" t="n"/>
      <c r="CQ10" s="116" t="n"/>
      <c r="CR10" s="115" t="n"/>
      <c r="CS10" s="116" t="n"/>
      <c r="CT10" s="115" t="n"/>
      <c r="CU10" s="116" t="n"/>
      <c r="CV10" s="115" t="n"/>
      <c r="CW10" s="116" t="n"/>
      <c r="CX10" s="115" t="n"/>
      <c r="CY10" s="116" t="n"/>
      <c r="CZ10" s="115" t="n"/>
      <c r="DA10" s="116" t="n"/>
      <c r="DB10" s="115" t="n"/>
      <c r="DC10" s="116" t="n"/>
      <c r="DD10" s="117" t="n"/>
      <c r="DE10" s="118" t="n"/>
      <c r="DF10" s="119" t="n"/>
      <c r="DG10" s="118" t="n"/>
      <c r="DH10" s="119" t="n"/>
      <c r="DI10" s="118" t="n"/>
      <c r="DJ10" s="119" t="n"/>
      <c r="DK10" s="118" t="n"/>
      <c r="DL10" s="119" t="n"/>
      <c r="DM10" s="118" t="n"/>
      <c r="DN10" s="119" t="n"/>
      <c r="DO10" s="118" t="n"/>
      <c r="DP10" s="119" t="n"/>
      <c r="DQ10" s="118" t="n"/>
      <c r="DR10" s="119" t="n"/>
      <c r="DS10" s="118" t="n"/>
      <c r="DT10" s="119" t="n"/>
      <c r="DU10" s="120" t="n"/>
      <c r="DV10" s="121" t="n"/>
      <c r="DW10" s="122" t="n"/>
      <c r="DX10" s="121" t="n"/>
      <c r="DY10" s="122" t="n"/>
      <c r="DZ10" s="121" t="n"/>
      <c r="EA10" s="122" t="n"/>
      <c r="EB10" s="121" t="n"/>
      <c r="EC10" s="122" t="n"/>
      <c r="ED10" s="121" t="n"/>
      <c r="EE10" s="122" t="n"/>
      <c r="EF10" s="121" t="n"/>
      <c r="EG10" s="122" t="n"/>
      <c r="EH10" s="121" t="n"/>
      <c r="EI10" s="122" t="n"/>
      <c r="EJ10" s="121" t="n"/>
      <c r="EK10" s="122" t="n"/>
      <c r="EL10" s="123" t="n"/>
      <c r="EM10" s="124" t="n"/>
      <c r="EN10" s="125" t="n"/>
      <c r="EO10" s="124" t="n"/>
      <c r="EP10" s="125" t="n"/>
      <c r="EQ10" s="124" t="n"/>
      <c r="ER10" s="125" t="n"/>
      <c r="ES10" s="124" t="n"/>
      <c r="ET10" s="125" t="n"/>
      <c r="EU10" s="124" t="n"/>
      <c r="EV10" s="125" t="n"/>
      <c r="EW10" s="124" t="n"/>
      <c r="EX10" s="125" t="n"/>
      <c r="EY10" s="124" t="n"/>
      <c r="EZ10" s="125" t="n"/>
      <c r="FA10" s="124" t="n"/>
      <c r="FB10" s="125" t="n"/>
      <c r="FC10" s="126" t="n"/>
      <c r="FD10" s="127" t="n"/>
      <c r="FE10" s="128" t="n"/>
      <c r="FF10" s="127" t="n"/>
      <c r="FG10" s="128" t="n"/>
      <c r="FH10" s="127" t="n"/>
      <c r="FI10" s="128" t="n"/>
      <c r="FJ10" s="127" t="n"/>
      <c r="FK10" s="128" t="n"/>
      <c r="FL10" s="127" t="n"/>
      <c r="FM10" s="128" t="n"/>
      <c r="FN10" s="127" t="n"/>
      <c r="FO10" s="128" t="n"/>
      <c r="FP10" s="127" t="n"/>
      <c r="FQ10" s="128" t="n"/>
      <c r="FR10" s="127" t="n"/>
      <c r="FS10" s="128" t="n"/>
      <c r="FT10" s="129" t="n"/>
      <c r="FU10" s="130" t="n"/>
      <c r="FV10" s="131" t="n"/>
      <c r="FW10" s="130" t="n"/>
      <c r="FX10" s="131" t="n"/>
      <c r="FY10" s="130" t="n"/>
      <c r="FZ10" s="131" t="n"/>
      <c r="GA10" s="130" t="n"/>
      <c r="GB10" s="131" t="n"/>
      <c r="GC10" s="130" t="n"/>
      <c r="GD10" s="131" t="n"/>
      <c r="GE10" s="130" t="n"/>
      <c r="GF10" s="131" t="n"/>
      <c r="GG10" s="130" t="n"/>
      <c r="GH10" s="131" t="n"/>
      <c r="GI10" s="130" t="n"/>
      <c r="GJ10" s="131" t="n"/>
      <c r="GK10" s="132" t="n"/>
      <c r="GL10" s="133" t="n"/>
      <c r="GM10" s="134" t="n"/>
      <c r="GN10" s="133" t="n"/>
      <c r="GO10" s="134" t="n"/>
      <c r="GP10" s="133" t="n"/>
      <c r="GQ10" s="134" t="n"/>
      <c r="GR10" s="133" t="n"/>
      <c r="GS10" s="134" t="n"/>
      <c r="GT10" s="133" t="n"/>
      <c r="GU10" s="134" t="n"/>
      <c r="GV10" s="133" t="n"/>
      <c r="GW10" s="134" t="n"/>
      <c r="GX10" s="133" t="n"/>
      <c r="GY10" s="134" t="n"/>
      <c r="GZ10" s="133" t="n"/>
      <c r="HA10" s="134" t="n"/>
      <c r="HB10" s="135" t="n"/>
      <c r="HC10">
        <f>97-SUMPRODUCT(MAX(($G$4:$HB$4="ح")*($G10:$HB10=TRUE)*(97-$G$47:$HB$47)))</f>
        <v>97</v>
      </c>
      <c r="HD10">
        <f>SUMPRODUCT(($G$4:$HB$4="ح")*($G10:$HB10=TRUE)*($G$47:$HB$47&gt;$HC$1-8))</f>
        <v>0</v>
      </c>
      <c r="HE10">
        <f>(COUNTIF($G10:$V10,TRUE)&gt;0)*($W10&lt;&gt;TRUE)+(COUNTIF($X10:$AM10,TRUE)&gt;0)*($AN10&lt;&gt;TRUE)+(COUNTIF($AO10:$BD10,TRUE)&gt;0)*($BE10&lt;&gt;TRUE)+(COUNTIF($BF10:$BU10,TRUE)&gt;0)*($BV10&lt;&gt;TRUE)+(COUNTIF($BW10:$CL10,TRUE)&gt;0)*($CM10&lt;&gt;TRUE)+(COUNTIF($CN10:$DC10,TRUE)&gt;0)*($DD10&lt;&gt;TRUE)+(COUNTIF($DE10:$DT10,TRUE)&gt;0)*($DU10&lt;&gt;TRUE)+(COUNTIF($DV10:$EK10,TRUE)&gt;0)*($EL10&lt;&gt;TRUE)+(COUNTIF($EM10:$FB10,TRUE)&gt;0)*($FC10&lt;&gt;TRUE)+(COUNTIF($FD10:$FS10,TRUE)&gt;0)*($FT10&lt;&gt;TRUE)+(COUNTIF($FU10:$GJ10,TRUE)&gt;0)*($GK10&lt;&gt;TRUE)+(COUNTIF($GL10:$HA10,TRUE)&gt;0)*($HB10&lt;&gt;TRUE)</f>
        <v>0</v>
      </c>
      <c r="HF10">
        <f>IF($HE10=0,0,13-MAX((COUNTIF($G10:$V10,TRUE)&gt;0)*($W10&lt;&gt;TRUE)*12,(COUNTIF($X10:$AM10,TRUE)&gt;0)*($AN10&lt;&gt;TRUE)*11,(COUNTIF($AO10:$BD10,TRUE)&gt;0)*($BE10&lt;&gt;TRUE)*10,(COUNTIF($BF10:$BU10,TRUE)&gt;0)*($BV10&lt;&gt;TRUE)*9,(COUNTIF($BW10:$CL10,TRUE)&gt;0)*($CM10&lt;&gt;TRUE)*8,(COUNTIF($CN10:$DC10,TRUE)&gt;0)*($DD10&lt;&gt;TRUE)*7,(COUNTIF($DE10:$DT10,TRUE)&gt;0)*($DU10&lt;&gt;TRUE)*6,(COUNTIF($DV10:$EK10,TRUE)&gt;0)*($EL10&lt;&gt;TRUE)*5,(COUNTIF($EM10:$FB10,TRUE)&gt;0)*($FC10&lt;&gt;TRUE)*4,(COUNTIF($FD10:$FS10,TRUE)&gt;0)*($FT10&lt;&gt;TRUE)*3,(COUNTIF($FU10:$GJ10,TRUE)&gt;0)*($GK10&lt;&gt;TRUE)*2,(COUNTIF($GL10:$HA10,TRUE)&gt;0)*($HB10&lt;&gt;TRUE)*1))</f>
        <v>0</v>
      </c>
    </row>
    <row r="11" ht="22.5" customHeight="1">
      <c r="A11" s="36" t="n">
        <v>7</v>
      </c>
      <c r="B11" s="97" t="n"/>
      <c r="C11" s="28" t="n"/>
      <c r="D11" s="98" t="str">
        <f>IF($B11="","",IF($HC11=97,"-",IF($HD11=0,"متوقف",SUMPRODUCT(($G$4:$HB$4="ح")*($G$20:$HB$20&gt;0)*($G11:$HB11&lt;&gt;TRUE)*($G$47:$HB$47&gt;$HC$1-8)*($G$47:$HB$47&gt;=$HC11)))))</f>
        <v/>
      </c>
      <c r="E11" s="98" t="str">
        <f>IF(OR($B11="",$HC11=97),"",SUMPRODUCT(($G$4:$HA$4="ح")*($G11:$HA11=TRUE)*($H11:$HB11&lt;&gt;TRUE)*($G$47:$HA$47&gt;$HC$1-8)))</f>
        <v/>
      </c>
      <c r="F11" s="99" t="str">
        <f>IF($B11="","",IF($HE11=0,IF($HC11=97,"-","تمام"),IF($HE11=1,IF(INDEX($G$1:$HB$1,1,17*($HF11-1)+1)="","شهر "&amp;$HF11,INDEX($G$1:$HB$1,1,17*($HF11-1)+1)),IF($HE11=2,"شهرين",$HE11&amp;" شهور"))))</f>
        <v/>
      </c>
      <c r="G11" s="100" t="n"/>
      <c r="H11" s="101" t="n"/>
      <c r="I11" s="100" t="n"/>
      <c r="J11" s="101" t="n"/>
      <c r="K11" s="100" t="n"/>
      <c r="L11" s="101" t="n"/>
      <c r="M11" s="100" t="n"/>
      <c r="N11" s="101" t="n"/>
      <c r="O11" s="100" t="n"/>
      <c r="P11" s="101" t="n"/>
      <c r="Q11" s="100" t="n"/>
      <c r="R11" s="101" t="n"/>
      <c r="S11" s="100" t="n"/>
      <c r="T11" s="101" t="n"/>
      <c r="U11" s="100" t="n"/>
      <c r="V11" s="101" t="n"/>
      <c r="W11" s="102" t="n"/>
      <c r="X11" s="103" t="n"/>
      <c r="Y11" s="104" t="n"/>
      <c r="Z11" s="103" t="n"/>
      <c r="AA11" s="104" t="n"/>
      <c r="AB11" s="103" t="n"/>
      <c r="AC11" s="104" t="n"/>
      <c r="AD11" s="103" t="n"/>
      <c r="AE11" s="104" t="n"/>
      <c r="AF11" s="103" t="n"/>
      <c r="AG11" s="104" t="n"/>
      <c r="AH11" s="103" t="n"/>
      <c r="AI11" s="104" t="n"/>
      <c r="AJ11" s="103" t="n"/>
      <c r="AK11" s="104" t="n"/>
      <c r="AL11" s="103" t="n"/>
      <c r="AM11" s="104" t="n"/>
      <c r="AN11" s="105" t="n"/>
      <c r="AO11" s="106" t="n"/>
      <c r="AP11" s="107" t="n"/>
      <c r="AQ11" s="106" t="n"/>
      <c r="AR11" s="107" t="n"/>
      <c r="AS11" s="106" t="n"/>
      <c r="AT11" s="107" t="n"/>
      <c r="AU11" s="106" t="n"/>
      <c r="AV11" s="107" t="n"/>
      <c r="AW11" s="106" t="n"/>
      <c r="AX11" s="107" t="n"/>
      <c r="AY11" s="106" t="n"/>
      <c r="AZ11" s="107" t="n"/>
      <c r="BA11" s="106" t="n"/>
      <c r="BB11" s="107" t="n"/>
      <c r="BC11" s="106" t="n"/>
      <c r="BD11" s="107" t="n"/>
      <c r="BE11" s="108" t="n"/>
      <c r="BF11" s="109" t="n"/>
      <c r="BG11" s="110" t="n"/>
      <c r="BH11" s="109" t="n"/>
      <c r="BI11" s="110" t="n"/>
      <c r="BJ11" s="109" t="n"/>
      <c r="BK11" s="110" t="n"/>
      <c r="BL11" s="109" t="n"/>
      <c r="BM11" s="110" t="n"/>
      <c r="BN11" s="109" t="n"/>
      <c r="BO11" s="110" t="n"/>
      <c r="BP11" s="109" t="n"/>
      <c r="BQ11" s="110" t="n"/>
      <c r="BR11" s="109" t="n"/>
      <c r="BS11" s="110" t="n"/>
      <c r="BT11" s="109" t="n"/>
      <c r="BU11" s="110" t="n"/>
      <c r="BV11" s="111" t="n"/>
      <c r="BW11" s="112" t="n"/>
      <c r="BX11" s="113" t="n"/>
      <c r="BY11" s="112" t="n"/>
      <c r="BZ11" s="113" t="n"/>
      <c r="CA11" s="112" t="n"/>
      <c r="CB11" s="113" t="n"/>
      <c r="CC11" s="112" t="n"/>
      <c r="CD11" s="113" t="n"/>
      <c r="CE11" s="112" t="n"/>
      <c r="CF11" s="113" t="n"/>
      <c r="CG11" s="112" t="n"/>
      <c r="CH11" s="113" t="n"/>
      <c r="CI11" s="112" t="n"/>
      <c r="CJ11" s="113" t="n"/>
      <c r="CK11" s="112" t="n"/>
      <c r="CL11" s="113" t="n"/>
      <c r="CM11" s="114" t="n"/>
      <c r="CN11" s="115" t="n"/>
      <c r="CO11" s="116" t="n"/>
      <c r="CP11" s="115" t="n"/>
      <c r="CQ11" s="116" t="n"/>
      <c r="CR11" s="115" t="n"/>
      <c r="CS11" s="116" t="n"/>
      <c r="CT11" s="115" t="n"/>
      <c r="CU11" s="116" t="n"/>
      <c r="CV11" s="115" t="n"/>
      <c r="CW11" s="116" t="n"/>
      <c r="CX11" s="115" t="n"/>
      <c r="CY11" s="116" t="n"/>
      <c r="CZ11" s="115" t="n"/>
      <c r="DA11" s="116" t="n"/>
      <c r="DB11" s="115" t="n"/>
      <c r="DC11" s="116" t="n"/>
      <c r="DD11" s="117" t="n"/>
      <c r="DE11" s="118" t="n"/>
      <c r="DF11" s="119" t="n"/>
      <c r="DG11" s="118" t="n"/>
      <c r="DH11" s="119" t="n"/>
      <c r="DI11" s="118" t="n"/>
      <c r="DJ11" s="119" t="n"/>
      <c r="DK11" s="118" t="n"/>
      <c r="DL11" s="119" t="n"/>
      <c r="DM11" s="118" t="n"/>
      <c r="DN11" s="119" t="n"/>
      <c r="DO11" s="118" t="n"/>
      <c r="DP11" s="119" t="n"/>
      <c r="DQ11" s="118" t="n"/>
      <c r="DR11" s="119" t="n"/>
      <c r="DS11" s="118" t="n"/>
      <c r="DT11" s="119" t="n"/>
      <c r="DU11" s="120" t="n"/>
      <c r="DV11" s="121" t="n"/>
      <c r="DW11" s="122" t="n"/>
      <c r="DX11" s="121" t="n"/>
      <c r="DY11" s="122" t="n"/>
      <c r="DZ11" s="121" t="n"/>
      <c r="EA11" s="122" t="n"/>
      <c r="EB11" s="121" t="n"/>
      <c r="EC11" s="122" t="n"/>
      <c r="ED11" s="121" t="n"/>
      <c r="EE11" s="122" t="n"/>
      <c r="EF11" s="121" t="n"/>
      <c r="EG11" s="122" t="n"/>
      <c r="EH11" s="121" t="n"/>
      <c r="EI11" s="122" t="n"/>
      <c r="EJ11" s="121" t="n"/>
      <c r="EK11" s="122" t="n"/>
      <c r="EL11" s="123" t="n"/>
      <c r="EM11" s="124" t="n"/>
      <c r="EN11" s="125" t="n"/>
      <c r="EO11" s="124" t="n"/>
      <c r="EP11" s="125" t="n"/>
      <c r="EQ11" s="124" t="n"/>
      <c r="ER11" s="125" t="n"/>
      <c r="ES11" s="124" t="n"/>
      <c r="ET11" s="125" t="n"/>
      <c r="EU11" s="124" t="n"/>
      <c r="EV11" s="125" t="n"/>
      <c r="EW11" s="124" t="n"/>
      <c r="EX11" s="125" t="n"/>
      <c r="EY11" s="124" t="n"/>
      <c r="EZ11" s="125" t="n"/>
      <c r="FA11" s="124" t="n"/>
      <c r="FB11" s="125" t="n"/>
      <c r="FC11" s="126" t="n"/>
      <c r="FD11" s="127" t="n"/>
      <c r="FE11" s="128" t="n"/>
      <c r="FF11" s="127" t="n"/>
      <c r="FG11" s="128" t="n"/>
      <c r="FH11" s="127" t="n"/>
      <c r="FI11" s="128" t="n"/>
      <c r="FJ11" s="127" t="n"/>
      <c r="FK11" s="128" t="n"/>
      <c r="FL11" s="127" t="n"/>
      <c r="FM11" s="128" t="n"/>
      <c r="FN11" s="127" t="n"/>
      <c r="FO11" s="128" t="n"/>
      <c r="FP11" s="127" t="n"/>
      <c r="FQ11" s="128" t="n"/>
      <c r="FR11" s="127" t="n"/>
      <c r="FS11" s="128" t="n"/>
      <c r="FT11" s="129" t="n"/>
      <c r="FU11" s="130" t="n"/>
      <c r="FV11" s="131" t="n"/>
      <c r="FW11" s="130" t="n"/>
      <c r="FX11" s="131" t="n"/>
      <c r="FY11" s="130" t="n"/>
      <c r="FZ11" s="131" t="n"/>
      <c r="GA11" s="130" t="n"/>
      <c r="GB11" s="131" t="n"/>
      <c r="GC11" s="130" t="n"/>
      <c r="GD11" s="131" t="n"/>
      <c r="GE11" s="130" t="n"/>
      <c r="GF11" s="131" t="n"/>
      <c r="GG11" s="130" t="n"/>
      <c r="GH11" s="131" t="n"/>
      <c r="GI11" s="130" t="n"/>
      <c r="GJ11" s="131" t="n"/>
      <c r="GK11" s="132" t="n"/>
      <c r="GL11" s="133" t="n"/>
      <c r="GM11" s="134" t="n"/>
      <c r="GN11" s="133" t="n"/>
      <c r="GO11" s="134" t="n"/>
      <c r="GP11" s="133" t="n"/>
      <c r="GQ11" s="134" t="n"/>
      <c r="GR11" s="133" t="n"/>
      <c r="GS11" s="134" t="n"/>
      <c r="GT11" s="133" t="n"/>
      <c r="GU11" s="134" t="n"/>
      <c r="GV11" s="133" t="n"/>
      <c r="GW11" s="134" t="n"/>
      <c r="GX11" s="133" t="n"/>
      <c r="GY11" s="134" t="n"/>
      <c r="GZ11" s="133" t="n"/>
      <c r="HA11" s="134" t="n"/>
      <c r="HB11" s="135" t="n"/>
      <c r="HC11">
        <f>97-SUMPRODUCT(MAX(($G$4:$HB$4="ح")*($G11:$HB11=TRUE)*(97-$G$47:$HB$47)))</f>
        <v>97</v>
      </c>
      <c r="HD11">
        <f>SUMPRODUCT(($G$4:$HB$4="ح")*($G11:$HB11=TRUE)*($G$47:$HB$47&gt;$HC$1-8))</f>
        <v>0</v>
      </c>
      <c r="HE11">
        <f>(COUNTIF($G11:$V11,TRUE)&gt;0)*($W11&lt;&gt;TRUE)+(COUNTIF($X11:$AM11,TRUE)&gt;0)*($AN11&lt;&gt;TRUE)+(COUNTIF($AO11:$BD11,TRUE)&gt;0)*($BE11&lt;&gt;TRUE)+(COUNTIF($BF11:$BU11,TRUE)&gt;0)*($BV11&lt;&gt;TRUE)+(COUNTIF($BW11:$CL11,TRUE)&gt;0)*($CM11&lt;&gt;TRUE)+(COUNTIF($CN11:$DC11,TRUE)&gt;0)*($DD11&lt;&gt;TRUE)+(COUNTIF($DE11:$DT11,TRUE)&gt;0)*($DU11&lt;&gt;TRUE)+(COUNTIF($DV11:$EK11,TRUE)&gt;0)*($EL11&lt;&gt;TRUE)+(COUNTIF($EM11:$FB11,TRUE)&gt;0)*($FC11&lt;&gt;TRUE)+(COUNTIF($FD11:$FS11,TRUE)&gt;0)*($FT11&lt;&gt;TRUE)+(COUNTIF($FU11:$GJ11,TRUE)&gt;0)*($GK11&lt;&gt;TRUE)+(COUNTIF($GL11:$HA11,TRUE)&gt;0)*($HB11&lt;&gt;TRUE)</f>
        <v>0</v>
      </c>
      <c r="HF11">
        <f>IF($HE11=0,0,13-MAX((COUNTIF($G11:$V11,TRUE)&gt;0)*($W11&lt;&gt;TRUE)*12,(COUNTIF($X11:$AM11,TRUE)&gt;0)*($AN11&lt;&gt;TRUE)*11,(COUNTIF($AO11:$BD11,TRUE)&gt;0)*($BE11&lt;&gt;TRUE)*10,(COUNTIF($BF11:$BU11,TRUE)&gt;0)*($BV11&lt;&gt;TRUE)*9,(COUNTIF($BW11:$CL11,TRUE)&gt;0)*($CM11&lt;&gt;TRUE)*8,(COUNTIF($CN11:$DC11,TRUE)&gt;0)*($DD11&lt;&gt;TRUE)*7,(COUNTIF($DE11:$DT11,TRUE)&gt;0)*($DU11&lt;&gt;TRUE)*6,(COUNTIF($DV11:$EK11,TRUE)&gt;0)*($EL11&lt;&gt;TRUE)*5,(COUNTIF($EM11:$FB11,TRUE)&gt;0)*($FC11&lt;&gt;TRUE)*4,(COUNTIF($FD11:$FS11,TRUE)&gt;0)*($FT11&lt;&gt;TRUE)*3,(COUNTIF($FU11:$GJ11,TRUE)&gt;0)*($GK11&lt;&gt;TRUE)*2,(COUNTIF($GL11:$HA11,TRUE)&gt;0)*($HB11&lt;&gt;TRUE)*1))</f>
        <v>0</v>
      </c>
    </row>
    <row r="12" ht="22.5" customHeight="1">
      <c r="A12" s="36" t="n">
        <v>8</v>
      </c>
      <c r="B12" s="97" t="n"/>
      <c r="C12" s="28" t="n"/>
      <c r="D12" s="98" t="str">
        <f>IF($B12="","",IF($HC12=97,"-",IF($HD12=0,"متوقف",SUMPRODUCT(($G$4:$HB$4="ح")*($G$20:$HB$20&gt;0)*($G12:$HB12&lt;&gt;TRUE)*($G$47:$HB$47&gt;$HC$1-8)*($G$47:$HB$47&gt;=$HC12)))))</f>
        <v/>
      </c>
      <c r="E12" s="98" t="str">
        <f>IF(OR($B12="",$HC12=97),"",SUMPRODUCT(($G$4:$HA$4="ح")*($G12:$HA12=TRUE)*($H12:$HB12&lt;&gt;TRUE)*($G$47:$HA$47&gt;$HC$1-8)))</f>
        <v/>
      </c>
      <c r="F12" s="99" t="str">
        <f>IF($B12="","",IF($HE12=0,IF($HC12=97,"-","تمام"),IF($HE12=1,IF(INDEX($G$1:$HB$1,1,17*($HF12-1)+1)="","شهر "&amp;$HF12,INDEX($G$1:$HB$1,1,17*($HF12-1)+1)),IF($HE12=2,"شهرين",$HE12&amp;" شهور"))))</f>
        <v/>
      </c>
      <c r="G12" s="100" t="n"/>
      <c r="H12" s="101" t="n"/>
      <c r="I12" s="100" t="n"/>
      <c r="J12" s="101" t="n"/>
      <c r="K12" s="100" t="n"/>
      <c r="L12" s="101" t="n"/>
      <c r="M12" s="100" t="n"/>
      <c r="N12" s="101" t="n"/>
      <c r="O12" s="100" t="n"/>
      <c r="P12" s="101" t="n"/>
      <c r="Q12" s="100" t="n"/>
      <c r="R12" s="101" t="n"/>
      <c r="S12" s="100" t="n"/>
      <c r="T12" s="101" t="n"/>
      <c r="U12" s="100" t="n"/>
      <c r="V12" s="101" t="n"/>
      <c r="W12" s="102" t="n"/>
      <c r="X12" s="103" t="n"/>
      <c r="Y12" s="104" t="n"/>
      <c r="Z12" s="103" t="n"/>
      <c r="AA12" s="104" t="n"/>
      <c r="AB12" s="103" t="n"/>
      <c r="AC12" s="104" t="n"/>
      <c r="AD12" s="103" t="n"/>
      <c r="AE12" s="104" t="n"/>
      <c r="AF12" s="103" t="n"/>
      <c r="AG12" s="104" t="n"/>
      <c r="AH12" s="103" t="n"/>
      <c r="AI12" s="104" t="n"/>
      <c r="AJ12" s="103" t="n"/>
      <c r="AK12" s="104" t="n"/>
      <c r="AL12" s="103" t="n"/>
      <c r="AM12" s="104" t="n"/>
      <c r="AN12" s="105" t="n"/>
      <c r="AO12" s="106" t="n"/>
      <c r="AP12" s="107" t="n"/>
      <c r="AQ12" s="106" t="n"/>
      <c r="AR12" s="107" t="n"/>
      <c r="AS12" s="106" t="n"/>
      <c r="AT12" s="107" t="n"/>
      <c r="AU12" s="106" t="n"/>
      <c r="AV12" s="107" t="n"/>
      <c r="AW12" s="106" t="n"/>
      <c r="AX12" s="107" t="n"/>
      <c r="AY12" s="106" t="n"/>
      <c r="AZ12" s="107" t="n"/>
      <c r="BA12" s="106" t="n"/>
      <c r="BB12" s="107" t="n"/>
      <c r="BC12" s="106" t="n"/>
      <c r="BD12" s="107" t="n"/>
      <c r="BE12" s="108" t="n"/>
      <c r="BF12" s="109" t="n"/>
      <c r="BG12" s="110" t="n"/>
      <c r="BH12" s="109" t="n"/>
      <c r="BI12" s="110" t="n"/>
      <c r="BJ12" s="109" t="n"/>
      <c r="BK12" s="110" t="n"/>
      <c r="BL12" s="109" t="n"/>
      <c r="BM12" s="110" t="n"/>
      <c r="BN12" s="109" t="n"/>
      <c r="BO12" s="110" t="n"/>
      <c r="BP12" s="109" t="n"/>
      <c r="BQ12" s="110" t="n"/>
      <c r="BR12" s="109" t="n"/>
      <c r="BS12" s="110" t="n"/>
      <c r="BT12" s="109" t="n"/>
      <c r="BU12" s="110" t="n"/>
      <c r="BV12" s="111" t="n"/>
      <c r="BW12" s="112" t="n"/>
      <c r="BX12" s="113" t="n"/>
      <c r="BY12" s="112" t="n"/>
      <c r="BZ12" s="113" t="n"/>
      <c r="CA12" s="112" t="n"/>
      <c r="CB12" s="113" t="n"/>
      <c r="CC12" s="112" t="n"/>
      <c r="CD12" s="113" t="n"/>
      <c r="CE12" s="112" t="n"/>
      <c r="CF12" s="113" t="n"/>
      <c r="CG12" s="112" t="n"/>
      <c r="CH12" s="113" t="n"/>
      <c r="CI12" s="112" t="n"/>
      <c r="CJ12" s="113" t="n"/>
      <c r="CK12" s="112" t="n"/>
      <c r="CL12" s="113" t="n"/>
      <c r="CM12" s="114" t="n"/>
      <c r="CN12" s="115" t="n"/>
      <c r="CO12" s="116" t="n"/>
      <c r="CP12" s="115" t="n"/>
      <c r="CQ12" s="116" t="n"/>
      <c r="CR12" s="115" t="n"/>
      <c r="CS12" s="116" t="n"/>
      <c r="CT12" s="115" t="n"/>
      <c r="CU12" s="116" t="n"/>
      <c r="CV12" s="115" t="n"/>
      <c r="CW12" s="116" t="n"/>
      <c r="CX12" s="115" t="n"/>
      <c r="CY12" s="116" t="n"/>
      <c r="CZ12" s="115" t="n"/>
      <c r="DA12" s="116" t="n"/>
      <c r="DB12" s="115" t="n"/>
      <c r="DC12" s="116" t="n"/>
      <c r="DD12" s="117" t="n"/>
      <c r="DE12" s="118" t="n"/>
      <c r="DF12" s="119" t="n"/>
      <c r="DG12" s="118" t="n"/>
      <c r="DH12" s="119" t="n"/>
      <c r="DI12" s="118" t="n"/>
      <c r="DJ12" s="119" t="n"/>
      <c r="DK12" s="118" t="n"/>
      <c r="DL12" s="119" t="n"/>
      <c r="DM12" s="118" t="n"/>
      <c r="DN12" s="119" t="n"/>
      <c r="DO12" s="118" t="n"/>
      <c r="DP12" s="119" t="n"/>
      <c r="DQ12" s="118" t="n"/>
      <c r="DR12" s="119" t="n"/>
      <c r="DS12" s="118" t="n"/>
      <c r="DT12" s="119" t="n"/>
      <c r="DU12" s="120" t="n"/>
      <c r="DV12" s="121" t="n"/>
      <c r="DW12" s="122" t="n"/>
      <c r="DX12" s="121" t="n"/>
      <c r="DY12" s="122" t="n"/>
      <c r="DZ12" s="121" t="n"/>
      <c r="EA12" s="122" t="n"/>
      <c r="EB12" s="121" t="n"/>
      <c r="EC12" s="122" t="n"/>
      <c r="ED12" s="121" t="n"/>
      <c r="EE12" s="122" t="n"/>
      <c r="EF12" s="121" t="n"/>
      <c r="EG12" s="122" t="n"/>
      <c r="EH12" s="121" t="n"/>
      <c r="EI12" s="122" t="n"/>
      <c r="EJ12" s="121" t="n"/>
      <c r="EK12" s="122" t="n"/>
      <c r="EL12" s="123" t="n"/>
      <c r="EM12" s="124" t="n"/>
      <c r="EN12" s="125" t="n"/>
      <c r="EO12" s="124" t="n"/>
      <c r="EP12" s="125" t="n"/>
      <c r="EQ12" s="124" t="n"/>
      <c r="ER12" s="125" t="n"/>
      <c r="ES12" s="124" t="n"/>
      <c r="ET12" s="125" t="n"/>
      <c r="EU12" s="124" t="n"/>
      <c r="EV12" s="125" t="n"/>
      <c r="EW12" s="124" t="n"/>
      <c r="EX12" s="125" t="n"/>
      <c r="EY12" s="124" t="n"/>
      <c r="EZ12" s="125" t="n"/>
      <c r="FA12" s="124" t="n"/>
      <c r="FB12" s="125" t="n"/>
      <c r="FC12" s="126" t="n"/>
      <c r="FD12" s="127" t="n"/>
      <c r="FE12" s="128" t="n"/>
      <c r="FF12" s="127" t="n"/>
      <c r="FG12" s="128" t="n"/>
      <c r="FH12" s="127" t="n"/>
      <c r="FI12" s="128" t="n"/>
      <c r="FJ12" s="127" t="n"/>
      <c r="FK12" s="128" t="n"/>
      <c r="FL12" s="127" t="n"/>
      <c r="FM12" s="128" t="n"/>
      <c r="FN12" s="127" t="n"/>
      <c r="FO12" s="128" t="n"/>
      <c r="FP12" s="127" t="n"/>
      <c r="FQ12" s="128" t="n"/>
      <c r="FR12" s="127" t="n"/>
      <c r="FS12" s="128" t="n"/>
      <c r="FT12" s="129" t="n"/>
      <c r="FU12" s="130" t="n"/>
      <c r="FV12" s="131" t="n"/>
      <c r="FW12" s="130" t="n"/>
      <c r="FX12" s="131" t="n"/>
      <c r="FY12" s="130" t="n"/>
      <c r="FZ12" s="131" t="n"/>
      <c r="GA12" s="130" t="n"/>
      <c r="GB12" s="131" t="n"/>
      <c r="GC12" s="130" t="n"/>
      <c r="GD12" s="131" t="n"/>
      <c r="GE12" s="130" t="n"/>
      <c r="GF12" s="131" t="n"/>
      <c r="GG12" s="130" t="n"/>
      <c r="GH12" s="131" t="n"/>
      <c r="GI12" s="130" t="n"/>
      <c r="GJ12" s="131" t="n"/>
      <c r="GK12" s="132" t="n"/>
      <c r="GL12" s="133" t="n"/>
      <c r="GM12" s="134" t="n"/>
      <c r="GN12" s="133" t="n"/>
      <c r="GO12" s="134" t="n"/>
      <c r="GP12" s="133" t="n"/>
      <c r="GQ12" s="134" t="n"/>
      <c r="GR12" s="133" t="n"/>
      <c r="GS12" s="134" t="n"/>
      <c r="GT12" s="133" t="n"/>
      <c r="GU12" s="134" t="n"/>
      <c r="GV12" s="133" t="n"/>
      <c r="GW12" s="134" t="n"/>
      <c r="GX12" s="133" t="n"/>
      <c r="GY12" s="134" t="n"/>
      <c r="GZ12" s="133" t="n"/>
      <c r="HA12" s="134" t="n"/>
      <c r="HB12" s="135" t="n"/>
      <c r="HC12">
        <f>97-SUMPRODUCT(MAX(($G$4:$HB$4="ح")*($G12:$HB12=TRUE)*(97-$G$47:$HB$47)))</f>
        <v>97</v>
      </c>
      <c r="HD12">
        <f>SUMPRODUCT(($G$4:$HB$4="ح")*($G12:$HB12=TRUE)*($G$47:$HB$47&gt;$HC$1-8))</f>
        <v>0</v>
      </c>
      <c r="HE12">
        <f>(COUNTIF($G12:$V12,TRUE)&gt;0)*($W12&lt;&gt;TRUE)+(COUNTIF($X12:$AM12,TRUE)&gt;0)*($AN12&lt;&gt;TRUE)+(COUNTIF($AO12:$BD12,TRUE)&gt;0)*($BE12&lt;&gt;TRUE)+(COUNTIF($BF12:$BU12,TRUE)&gt;0)*($BV12&lt;&gt;TRUE)+(COUNTIF($BW12:$CL12,TRUE)&gt;0)*($CM12&lt;&gt;TRUE)+(COUNTIF($CN12:$DC12,TRUE)&gt;0)*($DD12&lt;&gt;TRUE)+(COUNTIF($DE12:$DT12,TRUE)&gt;0)*($DU12&lt;&gt;TRUE)+(COUNTIF($DV12:$EK12,TRUE)&gt;0)*($EL12&lt;&gt;TRUE)+(COUNTIF($EM12:$FB12,TRUE)&gt;0)*($FC12&lt;&gt;TRUE)+(COUNTIF($FD12:$FS12,TRUE)&gt;0)*($FT12&lt;&gt;TRUE)+(COUNTIF($FU12:$GJ12,TRUE)&gt;0)*($GK12&lt;&gt;TRUE)+(COUNTIF($GL12:$HA12,TRUE)&gt;0)*($HB12&lt;&gt;TRUE)</f>
        <v>0</v>
      </c>
      <c r="HF12">
        <f>IF($HE12=0,0,13-MAX((COUNTIF($G12:$V12,TRUE)&gt;0)*($W12&lt;&gt;TRUE)*12,(COUNTIF($X12:$AM12,TRUE)&gt;0)*($AN12&lt;&gt;TRUE)*11,(COUNTIF($AO12:$BD12,TRUE)&gt;0)*($BE12&lt;&gt;TRUE)*10,(COUNTIF($BF12:$BU12,TRUE)&gt;0)*($BV12&lt;&gt;TRUE)*9,(COUNTIF($BW12:$CL12,TRUE)&gt;0)*($CM12&lt;&gt;TRUE)*8,(COUNTIF($CN12:$DC12,TRUE)&gt;0)*($DD12&lt;&gt;TRUE)*7,(COUNTIF($DE12:$DT12,TRUE)&gt;0)*($DU12&lt;&gt;TRUE)*6,(COUNTIF($DV12:$EK12,TRUE)&gt;0)*($EL12&lt;&gt;TRUE)*5,(COUNTIF($EM12:$FB12,TRUE)&gt;0)*($FC12&lt;&gt;TRUE)*4,(COUNTIF($FD12:$FS12,TRUE)&gt;0)*($FT12&lt;&gt;TRUE)*3,(COUNTIF($FU12:$GJ12,TRUE)&gt;0)*($GK12&lt;&gt;TRUE)*2,(COUNTIF($GL12:$HA12,TRUE)&gt;0)*($HB12&lt;&gt;TRUE)*1))</f>
        <v>0</v>
      </c>
    </row>
    <row r="13" ht="22.5" customHeight="1">
      <c r="A13" s="36" t="n">
        <v>9</v>
      </c>
      <c r="B13" s="97" t="n"/>
      <c r="C13" s="28" t="n"/>
      <c r="D13" s="98" t="str">
        <f>IF($B13="","",IF($HC13=97,"-",IF($HD13=0,"متوقف",SUMPRODUCT(($G$4:$HB$4="ح")*($G$20:$HB$20&gt;0)*($G13:$HB13&lt;&gt;TRUE)*($G$47:$HB$47&gt;$HC$1-8)*($G$47:$HB$47&gt;=$HC13)))))</f>
        <v/>
      </c>
      <c r="E13" s="98" t="str">
        <f>IF(OR($B13="",$HC13=97),"",SUMPRODUCT(($G$4:$HA$4="ح")*($G13:$HA13=TRUE)*($H13:$HB13&lt;&gt;TRUE)*($G$47:$HA$47&gt;$HC$1-8)))</f>
        <v/>
      </c>
      <c r="F13" s="99" t="str">
        <f>IF($B13="","",IF($HE13=0,IF($HC13=97,"-","تمام"),IF($HE13=1,IF(INDEX($G$1:$HB$1,1,17*($HF13-1)+1)="","شهر "&amp;$HF13,INDEX($G$1:$HB$1,1,17*($HF13-1)+1)),IF($HE13=2,"شهرين",$HE13&amp;" شهور"))))</f>
        <v/>
      </c>
      <c r="G13" s="100" t="n"/>
      <c r="H13" s="101" t="n"/>
      <c r="I13" s="100" t="n"/>
      <c r="J13" s="101" t="n"/>
      <c r="K13" s="100" t="n"/>
      <c r="L13" s="101" t="n"/>
      <c r="M13" s="100" t="n"/>
      <c r="N13" s="101" t="n"/>
      <c r="O13" s="100" t="n"/>
      <c r="P13" s="101" t="n"/>
      <c r="Q13" s="100" t="n"/>
      <c r="R13" s="101" t="n"/>
      <c r="S13" s="100" t="n"/>
      <c r="T13" s="101" t="n"/>
      <c r="U13" s="100" t="n"/>
      <c r="V13" s="101" t="n"/>
      <c r="W13" s="102" t="n"/>
      <c r="X13" s="103" t="n"/>
      <c r="Y13" s="104" t="n"/>
      <c r="Z13" s="103" t="n"/>
      <c r="AA13" s="104" t="n"/>
      <c r="AB13" s="103" t="n"/>
      <c r="AC13" s="104" t="n"/>
      <c r="AD13" s="103" t="n"/>
      <c r="AE13" s="104" t="n"/>
      <c r="AF13" s="103" t="n"/>
      <c r="AG13" s="104" t="n"/>
      <c r="AH13" s="103" t="n"/>
      <c r="AI13" s="104" t="n"/>
      <c r="AJ13" s="103" t="n"/>
      <c r="AK13" s="104" t="n"/>
      <c r="AL13" s="103" t="n"/>
      <c r="AM13" s="104" t="n"/>
      <c r="AN13" s="105" t="n"/>
      <c r="AO13" s="106" t="n"/>
      <c r="AP13" s="107" t="n"/>
      <c r="AQ13" s="106" t="n"/>
      <c r="AR13" s="107" t="n"/>
      <c r="AS13" s="106" t="n"/>
      <c r="AT13" s="107" t="n"/>
      <c r="AU13" s="106" t="n"/>
      <c r="AV13" s="107" t="n"/>
      <c r="AW13" s="106" t="n"/>
      <c r="AX13" s="107" t="n"/>
      <c r="AY13" s="106" t="n"/>
      <c r="AZ13" s="107" t="n"/>
      <c r="BA13" s="106" t="n"/>
      <c r="BB13" s="107" t="n"/>
      <c r="BC13" s="106" t="n"/>
      <c r="BD13" s="107" t="n"/>
      <c r="BE13" s="108" t="n"/>
      <c r="BF13" s="109" t="n"/>
      <c r="BG13" s="110" t="n"/>
      <c r="BH13" s="109" t="n"/>
      <c r="BI13" s="110" t="n"/>
      <c r="BJ13" s="109" t="n"/>
      <c r="BK13" s="110" t="n"/>
      <c r="BL13" s="109" t="n"/>
      <c r="BM13" s="110" t="n"/>
      <c r="BN13" s="109" t="n"/>
      <c r="BO13" s="110" t="n"/>
      <c r="BP13" s="109" t="n"/>
      <c r="BQ13" s="110" t="n"/>
      <c r="BR13" s="109" t="n"/>
      <c r="BS13" s="110" t="n"/>
      <c r="BT13" s="109" t="n"/>
      <c r="BU13" s="110" t="n"/>
      <c r="BV13" s="111" t="n"/>
      <c r="BW13" s="112" t="n"/>
      <c r="BX13" s="113" t="n"/>
      <c r="BY13" s="112" t="n"/>
      <c r="BZ13" s="113" t="n"/>
      <c r="CA13" s="112" t="n"/>
      <c r="CB13" s="113" t="n"/>
      <c r="CC13" s="112" t="n"/>
      <c r="CD13" s="113" t="n"/>
      <c r="CE13" s="112" t="n"/>
      <c r="CF13" s="113" t="n"/>
      <c r="CG13" s="112" t="n"/>
      <c r="CH13" s="113" t="n"/>
      <c r="CI13" s="112" t="n"/>
      <c r="CJ13" s="113" t="n"/>
      <c r="CK13" s="112" t="n"/>
      <c r="CL13" s="113" t="n"/>
      <c r="CM13" s="114" t="n"/>
      <c r="CN13" s="115" t="n"/>
      <c r="CO13" s="116" t="n"/>
      <c r="CP13" s="115" t="n"/>
      <c r="CQ13" s="116" t="n"/>
      <c r="CR13" s="115" t="n"/>
      <c r="CS13" s="116" t="n"/>
      <c r="CT13" s="115" t="n"/>
      <c r="CU13" s="116" t="n"/>
      <c r="CV13" s="115" t="n"/>
      <c r="CW13" s="116" t="n"/>
      <c r="CX13" s="115" t="n"/>
      <c r="CY13" s="116" t="n"/>
      <c r="CZ13" s="115" t="n"/>
      <c r="DA13" s="116" t="n"/>
      <c r="DB13" s="115" t="n"/>
      <c r="DC13" s="116" t="n"/>
      <c r="DD13" s="117" t="n"/>
      <c r="DE13" s="118" t="n"/>
      <c r="DF13" s="119" t="n"/>
      <c r="DG13" s="118" t="n"/>
      <c r="DH13" s="119" t="n"/>
      <c r="DI13" s="118" t="n"/>
      <c r="DJ13" s="119" t="n"/>
      <c r="DK13" s="118" t="n"/>
      <c r="DL13" s="119" t="n"/>
      <c r="DM13" s="118" t="n"/>
      <c r="DN13" s="119" t="n"/>
      <c r="DO13" s="118" t="n"/>
      <c r="DP13" s="119" t="n"/>
      <c r="DQ13" s="118" t="n"/>
      <c r="DR13" s="119" t="n"/>
      <c r="DS13" s="118" t="n"/>
      <c r="DT13" s="119" t="n"/>
      <c r="DU13" s="120" t="n"/>
      <c r="DV13" s="121" t="n"/>
      <c r="DW13" s="122" t="n"/>
      <c r="DX13" s="121" t="n"/>
      <c r="DY13" s="122" t="n"/>
      <c r="DZ13" s="121" t="n"/>
      <c r="EA13" s="122" t="n"/>
      <c r="EB13" s="121" t="n"/>
      <c r="EC13" s="122" t="n"/>
      <c r="ED13" s="121" t="n"/>
      <c r="EE13" s="122" t="n"/>
      <c r="EF13" s="121" t="n"/>
      <c r="EG13" s="122" t="n"/>
      <c r="EH13" s="121" t="n"/>
      <c r="EI13" s="122" t="n"/>
      <c r="EJ13" s="121" t="n"/>
      <c r="EK13" s="122" t="n"/>
      <c r="EL13" s="123" t="n"/>
      <c r="EM13" s="124" t="n"/>
      <c r="EN13" s="125" t="n"/>
      <c r="EO13" s="124" t="n"/>
      <c r="EP13" s="125" t="n"/>
      <c r="EQ13" s="124" t="n"/>
      <c r="ER13" s="125" t="n"/>
      <c r="ES13" s="124" t="n"/>
      <c r="ET13" s="125" t="n"/>
      <c r="EU13" s="124" t="n"/>
      <c r="EV13" s="125" t="n"/>
      <c r="EW13" s="124" t="n"/>
      <c r="EX13" s="125" t="n"/>
      <c r="EY13" s="124" t="n"/>
      <c r="EZ13" s="125" t="n"/>
      <c r="FA13" s="124" t="n"/>
      <c r="FB13" s="125" t="n"/>
      <c r="FC13" s="126" t="n"/>
      <c r="FD13" s="127" t="n"/>
      <c r="FE13" s="128" t="n"/>
      <c r="FF13" s="127" t="n"/>
      <c r="FG13" s="128" t="n"/>
      <c r="FH13" s="127" t="n"/>
      <c r="FI13" s="128" t="n"/>
      <c r="FJ13" s="127" t="n"/>
      <c r="FK13" s="128" t="n"/>
      <c r="FL13" s="127" t="n"/>
      <c r="FM13" s="128" t="n"/>
      <c r="FN13" s="127" t="n"/>
      <c r="FO13" s="128" t="n"/>
      <c r="FP13" s="127" t="n"/>
      <c r="FQ13" s="128" t="n"/>
      <c r="FR13" s="127" t="n"/>
      <c r="FS13" s="128" t="n"/>
      <c r="FT13" s="129" t="n"/>
      <c r="FU13" s="130" t="n"/>
      <c r="FV13" s="131" t="n"/>
      <c r="FW13" s="130" t="n"/>
      <c r="FX13" s="131" t="n"/>
      <c r="FY13" s="130" t="n"/>
      <c r="FZ13" s="131" t="n"/>
      <c r="GA13" s="130" t="n"/>
      <c r="GB13" s="131" t="n"/>
      <c r="GC13" s="130" t="n"/>
      <c r="GD13" s="131" t="n"/>
      <c r="GE13" s="130" t="n"/>
      <c r="GF13" s="131" t="n"/>
      <c r="GG13" s="130" t="n"/>
      <c r="GH13" s="131" t="n"/>
      <c r="GI13" s="130" t="n"/>
      <c r="GJ13" s="131" t="n"/>
      <c r="GK13" s="132" t="n"/>
      <c r="GL13" s="133" t="n"/>
      <c r="GM13" s="134" t="n"/>
      <c r="GN13" s="133" t="n"/>
      <c r="GO13" s="134" t="n"/>
      <c r="GP13" s="133" t="n"/>
      <c r="GQ13" s="134" t="n"/>
      <c r="GR13" s="133" t="n"/>
      <c r="GS13" s="134" t="n"/>
      <c r="GT13" s="133" t="n"/>
      <c r="GU13" s="134" t="n"/>
      <c r="GV13" s="133" t="n"/>
      <c r="GW13" s="134" t="n"/>
      <c r="GX13" s="133" t="n"/>
      <c r="GY13" s="134" t="n"/>
      <c r="GZ13" s="133" t="n"/>
      <c r="HA13" s="134" t="n"/>
      <c r="HB13" s="135" t="n"/>
      <c r="HC13">
        <f>97-SUMPRODUCT(MAX(($G$4:$HB$4="ح")*($G13:$HB13=TRUE)*(97-$G$47:$HB$47)))</f>
        <v>97</v>
      </c>
      <c r="HD13">
        <f>SUMPRODUCT(($G$4:$HB$4="ح")*($G13:$HB13=TRUE)*($G$47:$HB$47&gt;$HC$1-8))</f>
        <v>0</v>
      </c>
      <c r="HE13">
        <f>(COUNTIF($G13:$V13,TRUE)&gt;0)*($W13&lt;&gt;TRUE)+(COUNTIF($X13:$AM13,TRUE)&gt;0)*($AN13&lt;&gt;TRUE)+(COUNTIF($AO13:$BD13,TRUE)&gt;0)*($BE13&lt;&gt;TRUE)+(COUNTIF($BF13:$BU13,TRUE)&gt;0)*($BV13&lt;&gt;TRUE)+(COUNTIF($BW13:$CL13,TRUE)&gt;0)*($CM13&lt;&gt;TRUE)+(COUNTIF($CN13:$DC13,TRUE)&gt;0)*($DD13&lt;&gt;TRUE)+(COUNTIF($DE13:$DT13,TRUE)&gt;0)*($DU13&lt;&gt;TRUE)+(COUNTIF($DV13:$EK13,TRUE)&gt;0)*($EL13&lt;&gt;TRUE)+(COUNTIF($EM13:$FB13,TRUE)&gt;0)*($FC13&lt;&gt;TRUE)+(COUNTIF($FD13:$FS13,TRUE)&gt;0)*($FT13&lt;&gt;TRUE)+(COUNTIF($FU13:$GJ13,TRUE)&gt;0)*($GK13&lt;&gt;TRUE)+(COUNTIF($GL13:$HA13,TRUE)&gt;0)*($HB13&lt;&gt;TRUE)</f>
        <v>0</v>
      </c>
      <c r="HF13">
        <f>IF($HE13=0,0,13-MAX((COUNTIF($G13:$V13,TRUE)&gt;0)*($W13&lt;&gt;TRUE)*12,(COUNTIF($X13:$AM13,TRUE)&gt;0)*($AN13&lt;&gt;TRUE)*11,(COUNTIF($AO13:$BD13,TRUE)&gt;0)*($BE13&lt;&gt;TRUE)*10,(COUNTIF($BF13:$BU13,TRUE)&gt;0)*($BV13&lt;&gt;TRUE)*9,(COUNTIF($BW13:$CL13,TRUE)&gt;0)*($CM13&lt;&gt;TRUE)*8,(COUNTIF($CN13:$DC13,TRUE)&gt;0)*($DD13&lt;&gt;TRUE)*7,(COUNTIF($DE13:$DT13,TRUE)&gt;0)*($DU13&lt;&gt;TRUE)*6,(COUNTIF($DV13:$EK13,TRUE)&gt;0)*($EL13&lt;&gt;TRUE)*5,(COUNTIF($EM13:$FB13,TRUE)&gt;0)*($FC13&lt;&gt;TRUE)*4,(COUNTIF($FD13:$FS13,TRUE)&gt;0)*($FT13&lt;&gt;TRUE)*3,(COUNTIF($FU13:$GJ13,TRUE)&gt;0)*($GK13&lt;&gt;TRUE)*2,(COUNTIF($GL13:$HA13,TRUE)&gt;0)*($HB13&lt;&gt;TRUE)*1))</f>
        <v>0</v>
      </c>
    </row>
    <row r="14" ht="22.5" customHeight="1">
      <c r="A14" s="36" t="n">
        <v>10</v>
      </c>
      <c r="B14" s="97" t="n"/>
      <c r="C14" s="28" t="n"/>
      <c r="D14" s="98" t="str">
        <f>IF($B14="","",IF($HC14=97,"-",IF($HD14=0,"متوقف",SUMPRODUCT(($G$4:$HB$4="ح")*($G$20:$HB$20&gt;0)*($G14:$HB14&lt;&gt;TRUE)*($G$47:$HB$47&gt;$HC$1-8)*($G$47:$HB$47&gt;=$HC14)))))</f>
        <v/>
      </c>
      <c r="E14" s="98" t="str">
        <f>IF(OR($B14="",$HC14=97),"",SUMPRODUCT(($G$4:$HA$4="ح")*($G14:$HA14=TRUE)*($H14:$HB14&lt;&gt;TRUE)*($G$47:$HA$47&gt;$HC$1-8)))</f>
        <v/>
      </c>
      <c r="F14" s="99" t="str">
        <f>IF($B14="","",IF($HE14=0,IF($HC14=97,"-","تمام"),IF($HE14=1,IF(INDEX($G$1:$HB$1,1,17*($HF14-1)+1)="","شهر "&amp;$HF14,INDEX($G$1:$HB$1,1,17*($HF14-1)+1)),IF($HE14=2,"شهرين",$HE14&amp;" شهور"))))</f>
        <v/>
      </c>
      <c r="G14" s="100" t="n"/>
      <c r="H14" s="101" t="n"/>
      <c r="I14" s="100" t="n"/>
      <c r="J14" s="101" t="n"/>
      <c r="K14" s="100" t="n"/>
      <c r="L14" s="101" t="n"/>
      <c r="M14" s="100" t="n"/>
      <c r="N14" s="101" t="n"/>
      <c r="O14" s="100" t="n"/>
      <c r="P14" s="101" t="n"/>
      <c r="Q14" s="100" t="n"/>
      <c r="R14" s="101" t="n"/>
      <c r="S14" s="100" t="n"/>
      <c r="T14" s="101" t="n"/>
      <c r="U14" s="100" t="n"/>
      <c r="V14" s="101" t="n"/>
      <c r="W14" s="102" t="n"/>
      <c r="X14" s="103" t="n"/>
      <c r="Y14" s="104" t="n"/>
      <c r="Z14" s="103" t="n"/>
      <c r="AA14" s="104" t="n"/>
      <c r="AB14" s="103" t="n"/>
      <c r="AC14" s="104" t="n"/>
      <c r="AD14" s="103" t="n"/>
      <c r="AE14" s="104" t="n"/>
      <c r="AF14" s="103" t="n"/>
      <c r="AG14" s="104" t="n"/>
      <c r="AH14" s="103" t="n"/>
      <c r="AI14" s="104" t="n"/>
      <c r="AJ14" s="103" t="n"/>
      <c r="AK14" s="104" t="n"/>
      <c r="AL14" s="103" t="n"/>
      <c r="AM14" s="104" t="n"/>
      <c r="AN14" s="105" t="n"/>
      <c r="AO14" s="106" t="n"/>
      <c r="AP14" s="107" t="n"/>
      <c r="AQ14" s="106" t="n"/>
      <c r="AR14" s="107" t="n"/>
      <c r="AS14" s="106" t="n"/>
      <c r="AT14" s="107" t="n"/>
      <c r="AU14" s="106" t="n"/>
      <c r="AV14" s="107" t="n"/>
      <c r="AW14" s="106" t="n"/>
      <c r="AX14" s="107" t="n"/>
      <c r="AY14" s="106" t="n"/>
      <c r="AZ14" s="107" t="n"/>
      <c r="BA14" s="106" t="n"/>
      <c r="BB14" s="107" t="n"/>
      <c r="BC14" s="106" t="n"/>
      <c r="BD14" s="107" t="n"/>
      <c r="BE14" s="108" t="n"/>
      <c r="BF14" s="109" t="n"/>
      <c r="BG14" s="110" t="n"/>
      <c r="BH14" s="109" t="n"/>
      <c r="BI14" s="110" t="n"/>
      <c r="BJ14" s="109" t="n"/>
      <c r="BK14" s="110" t="n"/>
      <c r="BL14" s="109" t="n"/>
      <c r="BM14" s="110" t="n"/>
      <c r="BN14" s="109" t="n"/>
      <c r="BO14" s="110" t="n"/>
      <c r="BP14" s="109" t="n"/>
      <c r="BQ14" s="110" t="n"/>
      <c r="BR14" s="109" t="n"/>
      <c r="BS14" s="110" t="n"/>
      <c r="BT14" s="109" t="n"/>
      <c r="BU14" s="110" t="n"/>
      <c r="BV14" s="111" t="n"/>
      <c r="BW14" s="112" t="n"/>
      <c r="BX14" s="113" t="n"/>
      <c r="BY14" s="112" t="n"/>
      <c r="BZ14" s="113" t="n"/>
      <c r="CA14" s="112" t="n"/>
      <c r="CB14" s="113" t="n"/>
      <c r="CC14" s="112" t="n"/>
      <c r="CD14" s="113" t="n"/>
      <c r="CE14" s="112" t="n"/>
      <c r="CF14" s="113" t="n"/>
      <c r="CG14" s="112" t="n"/>
      <c r="CH14" s="113" t="n"/>
      <c r="CI14" s="112" t="n"/>
      <c r="CJ14" s="113" t="n"/>
      <c r="CK14" s="112" t="n"/>
      <c r="CL14" s="113" t="n"/>
      <c r="CM14" s="114" t="n"/>
      <c r="CN14" s="115" t="n"/>
      <c r="CO14" s="116" t="n"/>
      <c r="CP14" s="115" t="n"/>
      <c r="CQ14" s="116" t="n"/>
      <c r="CR14" s="115" t="n"/>
      <c r="CS14" s="116" t="n"/>
      <c r="CT14" s="115" t="n"/>
      <c r="CU14" s="116" t="n"/>
      <c r="CV14" s="115" t="n"/>
      <c r="CW14" s="116" t="n"/>
      <c r="CX14" s="115" t="n"/>
      <c r="CY14" s="116" t="n"/>
      <c r="CZ14" s="115" t="n"/>
      <c r="DA14" s="116" t="n"/>
      <c r="DB14" s="115" t="n"/>
      <c r="DC14" s="116" t="n"/>
      <c r="DD14" s="117" t="n"/>
      <c r="DE14" s="118" t="n"/>
      <c r="DF14" s="119" t="n"/>
      <c r="DG14" s="118" t="n"/>
      <c r="DH14" s="119" t="n"/>
      <c r="DI14" s="118" t="n"/>
      <c r="DJ14" s="119" t="n"/>
      <c r="DK14" s="118" t="n"/>
      <c r="DL14" s="119" t="n"/>
      <c r="DM14" s="118" t="n"/>
      <c r="DN14" s="119" t="n"/>
      <c r="DO14" s="118" t="n"/>
      <c r="DP14" s="119" t="n"/>
      <c r="DQ14" s="118" t="n"/>
      <c r="DR14" s="119" t="n"/>
      <c r="DS14" s="118" t="n"/>
      <c r="DT14" s="119" t="n"/>
      <c r="DU14" s="120" t="n"/>
      <c r="DV14" s="121" t="n"/>
      <c r="DW14" s="122" t="n"/>
      <c r="DX14" s="121" t="n"/>
      <c r="DY14" s="122" t="n"/>
      <c r="DZ14" s="121" t="n"/>
      <c r="EA14" s="122" t="n"/>
      <c r="EB14" s="121" t="n"/>
      <c r="EC14" s="122" t="n"/>
      <c r="ED14" s="121" t="n"/>
      <c r="EE14" s="122" t="n"/>
      <c r="EF14" s="121" t="n"/>
      <c r="EG14" s="122" t="n"/>
      <c r="EH14" s="121" t="n"/>
      <c r="EI14" s="122" t="n"/>
      <c r="EJ14" s="121" t="n"/>
      <c r="EK14" s="122" t="n"/>
      <c r="EL14" s="123" t="n"/>
      <c r="EM14" s="124" t="n"/>
      <c r="EN14" s="125" t="n"/>
      <c r="EO14" s="124" t="n"/>
      <c r="EP14" s="125" t="n"/>
      <c r="EQ14" s="124" t="n"/>
      <c r="ER14" s="125" t="n"/>
      <c r="ES14" s="124" t="n"/>
      <c r="ET14" s="125" t="n"/>
      <c r="EU14" s="124" t="n"/>
      <c r="EV14" s="125" t="n"/>
      <c r="EW14" s="124" t="n"/>
      <c r="EX14" s="125" t="n"/>
      <c r="EY14" s="124" t="n"/>
      <c r="EZ14" s="125" t="n"/>
      <c r="FA14" s="124" t="n"/>
      <c r="FB14" s="125" t="n"/>
      <c r="FC14" s="126" t="n"/>
      <c r="FD14" s="127" t="n"/>
      <c r="FE14" s="128" t="n"/>
      <c r="FF14" s="127" t="n"/>
      <c r="FG14" s="128" t="n"/>
      <c r="FH14" s="127" t="n"/>
      <c r="FI14" s="128" t="n"/>
      <c r="FJ14" s="127" t="n"/>
      <c r="FK14" s="128" t="n"/>
      <c r="FL14" s="127" t="n"/>
      <c r="FM14" s="128" t="n"/>
      <c r="FN14" s="127" t="n"/>
      <c r="FO14" s="128" t="n"/>
      <c r="FP14" s="127" t="n"/>
      <c r="FQ14" s="128" t="n"/>
      <c r="FR14" s="127" t="n"/>
      <c r="FS14" s="128" t="n"/>
      <c r="FT14" s="129" t="n"/>
      <c r="FU14" s="130" t="n"/>
      <c r="FV14" s="131" t="n"/>
      <c r="FW14" s="130" t="n"/>
      <c r="FX14" s="131" t="n"/>
      <c r="FY14" s="130" t="n"/>
      <c r="FZ14" s="131" t="n"/>
      <c r="GA14" s="130" t="n"/>
      <c r="GB14" s="131" t="n"/>
      <c r="GC14" s="130" t="n"/>
      <c r="GD14" s="131" t="n"/>
      <c r="GE14" s="130" t="n"/>
      <c r="GF14" s="131" t="n"/>
      <c r="GG14" s="130" t="n"/>
      <c r="GH14" s="131" t="n"/>
      <c r="GI14" s="130" t="n"/>
      <c r="GJ14" s="131" t="n"/>
      <c r="GK14" s="132" t="n"/>
      <c r="GL14" s="133" t="n"/>
      <c r="GM14" s="134" t="n"/>
      <c r="GN14" s="133" t="n"/>
      <c r="GO14" s="134" t="n"/>
      <c r="GP14" s="133" t="n"/>
      <c r="GQ14" s="134" t="n"/>
      <c r="GR14" s="133" t="n"/>
      <c r="GS14" s="134" t="n"/>
      <c r="GT14" s="133" t="n"/>
      <c r="GU14" s="134" t="n"/>
      <c r="GV14" s="133" t="n"/>
      <c r="GW14" s="134" t="n"/>
      <c r="GX14" s="133" t="n"/>
      <c r="GY14" s="134" t="n"/>
      <c r="GZ14" s="133" t="n"/>
      <c r="HA14" s="134" t="n"/>
      <c r="HB14" s="135" t="n"/>
      <c r="HC14">
        <f>97-SUMPRODUCT(MAX(($G$4:$HB$4="ح")*($G14:$HB14=TRUE)*(97-$G$47:$HB$47)))</f>
        <v>97</v>
      </c>
      <c r="HD14">
        <f>SUMPRODUCT(($G$4:$HB$4="ح")*($G14:$HB14=TRUE)*($G$47:$HB$47&gt;$HC$1-8))</f>
        <v>0</v>
      </c>
      <c r="HE14">
        <f>(COUNTIF($G14:$V14,TRUE)&gt;0)*($W14&lt;&gt;TRUE)+(COUNTIF($X14:$AM14,TRUE)&gt;0)*($AN14&lt;&gt;TRUE)+(COUNTIF($AO14:$BD14,TRUE)&gt;0)*($BE14&lt;&gt;TRUE)+(COUNTIF($BF14:$BU14,TRUE)&gt;0)*($BV14&lt;&gt;TRUE)+(COUNTIF($BW14:$CL14,TRUE)&gt;0)*($CM14&lt;&gt;TRUE)+(COUNTIF($CN14:$DC14,TRUE)&gt;0)*($DD14&lt;&gt;TRUE)+(COUNTIF($DE14:$DT14,TRUE)&gt;0)*($DU14&lt;&gt;TRUE)+(COUNTIF($DV14:$EK14,TRUE)&gt;0)*($EL14&lt;&gt;TRUE)+(COUNTIF($EM14:$FB14,TRUE)&gt;0)*($FC14&lt;&gt;TRUE)+(COUNTIF($FD14:$FS14,TRUE)&gt;0)*($FT14&lt;&gt;TRUE)+(COUNTIF($FU14:$GJ14,TRUE)&gt;0)*($GK14&lt;&gt;TRUE)+(COUNTIF($GL14:$HA14,TRUE)&gt;0)*($HB14&lt;&gt;TRUE)</f>
        <v>0</v>
      </c>
      <c r="HF14">
        <f>IF($HE14=0,0,13-MAX((COUNTIF($G14:$V14,TRUE)&gt;0)*($W14&lt;&gt;TRUE)*12,(COUNTIF($X14:$AM14,TRUE)&gt;0)*($AN14&lt;&gt;TRUE)*11,(COUNTIF($AO14:$BD14,TRUE)&gt;0)*($BE14&lt;&gt;TRUE)*10,(COUNTIF($BF14:$BU14,TRUE)&gt;0)*($BV14&lt;&gt;TRUE)*9,(COUNTIF($BW14:$CL14,TRUE)&gt;0)*($CM14&lt;&gt;TRUE)*8,(COUNTIF($CN14:$DC14,TRUE)&gt;0)*($DD14&lt;&gt;TRUE)*7,(COUNTIF($DE14:$DT14,TRUE)&gt;0)*($DU14&lt;&gt;TRUE)*6,(COUNTIF($DV14:$EK14,TRUE)&gt;0)*($EL14&lt;&gt;TRUE)*5,(COUNTIF($EM14:$FB14,TRUE)&gt;0)*($FC14&lt;&gt;TRUE)*4,(COUNTIF($FD14:$FS14,TRUE)&gt;0)*($FT14&lt;&gt;TRUE)*3,(COUNTIF($FU14:$GJ14,TRUE)&gt;0)*($GK14&lt;&gt;TRUE)*2,(COUNTIF($GL14:$HA14,TRUE)&gt;0)*($HB14&lt;&gt;TRUE)*1))</f>
        <v>0</v>
      </c>
    </row>
    <row r="15" ht="22.5" customHeight="1">
      <c r="A15" s="36" t="n">
        <v>11</v>
      </c>
      <c r="B15" s="97" t="n"/>
      <c r="C15" s="28" t="n"/>
      <c r="D15" s="98" t="str">
        <f>IF($B15="","",IF($HC15=97,"-",IF($HD15=0,"متوقف",SUMPRODUCT(($G$4:$HB$4="ح")*($G$20:$HB$20&gt;0)*($G15:$HB15&lt;&gt;TRUE)*($G$47:$HB$47&gt;$HC$1-8)*($G$47:$HB$47&gt;=$HC15)))))</f>
        <v/>
      </c>
      <c r="E15" s="98" t="str">
        <f>IF(OR($B15="",$HC15=97),"",SUMPRODUCT(($G$4:$HA$4="ح")*($G15:$HA15=TRUE)*($H15:$HB15&lt;&gt;TRUE)*($G$47:$HA$47&gt;$HC$1-8)))</f>
        <v/>
      </c>
      <c r="F15" s="99" t="str">
        <f>IF($B15="","",IF($HE15=0,IF($HC15=97,"-","تمام"),IF($HE15=1,IF(INDEX($G$1:$HB$1,1,17*($HF15-1)+1)="","شهر "&amp;$HF15,INDEX($G$1:$HB$1,1,17*($HF15-1)+1)),IF($HE15=2,"شهرين",$HE15&amp;" شهور"))))</f>
        <v/>
      </c>
      <c r="G15" s="100" t="n"/>
      <c r="H15" s="101" t="n"/>
      <c r="I15" s="100" t="n"/>
      <c r="J15" s="101" t="n"/>
      <c r="K15" s="100" t="n"/>
      <c r="L15" s="101" t="n"/>
      <c r="M15" s="100" t="n"/>
      <c r="N15" s="101" t="n"/>
      <c r="O15" s="100" t="n"/>
      <c r="P15" s="101" t="n"/>
      <c r="Q15" s="100" t="n"/>
      <c r="R15" s="101" t="n"/>
      <c r="S15" s="100" t="n"/>
      <c r="T15" s="101" t="n"/>
      <c r="U15" s="100" t="n"/>
      <c r="V15" s="101" t="n"/>
      <c r="W15" s="102" t="n"/>
      <c r="X15" s="103" t="n"/>
      <c r="Y15" s="104" t="n"/>
      <c r="Z15" s="103" t="n"/>
      <c r="AA15" s="104" t="n"/>
      <c r="AB15" s="103" t="n"/>
      <c r="AC15" s="104" t="n"/>
      <c r="AD15" s="103" t="n"/>
      <c r="AE15" s="104" t="n"/>
      <c r="AF15" s="103" t="n"/>
      <c r="AG15" s="104" t="n"/>
      <c r="AH15" s="103" t="n"/>
      <c r="AI15" s="104" t="n"/>
      <c r="AJ15" s="103" t="n"/>
      <c r="AK15" s="104" t="n"/>
      <c r="AL15" s="103" t="n"/>
      <c r="AM15" s="104" t="n"/>
      <c r="AN15" s="105" t="n"/>
      <c r="AO15" s="106" t="n"/>
      <c r="AP15" s="107" t="n"/>
      <c r="AQ15" s="106" t="n"/>
      <c r="AR15" s="107" t="n"/>
      <c r="AS15" s="106" t="n"/>
      <c r="AT15" s="107" t="n"/>
      <c r="AU15" s="106" t="n"/>
      <c r="AV15" s="107" t="n"/>
      <c r="AW15" s="106" t="n"/>
      <c r="AX15" s="107" t="n"/>
      <c r="AY15" s="106" t="n"/>
      <c r="AZ15" s="107" t="n"/>
      <c r="BA15" s="106" t="n"/>
      <c r="BB15" s="107" t="n"/>
      <c r="BC15" s="106" t="n"/>
      <c r="BD15" s="107" t="n"/>
      <c r="BE15" s="108" t="n"/>
      <c r="BF15" s="109" t="n"/>
      <c r="BG15" s="110" t="n"/>
      <c r="BH15" s="109" t="n"/>
      <c r="BI15" s="110" t="n"/>
      <c r="BJ15" s="109" t="n"/>
      <c r="BK15" s="110" t="n"/>
      <c r="BL15" s="109" t="n"/>
      <c r="BM15" s="110" t="n"/>
      <c r="BN15" s="109" t="n"/>
      <c r="BO15" s="110" t="n"/>
      <c r="BP15" s="109" t="n"/>
      <c r="BQ15" s="110" t="n"/>
      <c r="BR15" s="109" t="n"/>
      <c r="BS15" s="110" t="n"/>
      <c r="BT15" s="109" t="n"/>
      <c r="BU15" s="110" t="n"/>
      <c r="BV15" s="111" t="n"/>
      <c r="BW15" s="112" t="n"/>
      <c r="BX15" s="113" t="n"/>
      <c r="BY15" s="112" t="n"/>
      <c r="BZ15" s="113" t="n"/>
      <c r="CA15" s="112" t="n"/>
      <c r="CB15" s="113" t="n"/>
      <c r="CC15" s="112" t="n"/>
      <c r="CD15" s="113" t="n"/>
      <c r="CE15" s="112" t="n"/>
      <c r="CF15" s="113" t="n"/>
      <c r="CG15" s="112" t="n"/>
      <c r="CH15" s="113" t="n"/>
      <c r="CI15" s="112" t="n"/>
      <c r="CJ15" s="113" t="n"/>
      <c r="CK15" s="112" t="n"/>
      <c r="CL15" s="113" t="n"/>
      <c r="CM15" s="114" t="n"/>
      <c r="CN15" s="115" t="n"/>
      <c r="CO15" s="116" t="n"/>
      <c r="CP15" s="115" t="n"/>
      <c r="CQ15" s="116" t="n"/>
      <c r="CR15" s="115" t="n"/>
      <c r="CS15" s="116" t="n"/>
      <c r="CT15" s="115" t="n"/>
      <c r="CU15" s="116" t="n"/>
      <c r="CV15" s="115" t="n"/>
      <c r="CW15" s="116" t="n"/>
      <c r="CX15" s="115" t="n"/>
      <c r="CY15" s="116" t="n"/>
      <c r="CZ15" s="115" t="n"/>
      <c r="DA15" s="116" t="n"/>
      <c r="DB15" s="115" t="n"/>
      <c r="DC15" s="116" t="n"/>
      <c r="DD15" s="117" t="n"/>
      <c r="DE15" s="118" t="n"/>
      <c r="DF15" s="119" t="n"/>
      <c r="DG15" s="118" t="n"/>
      <c r="DH15" s="119" t="n"/>
      <c r="DI15" s="118" t="n"/>
      <c r="DJ15" s="119" t="n"/>
      <c r="DK15" s="118" t="n"/>
      <c r="DL15" s="119" t="n"/>
      <c r="DM15" s="118" t="n"/>
      <c r="DN15" s="119" t="n"/>
      <c r="DO15" s="118" t="n"/>
      <c r="DP15" s="119" t="n"/>
      <c r="DQ15" s="118" t="n"/>
      <c r="DR15" s="119" t="n"/>
      <c r="DS15" s="118" t="n"/>
      <c r="DT15" s="119" t="n"/>
      <c r="DU15" s="120" t="n"/>
      <c r="DV15" s="121" t="n"/>
      <c r="DW15" s="122" t="n"/>
      <c r="DX15" s="121" t="n"/>
      <c r="DY15" s="122" t="n"/>
      <c r="DZ15" s="121" t="n"/>
      <c r="EA15" s="122" t="n"/>
      <c r="EB15" s="121" t="n"/>
      <c r="EC15" s="122" t="n"/>
      <c r="ED15" s="121" t="n"/>
      <c r="EE15" s="122" t="n"/>
      <c r="EF15" s="121" t="n"/>
      <c r="EG15" s="122" t="n"/>
      <c r="EH15" s="121" t="n"/>
      <c r="EI15" s="122" t="n"/>
      <c r="EJ15" s="121" t="n"/>
      <c r="EK15" s="122" t="n"/>
      <c r="EL15" s="123" t="n"/>
      <c r="EM15" s="124" t="n"/>
      <c r="EN15" s="125" t="n"/>
      <c r="EO15" s="124" t="n"/>
      <c r="EP15" s="125" t="n"/>
      <c r="EQ15" s="124" t="n"/>
      <c r="ER15" s="125" t="n"/>
      <c r="ES15" s="124" t="n"/>
      <c r="ET15" s="125" t="n"/>
      <c r="EU15" s="124" t="n"/>
      <c r="EV15" s="125" t="n"/>
      <c r="EW15" s="124" t="n"/>
      <c r="EX15" s="125" t="n"/>
      <c r="EY15" s="124" t="n"/>
      <c r="EZ15" s="125" t="n"/>
      <c r="FA15" s="124" t="n"/>
      <c r="FB15" s="125" t="n"/>
      <c r="FC15" s="126" t="n"/>
      <c r="FD15" s="127" t="n"/>
      <c r="FE15" s="128" t="n"/>
      <c r="FF15" s="127" t="n"/>
      <c r="FG15" s="128" t="n"/>
      <c r="FH15" s="127" t="n"/>
      <c r="FI15" s="128" t="n"/>
      <c r="FJ15" s="127" t="n"/>
      <c r="FK15" s="128" t="n"/>
      <c r="FL15" s="127" t="n"/>
      <c r="FM15" s="128" t="n"/>
      <c r="FN15" s="127" t="n"/>
      <c r="FO15" s="128" t="n"/>
      <c r="FP15" s="127" t="n"/>
      <c r="FQ15" s="128" t="n"/>
      <c r="FR15" s="127" t="n"/>
      <c r="FS15" s="128" t="n"/>
      <c r="FT15" s="129" t="n"/>
      <c r="FU15" s="130" t="n"/>
      <c r="FV15" s="131" t="n"/>
      <c r="FW15" s="130" t="n"/>
      <c r="FX15" s="131" t="n"/>
      <c r="FY15" s="130" t="n"/>
      <c r="FZ15" s="131" t="n"/>
      <c r="GA15" s="130" t="n"/>
      <c r="GB15" s="131" t="n"/>
      <c r="GC15" s="130" t="n"/>
      <c r="GD15" s="131" t="n"/>
      <c r="GE15" s="130" t="n"/>
      <c r="GF15" s="131" t="n"/>
      <c r="GG15" s="130" t="n"/>
      <c r="GH15" s="131" t="n"/>
      <c r="GI15" s="130" t="n"/>
      <c r="GJ15" s="131" t="n"/>
      <c r="GK15" s="132" t="n"/>
      <c r="GL15" s="133" t="n"/>
      <c r="GM15" s="134" t="n"/>
      <c r="GN15" s="133" t="n"/>
      <c r="GO15" s="134" t="n"/>
      <c r="GP15" s="133" t="n"/>
      <c r="GQ15" s="134" t="n"/>
      <c r="GR15" s="133" t="n"/>
      <c r="GS15" s="134" t="n"/>
      <c r="GT15" s="133" t="n"/>
      <c r="GU15" s="134" t="n"/>
      <c r="GV15" s="133" t="n"/>
      <c r="GW15" s="134" t="n"/>
      <c r="GX15" s="133" t="n"/>
      <c r="GY15" s="134" t="n"/>
      <c r="GZ15" s="133" t="n"/>
      <c r="HA15" s="134" t="n"/>
      <c r="HB15" s="135" t="n"/>
      <c r="HC15">
        <f>97-SUMPRODUCT(MAX(($G$4:$HB$4="ح")*($G15:$HB15=TRUE)*(97-$G$47:$HB$47)))</f>
        <v>97</v>
      </c>
      <c r="HD15">
        <f>SUMPRODUCT(($G$4:$HB$4="ح")*($G15:$HB15=TRUE)*($G$47:$HB$47&gt;$HC$1-8))</f>
        <v>0</v>
      </c>
      <c r="HE15">
        <f>(COUNTIF($G15:$V15,TRUE)&gt;0)*($W15&lt;&gt;TRUE)+(COUNTIF($X15:$AM15,TRUE)&gt;0)*($AN15&lt;&gt;TRUE)+(COUNTIF($AO15:$BD15,TRUE)&gt;0)*($BE15&lt;&gt;TRUE)+(COUNTIF($BF15:$BU15,TRUE)&gt;0)*($BV15&lt;&gt;TRUE)+(COUNTIF($BW15:$CL15,TRUE)&gt;0)*($CM15&lt;&gt;TRUE)+(COUNTIF($CN15:$DC15,TRUE)&gt;0)*($DD15&lt;&gt;TRUE)+(COUNTIF($DE15:$DT15,TRUE)&gt;0)*($DU15&lt;&gt;TRUE)+(COUNTIF($DV15:$EK15,TRUE)&gt;0)*($EL15&lt;&gt;TRUE)+(COUNTIF($EM15:$FB15,TRUE)&gt;0)*($FC15&lt;&gt;TRUE)+(COUNTIF($FD15:$FS15,TRUE)&gt;0)*($FT15&lt;&gt;TRUE)+(COUNTIF($FU15:$GJ15,TRUE)&gt;0)*($GK15&lt;&gt;TRUE)+(COUNTIF($GL15:$HA15,TRUE)&gt;0)*($HB15&lt;&gt;TRUE)</f>
        <v>0</v>
      </c>
      <c r="HF15">
        <f>IF($HE15=0,0,13-MAX((COUNTIF($G15:$V15,TRUE)&gt;0)*($W15&lt;&gt;TRUE)*12,(COUNTIF($X15:$AM15,TRUE)&gt;0)*($AN15&lt;&gt;TRUE)*11,(COUNTIF($AO15:$BD15,TRUE)&gt;0)*($BE15&lt;&gt;TRUE)*10,(COUNTIF($BF15:$BU15,TRUE)&gt;0)*($BV15&lt;&gt;TRUE)*9,(COUNTIF($BW15:$CL15,TRUE)&gt;0)*($CM15&lt;&gt;TRUE)*8,(COUNTIF($CN15:$DC15,TRUE)&gt;0)*($DD15&lt;&gt;TRUE)*7,(COUNTIF($DE15:$DT15,TRUE)&gt;0)*($DU15&lt;&gt;TRUE)*6,(COUNTIF($DV15:$EK15,TRUE)&gt;0)*($EL15&lt;&gt;TRUE)*5,(COUNTIF($EM15:$FB15,TRUE)&gt;0)*($FC15&lt;&gt;TRUE)*4,(COUNTIF($FD15:$FS15,TRUE)&gt;0)*($FT15&lt;&gt;TRUE)*3,(COUNTIF($FU15:$GJ15,TRUE)&gt;0)*($GK15&lt;&gt;TRUE)*2,(COUNTIF($GL15:$HA15,TRUE)&gt;0)*($HB15&lt;&gt;TRUE)*1))</f>
        <v>0</v>
      </c>
    </row>
    <row r="16" ht="22.5" customHeight="1">
      <c r="A16" s="36" t="n">
        <v>12</v>
      </c>
      <c r="B16" s="97" t="n"/>
      <c r="C16" s="28" t="n"/>
      <c r="D16" s="98" t="str">
        <f>IF($B16="","",IF($HC16=97,"-",IF($HD16=0,"متوقف",SUMPRODUCT(($G$4:$HB$4="ح")*($G$20:$HB$20&gt;0)*($G16:$HB16&lt;&gt;TRUE)*($G$47:$HB$47&gt;$HC$1-8)*($G$47:$HB$47&gt;=$HC16)))))</f>
        <v/>
      </c>
      <c r="E16" s="98" t="str">
        <f>IF(OR($B16="",$HC16=97),"",SUMPRODUCT(($G$4:$HA$4="ح")*($G16:$HA16=TRUE)*($H16:$HB16&lt;&gt;TRUE)*($G$47:$HA$47&gt;$HC$1-8)))</f>
        <v/>
      </c>
      <c r="F16" s="99" t="str">
        <f>IF($B16="","",IF($HE16=0,IF($HC16=97,"-","تمام"),IF($HE16=1,IF(INDEX($G$1:$HB$1,1,17*($HF16-1)+1)="","شهر "&amp;$HF16,INDEX($G$1:$HB$1,1,17*($HF16-1)+1)),IF($HE16=2,"شهرين",$HE16&amp;" شهور"))))</f>
        <v/>
      </c>
      <c r="G16" s="100" t="n"/>
      <c r="H16" s="101" t="n"/>
      <c r="I16" s="100" t="n"/>
      <c r="J16" s="101" t="n"/>
      <c r="K16" s="100" t="n"/>
      <c r="L16" s="101" t="n"/>
      <c r="M16" s="100" t="n"/>
      <c r="N16" s="101" t="n"/>
      <c r="O16" s="100" t="n"/>
      <c r="P16" s="101" t="n"/>
      <c r="Q16" s="100" t="n"/>
      <c r="R16" s="101" t="n"/>
      <c r="S16" s="100" t="n"/>
      <c r="T16" s="101" t="n"/>
      <c r="U16" s="100" t="n"/>
      <c r="V16" s="101" t="n"/>
      <c r="W16" s="102" t="n"/>
      <c r="X16" s="103" t="n"/>
      <c r="Y16" s="104" t="n"/>
      <c r="Z16" s="103" t="n"/>
      <c r="AA16" s="104" t="n"/>
      <c r="AB16" s="103" t="n"/>
      <c r="AC16" s="104" t="n"/>
      <c r="AD16" s="103" t="n"/>
      <c r="AE16" s="104" t="n"/>
      <c r="AF16" s="103" t="n"/>
      <c r="AG16" s="104" t="n"/>
      <c r="AH16" s="103" t="n"/>
      <c r="AI16" s="104" t="n"/>
      <c r="AJ16" s="103" t="n"/>
      <c r="AK16" s="104" t="n"/>
      <c r="AL16" s="103" t="n"/>
      <c r="AM16" s="104" t="n"/>
      <c r="AN16" s="105" t="n"/>
      <c r="AO16" s="106" t="n"/>
      <c r="AP16" s="107" t="n"/>
      <c r="AQ16" s="106" t="n"/>
      <c r="AR16" s="107" t="n"/>
      <c r="AS16" s="106" t="n"/>
      <c r="AT16" s="107" t="n"/>
      <c r="AU16" s="106" t="n"/>
      <c r="AV16" s="107" t="n"/>
      <c r="AW16" s="106" t="n"/>
      <c r="AX16" s="107" t="n"/>
      <c r="AY16" s="106" t="n"/>
      <c r="AZ16" s="107" t="n"/>
      <c r="BA16" s="106" t="n"/>
      <c r="BB16" s="107" t="n"/>
      <c r="BC16" s="106" t="n"/>
      <c r="BD16" s="107" t="n"/>
      <c r="BE16" s="108" t="n"/>
      <c r="BF16" s="109" t="n"/>
      <c r="BG16" s="110" t="n"/>
      <c r="BH16" s="109" t="n"/>
      <c r="BI16" s="110" t="n"/>
      <c r="BJ16" s="109" t="n"/>
      <c r="BK16" s="110" t="n"/>
      <c r="BL16" s="109" t="n"/>
      <c r="BM16" s="110" t="n"/>
      <c r="BN16" s="109" t="n"/>
      <c r="BO16" s="110" t="n"/>
      <c r="BP16" s="109" t="n"/>
      <c r="BQ16" s="110" t="n"/>
      <c r="BR16" s="109" t="n"/>
      <c r="BS16" s="110" t="n"/>
      <c r="BT16" s="109" t="n"/>
      <c r="BU16" s="110" t="n"/>
      <c r="BV16" s="111" t="n"/>
      <c r="BW16" s="112" t="n"/>
      <c r="BX16" s="113" t="n"/>
      <c r="BY16" s="112" t="n"/>
      <c r="BZ16" s="113" t="n"/>
      <c r="CA16" s="112" t="n"/>
      <c r="CB16" s="113" t="n"/>
      <c r="CC16" s="112" t="n"/>
      <c r="CD16" s="113" t="n"/>
      <c r="CE16" s="112" t="n"/>
      <c r="CF16" s="113" t="n"/>
      <c r="CG16" s="112" t="n"/>
      <c r="CH16" s="113" t="n"/>
      <c r="CI16" s="112" t="n"/>
      <c r="CJ16" s="113" t="n"/>
      <c r="CK16" s="112" t="n"/>
      <c r="CL16" s="113" t="n"/>
      <c r="CM16" s="114" t="n"/>
      <c r="CN16" s="115" t="n"/>
      <c r="CO16" s="116" t="n"/>
      <c r="CP16" s="115" t="n"/>
      <c r="CQ16" s="116" t="n"/>
      <c r="CR16" s="115" t="n"/>
      <c r="CS16" s="116" t="n"/>
      <c r="CT16" s="115" t="n"/>
      <c r="CU16" s="116" t="n"/>
      <c r="CV16" s="115" t="n"/>
      <c r="CW16" s="116" t="n"/>
      <c r="CX16" s="115" t="n"/>
      <c r="CY16" s="116" t="n"/>
      <c r="CZ16" s="115" t="n"/>
      <c r="DA16" s="116" t="n"/>
      <c r="DB16" s="115" t="n"/>
      <c r="DC16" s="116" t="n"/>
      <c r="DD16" s="117" t="n"/>
      <c r="DE16" s="118" t="n"/>
      <c r="DF16" s="119" t="n"/>
      <c r="DG16" s="118" t="n"/>
      <c r="DH16" s="119" t="n"/>
      <c r="DI16" s="118" t="n"/>
      <c r="DJ16" s="119" t="n"/>
      <c r="DK16" s="118" t="n"/>
      <c r="DL16" s="119" t="n"/>
      <c r="DM16" s="118" t="n"/>
      <c r="DN16" s="119" t="n"/>
      <c r="DO16" s="118" t="n"/>
      <c r="DP16" s="119" t="n"/>
      <c r="DQ16" s="118" t="n"/>
      <c r="DR16" s="119" t="n"/>
      <c r="DS16" s="118" t="n"/>
      <c r="DT16" s="119" t="n"/>
      <c r="DU16" s="120" t="n"/>
      <c r="DV16" s="121" t="n"/>
      <c r="DW16" s="122" t="n"/>
      <c r="DX16" s="121" t="n"/>
      <c r="DY16" s="122" t="n"/>
      <c r="DZ16" s="121" t="n"/>
      <c r="EA16" s="122" t="n"/>
      <c r="EB16" s="121" t="n"/>
      <c r="EC16" s="122" t="n"/>
      <c r="ED16" s="121" t="n"/>
      <c r="EE16" s="122" t="n"/>
      <c r="EF16" s="121" t="n"/>
      <c r="EG16" s="122" t="n"/>
      <c r="EH16" s="121" t="n"/>
      <c r="EI16" s="122" t="n"/>
      <c r="EJ16" s="121" t="n"/>
      <c r="EK16" s="122" t="n"/>
      <c r="EL16" s="123" t="n"/>
      <c r="EM16" s="124" t="n"/>
      <c r="EN16" s="125" t="n"/>
      <c r="EO16" s="124" t="n"/>
      <c r="EP16" s="125" t="n"/>
      <c r="EQ16" s="124" t="n"/>
      <c r="ER16" s="125" t="n"/>
      <c r="ES16" s="124" t="n"/>
      <c r="ET16" s="125" t="n"/>
      <c r="EU16" s="124" t="n"/>
      <c r="EV16" s="125" t="n"/>
      <c r="EW16" s="124" t="n"/>
      <c r="EX16" s="125" t="n"/>
      <c r="EY16" s="124" t="n"/>
      <c r="EZ16" s="125" t="n"/>
      <c r="FA16" s="124" t="n"/>
      <c r="FB16" s="125" t="n"/>
      <c r="FC16" s="126" t="n"/>
      <c r="FD16" s="127" t="n"/>
      <c r="FE16" s="128" t="n"/>
      <c r="FF16" s="127" t="n"/>
      <c r="FG16" s="128" t="n"/>
      <c r="FH16" s="127" t="n"/>
      <c r="FI16" s="128" t="n"/>
      <c r="FJ16" s="127" t="n"/>
      <c r="FK16" s="128" t="n"/>
      <c r="FL16" s="127" t="n"/>
      <c r="FM16" s="128" t="n"/>
      <c r="FN16" s="127" t="n"/>
      <c r="FO16" s="128" t="n"/>
      <c r="FP16" s="127" t="n"/>
      <c r="FQ16" s="128" t="n"/>
      <c r="FR16" s="127" t="n"/>
      <c r="FS16" s="128" t="n"/>
      <c r="FT16" s="129" t="n"/>
      <c r="FU16" s="130" t="n"/>
      <c r="FV16" s="131" t="n"/>
      <c r="FW16" s="130" t="n"/>
      <c r="FX16" s="131" t="n"/>
      <c r="FY16" s="130" t="n"/>
      <c r="FZ16" s="131" t="n"/>
      <c r="GA16" s="130" t="n"/>
      <c r="GB16" s="131" t="n"/>
      <c r="GC16" s="130" t="n"/>
      <c r="GD16" s="131" t="n"/>
      <c r="GE16" s="130" t="n"/>
      <c r="GF16" s="131" t="n"/>
      <c r="GG16" s="130" t="n"/>
      <c r="GH16" s="131" t="n"/>
      <c r="GI16" s="130" t="n"/>
      <c r="GJ16" s="131" t="n"/>
      <c r="GK16" s="132" t="n"/>
      <c r="GL16" s="133" t="n"/>
      <c r="GM16" s="134" t="n"/>
      <c r="GN16" s="133" t="n"/>
      <c r="GO16" s="134" t="n"/>
      <c r="GP16" s="133" t="n"/>
      <c r="GQ16" s="134" t="n"/>
      <c r="GR16" s="133" t="n"/>
      <c r="GS16" s="134" t="n"/>
      <c r="GT16" s="133" t="n"/>
      <c r="GU16" s="134" t="n"/>
      <c r="GV16" s="133" t="n"/>
      <c r="GW16" s="134" t="n"/>
      <c r="GX16" s="133" t="n"/>
      <c r="GY16" s="134" t="n"/>
      <c r="GZ16" s="133" t="n"/>
      <c r="HA16" s="134" t="n"/>
      <c r="HB16" s="135" t="n"/>
      <c r="HC16">
        <f>97-SUMPRODUCT(MAX(($G$4:$HB$4="ح")*($G16:$HB16=TRUE)*(97-$G$47:$HB$47)))</f>
        <v>97</v>
      </c>
      <c r="HD16">
        <f>SUMPRODUCT(($G$4:$HB$4="ح")*($G16:$HB16=TRUE)*($G$47:$HB$47&gt;$HC$1-8))</f>
        <v>0</v>
      </c>
      <c r="HE16">
        <f>(COUNTIF($G16:$V16,TRUE)&gt;0)*($W16&lt;&gt;TRUE)+(COUNTIF($X16:$AM16,TRUE)&gt;0)*($AN16&lt;&gt;TRUE)+(COUNTIF($AO16:$BD16,TRUE)&gt;0)*($BE16&lt;&gt;TRUE)+(COUNTIF($BF16:$BU16,TRUE)&gt;0)*($BV16&lt;&gt;TRUE)+(COUNTIF($BW16:$CL16,TRUE)&gt;0)*($CM16&lt;&gt;TRUE)+(COUNTIF($CN16:$DC16,TRUE)&gt;0)*($DD16&lt;&gt;TRUE)+(COUNTIF($DE16:$DT16,TRUE)&gt;0)*($DU16&lt;&gt;TRUE)+(COUNTIF($DV16:$EK16,TRUE)&gt;0)*($EL16&lt;&gt;TRUE)+(COUNTIF($EM16:$FB16,TRUE)&gt;0)*($FC16&lt;&gt;TRUE)+(COUNTIF($FD16:$FS16,TRUE)&gt;0)*($FT16&lt;&gt;TRUE)+(COUNTIF($FU16:$GJ16,TRUE)&gt;0)*($GK16&lt;&gt;TRUE)+(COUNTIF($GL16:$HA16,TRUE)&gt;0)*($HB16&lt;&gt;TRUE)</f>
        <v>0</v>
      </c>
      <c r="HF16">
        <f>IF($HE16=0,0,13-MAX((COUNTIF($G16:$V16,TRUE)&gt;0)*($W16&lt;&gt;TRUE)*12,(COUNTIF($X16:$AM16,TRUE)&gt;0)*($AN16&lt;&gt;TRUE)*11,(COUNTIF($AO16:$BD16,TRUE)&gt;0)*($BE16&lt;&gt;TRUE)*10,(COUNTIF($BF16:$BU16,TRUE)&gt;0)*($BV16&lt;&gt;TRUE)*9,(COUNTIF($BW16:$CL16,TRUE)&gt;0)*($CM16&lt;&gt;TRUE)*8,(COUNTIF($CN16:$DC16,TRUE)&gt;0)*($DD16&lt;&gt;TRUE)*7,(COUNTIF($DE16:$DT16,TRUE)&gt;0)*($DU16&lt;&gt;TRUE)*6,(COUNTIF($DV16:$EK16,TRUE)&gt;0)*($EL16&lt;&gt;TRUE)*5,(COUNTIF($EM16:$FB16,TRUE)&gt;0)*($FC16&lt;&gt;TRUE)*4,(COUNTIF($FD16:$FS16,TRUE)&gt;0)*($FT16&lt;&gt;TRUE)*3,(COUNTIF($FU16:$GJ16,TRUE)&gt;0)*($GK16&lt;&gt;TRUE)*2,(COUNTIF($GL16:$HA16,TRUE)&gt;0)*($HB16&lt;&gt;TRUE)*1))</f>
        <v>0</v>
      </c>
    </row>
    <row r="17" ht="22.5" customHeight="1">
      <c r="A17" s="36" t="n">
        <v>13</v>
      </c>
      <c r="B17" s="97" t="n"/>
      <c r="C17" s="28" t="n"/>
      <c r="D17" s="98" t="str">
        <f>IF($B17="","",IF($HC17=97,"-",IF($HD17=0,"متوقف",SUMPRODUCT(($G$4:$HB$4="ح")*($G$20:$HB$20&gt;0)*($G17:$HB17&lt;&gt;TRUE)*($G$47:$HB$47&gt;$HC$1-8)*($G$47:$HB$47&gt;=$HC17)))))</f>
        <v/>
      </c>
      <c r="E17" s="98" t="str">
        <f>IF(OR($B17="",$HC17=97),"",SUMPRODUCT(($G$4:$HA$4="ح")*($G17:$HA17=TRUE)*($H17:$HB17&lt;&gt;TRUE)*($G$47:$HA$47&gt;$HC$1-8)))</f>
        <v/>
      </c>
      <c r="F17" s="99" t="str">
        <f>IF($B17="","",IF($HE17=0,IF($HC17=97,"-","تمام"),IF($HE17=1,IF(INDEX($G$1:$HB$1,1,17*($HF17-1)+1)="","شهر "&amp;$HF17,INDEX($G$1:$HB$1,1,17*($HF17-1)+1)),IF($HE17=2,"شهرين",$HE17&amp;" شهور"))))</f>
        <v/>
      </c>
      <c r="G17" s="100" t="n"/>
      <c r="H17" s="101" t="n"/>
      <c r="I17" s="100" t="n"/>
      <c r="J17" s="101" t="n"/>
      <c r="K17" s="100" t="n"/>
      <c r="L17" s="101" t="n"/>
      <c r="M17" s="100" t="n"/>
      <c r="N17" s="101" t="n"/>
      <c r="O17" s="100" t="n"/>
      <c r="P17" s="101" t="n"/>
      <c r="Q17" s="100" t="n"/>
      <c r="R17" s="101" t="n"/>
      <c r="S17" s="100" t="n"/>
      <c r="T17" s="101" t="n"/>
      <c r="U17" s="100" t="n"/>
      <c r="V17" s="101" t="n"/>
      <c r="W17" s="102" t="n"/>
      <c r="X17" s="103" t="n"/>
      <c r="Y17" s="104" t="n"/>
      <c r="Z17" s="103" t="n"/>
      <c r="AA17" s="104" t="n"/>
      <c r="AB17" s="103" t="n"/>
      <c r="AC17" s="104" t="n"/>
      <c r="AD17" s="103" t="n"/>
      <c r="AE17" s="104" t="n"/>
      <c r="AF17" s="103" t="n"/>
      <c r="AG17" s="104" t="n"/>
      <c r="AH17" s="103" t="n"/>
      <c r="AI17" s="104" t="n"/>
      <c r="AJ17" s="103" t="n"/>
      <c r="AK17" s="104" t="n"/>
      <c r="AL17" s="103" t="n"/>
      <c r="AM17" s="104" t="n"/>
      <c r="AN17" s="105" t="n"/>
      <c r="AO17" s="106" t="n"/>
      <c r="AP17" s="107" t="n"/>
      <c r="AQ17" s="106" t="n"/>
      <c r="AR17" s="107" t="n"/>
      <c r="AS17" s="106" t="n"/>
      <c r="AT17" s="107" t="n"/>
      <c r="AU17" s="106" t="n"/>
      <c r="AV17" s="107" t="n"/>
      <c r="AW17" s="106" t="n"/>
      <c r="AX17" s="107" t="n"/>
      <c r="AY17" s="106" t="n"/>
      <c r="AZ17" s="107" t="n"/>
      <c r="BA17" s="106" t="n"/>
      <c r="BB17" s="107" t="n"/>
      <c r="BC17" s="106" t="n"/>
      <c r="BD17" s="107" t="n"/>
      <c r="BE17" s="108" t="n"/>
      <c r="BF17" s="109" t="n"/>
      <c r="BG17" s="110" t="n"/>
      <c r="BH17" s="109" t="n"/>
      <c r="BI17" s="110" t="n"/>
      <c r="BJ17" s="109" t="n"/>
      <c r="BK17" s="110" t="n"/>
      <c r="BL17" s="109" t="n"/>
      <c r="BM17" s="110" t="n"/>
      <c r="BN17" s="109" t="n"/>
      <c r="BO17" s="110" t="n"/>
      <c r="BP17" s="109" t="n"/>
      <c r="BQ17" s="110" t="n"/>
      <c r="BR17" s="109" t="n"/>
      <c r="BS17" s="110" t="n"/>
      <c r="BT17" s="109" t="n"/>
      <c r="BU17" s="110" t="n"/>
      <c r="BV17" s="111" t="n"/>
      <c r="BW17" s="112" t="n"/>
      <c r="BX17" s="113" t="n"/>
      <c r="BY17" s="112" t="n"/>
      <c r="BZ17" s="113" t="n"/>
      <c r="CA17" s="112" t="n"/>
      <c r="CB17" s="113" t="n"/>
      <c r="CC17" s="112" t="n"/>
      <c r="CD17" s="113" t="n"/>
      <c r="CE17" s="112" t="n"/>
      <c r="CF17" s="113" t="n"/>
      <c r="CG17" s="112" t="n"/>
      <c r="CH17" s="113" t="n"/>
      <c r="CI17" s="112" t="n"/>
      <c r="CJ17" s="113" t="n"/>
      <c r="CK17" s="112" t="n"/>
      <c r="CL17" s="113" t="n"/>
      <c r="CM17" s="114" t="n"/>
      <c r="CN17" s="115" t="n"/>
      <c r="CO17" s="116" t="n"/>
      <c r="CP17" s="115" t="n"/>
      <c r="CQ17" s="116" t="n"/>
      <c r="CR17" s="115" t="n"/>
      <c r="CS17" s="116" t="n"/>
      <c r="CT17" s="115" t="n"/>
      <c r="CU17" s="116" t="n"/>
      <c r="CV17" s="115" t="n"/>
      <c r="CW17" s="116" t="n"/>
      <c r="CX17" s="115" t="n"/>
      <c r="CY17" s="116" t="n"/>
      <c r="CZ17" s="115" t="n"/>
      <c r="DA17" s="116" t="n"/>
      <c r="DB17" s="115" t="n"/>
      <c r="DC17" s="116" t="n"/>
      <c r="DD17" s="117" t="n"/>
      <c r="DE17" s="118" t="n"/>
      <c r="DF17" s="119" t="n"/>
      <c r="DG17" s="118" t="n"/>
      <c r="DH17" s="119" t="n"/>
      <c r="DI17" s="118" t="n"/>
      <c r="DJ17" s="119" t="n"/>
      <c r="DK17" s="118" t="n"/>
      <c r="DL17" s="119" t="n"/>
      <c r="DM17" s="118" t="n"/>
      <c r="DN17" s="119" t="n"/>
      <c r="DO17" s="118" t="n"/>
      <c r="DP17" s="119" t="n"/>
      <c r="DQ17" s="118" t="n"/>
      <c r="DR17" s="119" t="n"/>
      <c r="DS17" s="118" t="n"/>
      <c r="DT17" s="119" t="n"/>
      <c r="DU17" s="120" t="n"/>
      <c r="DV17" s="121" t="n"/>
      <c r="DW17" s="122" t="n"/>
      <c r="DX17" s="121" t="n"/>
      <c r="DY17" s="122" t="n"/>
      <c r="DZ17" s="121" t="n"/>
      <c r="EA17" s="122" t="n"/>
      <c r="EB17" s="121" t="n"/>
      <c r="EC17" s="122" t="n"/>
      <c r="ED17" s="121" t="n"/>
      <c r="EE17" s="122" t="n"/>
      <c r="EF17" s="121" t="n"/>
      <c r="EG17" s="122" t="n"/>
      <c r="EH17" s="121" t="n"/>
      <c r="EI17" s="122" t="n"/>
      <c r="EJ17" s="121" t="n"/>
      <c r="EK17" s="122" t="n"/>
      <c r="EL17" s="123" t="n"/>
      <c r="EM17" s="124" t="n"/>
      <c r="EN17" s="125" t="n"/>
      <c r="EO17" s="124" t="n"/>
      <c r="EP17" s="125" t="n"/>
      <c r="EQ17" s="124" t="n"/>
      <c r="ER17" s="125" t="n"/>
      <c r="ES17" s="124" t="n"/>
      <c r="ET17" s="125" t="n"/>
      <c r="EU17" s="124" t="n"/>
      <c r="EV17" s="125" t="n"/>
      <c r="EW17" s="124" t="n"/>
      <c r="EX17" s="125" t="n"/>
      <c r="EY17" s="124" t="n"/>
      <c r="EZ17" s="125" t="n"/>
      <c r="FA17" s="124" t="n"/>
      <c r="FB17" s="125" t="n"/>
      <c r="FC17" s="126" t="n"/>
      <c r="FD17" s="127" t="n"/>
      <c r="FE17" s="128" t="n"/>
      <c r="FF17" s="127" t="n"/>
      <c r="FG17" s="128" t="n"/>
      <c r="FH17" s="127" t="n"/>
      <c r="FI17" s="128" t="n"/>
      <c r="FJ17" s="127" t="n"/>
      <c r="FK17" s="128" t="n"/>
      <c r="FL17" s="127" t="n"/>
      <c r="FM17" s="128" t="n"/>
      <c r="FN17" s="127" t="n"/>
      <c r="FO17" s="128" t="n"/>
      <c r="FP17" s="127" t="n"/>
      <c r="FQ17" s="128" t="n"/>
      <c r="FR17" s="127" t="n"/>
      <c r="FS17" s="128" t="n"/>
      <c r="FT17" s="129" t="n"/>
      <c r="FU17" s="130" t="n"/>
      <c r="FV17" s="131" t="n"/>
      <c r="FW17" s="130" t="n"/>
      <c r="FX17" s="131" t="n"/>
      <c r="FY17" s="130" t="n"/>
      <c r="FZ17" s="131" t="n"/>
      <c r="GA17" s="130" t="n"/>
      <c r="GB17" s="131" t="n"/>
      <c r="GC17" s="130" t="n"/>
      <c r="GD17" s="131" t="n"/>
      <c r="GE17" s="130" t="n"/>
      <c r="GF17" s="131" t="n"/>
      <c r="GG17" s="130" t="n"/>
      <c r="GH17" s="131" t="n"/>
      <c r="GI17" s="130" t="n"/>
      <c r="GJ17" s="131" t="n"/>
      <c r="GK17" s="132" t="n"/>
      <c r="GL17" s="133" t="n"/>
      <c r="GM17" s="134" t="n"/>
      <c r="GN17" s="133" t="n"/>
      <c r="GO17" s="134" t="n"/>
      <c r="GP17" s="133" t="n"/>
      <c r="GQ17" s="134" t="n"/>
      <c r="GR17" s="133" t="n"/>
      <c r="GS17" s="134" t="n"/>
      <c r="GT17" s="133" t="n"/>
      <c r="GU17" s="134" t="n"/>
      <c r="GV17" s="133" t="n"/>
      <c r="GW17" s="134" t="n"/>
      <c r="GX17" s="133" t="n"/>
      <c r="GY17" s="134" t="n"/>
      <c r="GZ17" s="133" t="n"/>
      <c r="HA17" s="134" t="n"/>
      <c r="HB17" s="135" t="n"/>
      <c r="HC17">
        <f>97-SUMPRODUCT(MAX(($G$4:$HB$4="ح")*($G17:$HB17=TRUE)*(97-$G$47:$HB$47)))</f>
        <v>97</v>
      </c>
      <c r="HD17">
        <f>SUMPRODUCT(($G$4:$HB$4="ح")*($G17:$HB17=TRUE)*($G$47:$HB$47&gt;$HC$1-8))</f>
        <v>0</v>
      </c>
      <c r="HE17">
        <f>(COUNTIF($G17:$V17,TRUE)&gt;0)*($W17&lt;&gt;TRUE)+(COUNTIF($X17:$AM17,TRUE)&gt;0)*($AN17&lt;&gt;TRUE)+(COUNTIF($AO17:$BD17,TRUE)&gt;0)*($BE17&lt;&gt;TRUE)+(COUNTIF($BF17:$BU17,TRUE)&gt;0)*($BV17&lt;&gt;TRUE)+(COUNTIF($BW17:$CL17,TRUE)&gt;0)*($CM17&lt;&gt;TRUE)+(COUNTIF($CN17:$DC17,TRUE)&gt;0)*($DD17&lt;&gt;TRUE)+(COUNTIF($DE17:$DT17,TRUE)&gt;0)*($DU17&lt;&gt;TRUE)+(COUNTIF($DV17:$EK17,TRUE)&gt;0)*($EL17&lt;&gt;TRUE)+(COUNTIF($EM17:$FB17,TRUE)&gt;0)*($FC17&lt;&gt;TRUE)+(COUNTIF($FD17:$FS17,TRUE)&gt;0)*($FT17&lt;&gt;TRUE)+(COUNTIF($FU17:$GJ17,TRUE)&gt;0)*($GK17&lt;&gt;TRUE)+(COUNTIF($GL17:$HA17,TRUE)&gt;0)*($HB17&lt;&gt;TRUE)</f>
        <v>0</v>
      </c>
      <c r="HF17">
        <f>IF($HE17=0,0,13-MAX((COUNTIF($G17:$V17,TRUE)&gt;0)*($W17&lt;&gt;TRUE)*12,(COUNTIF($X17:$AM17,TRUE)&gt;0)*($AN17&lt;&gt;TRUE)*11,(COUNTIF($AO17:$BD17,TRUE)&gt;0)*($BE17&lt;&gt;TRUE)*10,(COUNTIF($BF17:$BU17,TRUE)&gt;0)*($BV17&lt;&gt;TRUE)*9,(COUNTIF($BW17:$CL17,TRUE)&gt;0)*($CM17&lt;&gt;TRUE)*8,(COUNTIF($CN17:$DC17,TRUE)&gt;0)*($DD17&lt;&gt;TRUE)*7,(COUNTIF($DE17:$DT17,TRUE)&gt;0)*($DU17&lt;&gt;TRUE)*6,(COUNTIF($DV17:$EK17,TRUE)&gt;0)*($EL17&lt;&gt;TRUE)*5,(COUNTIF($EM17:$FB17,TRUE)&gt;0)*($FC17&lt;&gt;TRUE)*4,(COUNTIF($FD17:$FS17,TRUE)&gt;0)*($FT17&lt;&gt;TRUE)*3,(COUNTIF($FU17:$GJ17,TRUE)&gt;0)*($GK17&lt;&gt;TRUE)*2,(COUNTIF($GL17:$HA17,TRUE)&gt;0)*($HB17&lt;&gt;TRUE)*1))</f>
        <v>0</v>
      </c>
    </row>
    <row r="18" ht="22.5" customHeight="1">
      <c r="A18" s="36" t="n">
        <v>14</v>
      </c>
      <c r="B18" s="97" t="n"/>
      <c r="C18" s="28" t="n"/>
      <c r="D18" s="98" t="str">
        <f>IF($B18="","",IF($HC18=97,"-",IF($HD18=0,"متوقف",SUMPRODUCT(($G$4:$HB$4="ح")*($G$20:$HB$20&gt;0)*($G18:$HB18&lt;&gt;TRUE)*($G$47:$HB$47&gt;$HC$1-8)*($G$47:$HB$47&gt;=$HC18)))))</f>
        <v/>
      </c>
      <c r="E18" s="98" t="str">
        <f>IF(OR($B18="",$HC18=97),"",SUMPRODUCT(($G$4:$HA$4="ح")*($G18:$HA18=TRUE)*($H18:$HB18&lt;&gt;TRUE)*($G$47:$HA$47&gt;$HC$1-8)))</f>
        <v/>
      </c>
      <c r="F18" s="99" t="str">
        <f>IF($B18="","",IF($HE18=0,IF($HC18=97,"-","تمام"),IF($HE18=1,IF(INDEX($G$1:$HB$1,1,17*($HF18-1)+1)="","شهر "&amp;$HF18,INDEX($G$1:$HB$1,1,17*($HF18-1)+1)),IF($HE18=2,"شهرين",$HE18&amp;" شهور"))))</f>
        <v/>
      </c>
      <c r="G18" s="100" t="n"/>
      <c r="H18" s="101" t="n"/>
      <c r="I18" s="100" t="n"/>
      <c r="J18" s="101" t="n"/>
      <c r="K18" s="100" t="n"/>
      <c r="L18" s="101" t="n"/>
      <c r="M18" s="100" t="n"/>
      <c r="N18" s="101" t="n"/>
      <c r="O18" s="100" t="n"/>
      <c r="P18" s="101" t="n"/>
      <c r="Q18" s="100" t="n"/>
      <c r="R18" s="101" t="n"/>
      <c r="S18" s="100" t="n"/>
      <c r="T18" s="101" t="n"/>
      <c r="U18" s="100" t="n"/>
      <c r="V18" s="101" t="n"/>
      <c r="W18" s="102" t="n"/>
      <c r="X18" s="103" t="n"/>
      <c r="Y18" s="104" t="n"/>
      <c r="Z18" s="103" t="n"/>
      <c r="AA18" s="104" t="n"/>
      <c r="AB18" s="103" t="n"/>
      <c r="AC18" s="104" t="n"/>
      <c r="AD18" s="103" t="n"/>
      <c r="AE18" s="104" t="n"/>
      <c r="AF18" s="103" t="n"/>
      <c r="AG18" s="104" t="n"/>
      <c r="AH18" s="103" t="n"/>
      <c r="AI18" s="104" t="n"/>
      <c r="AJ18" s="103" t="n"/>
      <c r="AK18" s="104" t="n"/>
      <c r="AL18" s="103" t="n"/>
      <c r="AM18" s="104" t="n"/>
      <c r="AN18" s="105" t="n"/>
      <c r="AO18" s="106" t="n"/>
      <c r="AP18" s="107" t="n"/>
      <c r="AQ18" s="106" t="n"/>
      <c r="AR18" s="107" t="n"/>
      <c r="AS18" s="106" t="n"/>
      <c r="AT18" s="107" t="n"/>
      <c r="AU18" s="106" t="n"/>
      <c r="AV18" s="107" t="n"/>
      <c r="AW18" s="106" t="n"/>
      <c r="AX18" s="107" t="n"/>
      <c r="AY18" s="106" t="n"/>
      <c r="AZ18" s="107" t="n"/>
      <c r="BA18" s="106" t="n"/>
      <c r="BB18" s="107" t="n"/>
      <c r="BC18" s="106" t="n"/>
      <c r="BD18" s="107" t="n"/>
      <c r="BE18" s="108" t="n"/>
      <c r="BF18" s="109" t="n"/>
      <c r="BG18" s="110" t="n"/>
      <c r="BH18" s="109" t="n"/>
      <c r="BI18" s="110" t="n"/>
      <c r="BJ18" s="109" t="n"/>
      <c r="BK18" s="110" t="n"/>
      <c r="BL18" s="109" t="n"/>
      <c r="BM18" s="110" t="n"/>
      <c r="BN18" s="109" t="n"/>
      <c r="BO18" s="110" t="n"/>
      <c r="BP18" s="109" t="n"/>
      <c r="BQ18" s="110" t="n"/>
      <c r="BR18" s="109" t="n"/>
      <c r="BS18" s="110" t="n"/>
      <c r="BT18" s="109" t="n"/>
      <c r="BU18" s="110" t="n"/>
      <c r="BV18" s="111" t="n"/>
      <c r="BW18" s="112" t="n"/>
      <c r="BX18" s="113" t="n"/>
      <c r="BY18" s="112" t="n"/>
      <c r="BZ18" s="113" t="n"/>
      <c r="CA18" s="112" t="n"/>
      <c r="CB18" s="113" t="n"/>
      <c r="CC18" s="112" t="n"/>
      <c r="CD18" s="113" t="n"/>
      <c r="CE18" s="112" t="n"/>
      <c r="CF18" s="113" t="n"/>
      <c r="CG18" s="112" t="n"/>
      <c r="CH18" s="113" t="n"/>
      <c r="CI18" s="112" t="n"/>
      <c r="CJ18" s="113" t="n"/>
      <c r="CK18" s="112" t="n"/>
      <c r="CL18" s="113" t="n"/>
      <c r="CM18" s="114" t="n"/>
      <c r="CN18" s="115" t="n"/>
      <c r="CO18" s="116" t="n"/>
      <c r="CP18" s="115" t="n"/>
      <c r="CQ18" s="116" t="n"/>
      <c r="CR18" s="115" t="n"/>
      <c r="CS18" s="116" t="n"/>
      <c r="CT18" s="115" t="n"/>
      <c r="CU18" s="116" t="n"/>
      <c r="CV18" s="115" t="n"/>
      <c r="CW18" s="116" t="n"/>
      <c r="CX18" s="115" t="n"/>
      <c r="CY18" s="116" t="n"/>
      <c r="CZ18" s="115" t="n"/>
      <c r="DA18" s="116" t="n"/>
      <c r="DB18" s="115" t="n"/>
      <c r="DC18" s="116" t="n"/>
      <c r="DD18" s="117" t="n"/>
      <c r="DE18" s="118" t="n"/>
      <c r="DF18" s="119" t="n"/>
      <c r="DG18" s="118" t="n"/>
      <c r="DH18" s="119" t="n"/>
      <c r="DI18" s="118" t="n"/>
      <c r="DJ18" s="119" t="n"/>
      <c r="DK18" s="118" t="n"/>
      <c r="DL18" s="119" t="n"/>
      <c r="DM18" s="118" t="n"/>
      <c r="DN18" s="119" t="n"/>
      <c r="DO18" s="118" t="n"/>
      <c r="DP18" s="119" t="n"/>
      <c r="DQ18" s="118" t="n"/>
      <c r="DR18" s="119" t="n"/>
      <c r="DS18" s="118" t="n"/>
      <c r="DT18" s="119" t="n"/>
      <c r="DU18" s="120" t="n"/>
      <c r="DV18" s="121" t="n"/>
      <c r="DW18" s="122" t="n"/>
      <c r="DX18" s="121" t="n"/>
      <c r="DY18" s="122" t="n"/>
      <c r="DZ18" s="121" t="n"/>
      <c r="EA18" s="122" t="n"/>
      <c r="EB18" s="121" t="n"/>
      <c r="EC18" s="122" t="n"/>
      <c r="ED18" s="121" t="n"/>
      <c r="EE18" s="122" t="n"/>
      <c r="EF18" s="121" t="n"/>
      <c r="EG18" s="122" t="n"/>
      <c r="EH18" s="121" t="n"/>
      <c r="EI18" s="122" t="n"/>
      <c r="EJ18" s="121" t="n"/>
      <c r="EK18" s="122" t="n"/>
      <c r="EL18" s="123" t="n"/>
      <c r="EM18" s="124" t="n"/>
      <c r="EN18" s="125" t="n"/>
      <c r="EO18" s="124" t="n"/>
      <c r="EP18" s="125" t="n"/>
      <c r="EQ18" s="124" t="n"/>
      <c r="ER18" s="125" t="n"/>
      <c r="ES18" s="124" t="n"/>
      <c r="ET18" s="125" t="n"/>
      <c r="EU18" s="124" t="n"/>
      <c r="EV18" s="125" t="n"/>
      <c r="EW18" s="124" t="n"/>
      <c r="EX18" s="125" t="n"/>
      <c r="EY18" s="124" t="n"/>
      <c r="EZ18" s="125" t="n"/>
      <c r="FA18" s="124" t="n"/>
      <c r="FB18" s="125" t="n"/>
      <c r="FC18" s="126" t="n"/>
      <c r="FD18" s="127" t="n"/>
      <c r="FE18" s="128" t="n"/>
      <c r="FF18" s="127" t="n"/>
      <c r="FG18" s="128" t="n"/>
      <c r="FH18" s="127" t="n"/>
      <c r="FI18" s="128" t="n"/>
      <c r="FJ18" s="127" t="n"/>
      <c r="FK18" s="128" t="n"/>
      <c r="FL18" s="127" t="n"/>
      <c r="FM18" s="128" t="n"/>
      <c r="FN18" s="127" t="n"/>
      <c r="FO18" s="128" t="n"/>
      <c r="FP18" s="127" t="n"/>
      <c r="FQ18" s="128" t="n"/>
      <c r="FR18" s="127" t="n"/>
      <c r="FS18" s="128" t="n"/>
      <c r="FT18" s="129" t="n"/>
      <c r="FU18" s="130" t="n"/>
      <c r="FV18" s="131" t="n"/>
      <c r="FW18" s="130" t="n"/>
      <c r="FX18" s="131" t="n"/>
      <c r="FY18" s="130" t="n"/>
      <c r="FZ18" s="131" t="n"/>
      <c r="GA18" s="130" t="n"/>
      <c r="GB18" s="131" t="n"/>
      <c r="GC18" s="130" t="n"/>
      <c r="GD18" s="131" t="n"/>
      <c r="GE18" s="130" t="n"/>
      <c r="GF18" s="131" t="n"/>
      <c r="GG18" s="130" t="n"/>
      <c r="GH18" s="131" t="n"/>
      <c r="GI18" s="130" t="n"/>
      <c r="GJ18" s="131" t="n"/>
      <c r="GK18" s="132" t="n"/>
      <c r="GL18" s="133" t="n"/>
      <c r="GM18" s="134" t="n"/>
      <c r="GN18" s="133" t="n"/>
      <c r="GO18" s="134" t="n"/>
      <c r="GP18" s="133" t="n"/>
      <c r="GQ18" s="134" t="n"/>
      <c r="GR18" s="133" t="n"/>
      <c r="GS18" s="134" t="n"/>
      <c r="GT18" s="133" t="n"/>
      <c r="GU18" s="134" t="n"/>
      <c r="GV18" s="133" t="n"/>
      <c r="GW18" s="134" t="n"/>
      <c r="GX18" s="133" t="n"/>
      <c r="GY18" s="134" t="n"/>
      <c r="GZ18" s="133" t="n"/>
      <c r="HA18" s="134" t="n"/>
      <c r="HB18" s="135" t="n"/>
      <c r="HC18">
        <f>97-SUMPRODUCT(MAX(($G$4:$HB$4="ح")*($G18:$HB18=TRUE)*(97-$G$47:$HB$47)))</f>
        <v>97</v>
      </c>
      <c r="HD18">
        <f>SUMPRODUCT(($G$4:$HB$4="ح")*($G18:$HB18=TRUE)*($G$47:$HB$47&gt;$HC$1-8))</f>
        <v>0</v>
      </c>
      <c r="HE18">
        <f>(COUNTIF($G18:$V18,TRUE)&gt;0)*($W18&lt;&gt;TRUE)+(COUNTIF($X18:$AM18,TRUE)&gt;0)*($AN18&lt;&gt;TRUE)+(COUNTIF($AO18:$BD18,TRUE)&gt;0)*($BE18&lt;&gt;TRUE)+(COUNTIF($BF18:$BU18,TRUE)&gt;0)*($BV18&lt;&gt;TRUE)+(COUNTIF($BW18:$CL18,TRUE)&gt;0)*($CM18&lt;&gt;TRUE)+(COUNTIF($CN18:$DC18,TRUE)&gt;0)*($DD18&lt;&gt;TRUE)+(COUNTIF($DE18:$DT18,TRUE)&gt;0)*($DU18&lt;&gt;TRUE)+(COUNTIF($DV18:$EK18,TRUE)&gt;0)*($EL18&lt;&gt;TRUE)+(COUNTIF($EM18:$FB18,TRUE)&gt;0)*($FC18&lt;&gt;TRUE)+(COUNTIF($FD18:$FS18,TRUE)&gt;0)*($FT18&lt;&gt;TRUE)+(COUNTIF($FU18:$GJ18,TRUE)&gt;0)*($GK18&lt;&gt;TRUE)+(COUNTIF($GL18:$HA18,TRUE)&gt;0)*($HB18&lt;&gt;TRUE)</f>
        <v>0</v>
      </c>
      <c r="HF18">
        <f>IF($HE18=0,0,13-MAX((COUNTIF($G18:$V18,TRUE)&gt;0)*($W18&lt;&gt;TRUE)*12,(COUNTIF($X18:$AM18,TRUE)&gt;0)*($AN18&lt;&gt;TRUE)*11,(COUNTIF($AO18:$BD18,TRUE)&gt;0)*($BE18&lt;&gt;TRUE)*10,(COUNTIF($BF18:$BU18,TRUE)&gt;0)*($BV18&lt;&gt;TRUE)*9,(COUNTIF($BW18:$CL18,TRUE)&gt;0)*($CM18&lt;&gt;TRUE)*8,(COUNTIF($CN18:$DC18,TRUE)&gt;0)*($DD18&lt;&gt;TRUE)*7,(COUNTIF($DE18:$DT18,TRUE)&gt;0)*($DU18&lt;&gt;TRUE)*6,(COUNTIF($DV18:$EK18,TRUE)&gt;0)*($EL18&lt;&gt;TRUE)*5,(COUNTIF($EM18:$FB18,TRUE)&gt;0)*($FC18&lt;&gt;TRUE)*4,(COUNTIF($FD18:$FS18,TRUE)&gt;0)*($FT18&lt;&gt;TRUE)*3,(COUNTIF($FU18:$GJ18,TRUE)&gt;0)*($GK18&lt;&gt;TRUE)*2,(COUNTIF($GL18:$HA18,TRUE)&gt;0)*($HB18&lt;&gt;TRUE)*1))</f>
        <v>0</v>
      </c>
    </row>
    <row r="19" ht="22.5" customHeight="1">
      <c r="A19" s="36" t="n">
        <v>15</v>
      </c>
      <c r="B19" s="97" t="n"/>
      <c r="C19" s="28" t="n"/>
      <c r="D19" s="98" t="str">
        <f>IF($B19="","",IF($HC19=97,"-",IF($HD19=0,"متوقف",SUMPRODUCT(($G$4:$HB$4="ح")*($G$20:$HB$20&gt;0)*($G19:$HB19&lt;&gt;TRUE)*($G$47:$HB$47&gt;$HC$1-8)*($G$47:$HB$47&gt;=$HC19)))))</f>
        <v/>
      </c>
      <c r="E19" s="98" t="str">
        <f>IF(OR($B19="",$HC19=97),"",SUMPRODUCT(($G$4:$HA$4="ح")*($G19:$HA19=TRUE)*($H19:$HB19&lt;&gt;TRUE)*($G$47:$HA$47&gt;$HC$1-8)))</f>
        <v/>
      </c>
      <c r="F19" s="99" t="str">
        <f>IF($B19="","",IF($HE19=0,IF($HC19=97,"-","تمام"),IF($HE19=1,IF(INDEX($G$1:$HB$1,1,17*($HF19-1)+1)="","شهر "&amp;$HF19,INDEX($G$1:$HB$1,1,17*($HF19-1)+1)),IF($HE19=2,"شهرين",$HE19&amp;" شهور"))))</f>
        <v/>
      </c>
      <c r="G19" s="100" t="n"/>
      <c r="H19" s="101" t="n"/>
      <c r="I19" s="100" t="n"/>
      <c r="J19" s="101" t="n"/>
      <c r="K19" s="100" t="n"/>
      <c r="L19" s="101" t="n"/>
      <c r="M19" s="100" t="n"/>
      <c r="N19" s="101" t="n"/>
      <c r="O19" s="100" t="n"/>
      <c r="P19" s="101" t="n"/>
      <c r="Q19" s="100" t="n"/>
      <c r="R19" s="101" t="n"/>
      <c r="S19" s="100" t="n"/>
      <c r="T19" s="101" t="n"/>
      <c r="U19" s="100" t="n"/>
      <c r="V19" s="101" t="n"/>
      <c r="W19" s="102" t="n"/>
      <c r="X19" s="103" t="n"/>
      <c r="Y19" s="104" t="n"/>
      <c r="Z19" s="103" t="n"/>
      <c r="AA19" s="104" t="n"/>
      <c r="AB19" s="103" t="n"/>
      <c r="AC19" s="104" t="n"/>
      <c r="AD19" s="103" t="n"/>
      <c r="AE19" s="104" t="n"/>
      <c r="AF19" s="103" t="n"/>
      <c r="AG19" s="104" t="n"/>
      <c r="AH19" s="103" t="n"/>
      <c r="AI19" s="104" t="n"/>
      <c r="AJ19" s="103" t="n"/>
      <c r="AK19" s="104" t="n"/>
      <c r="AL19" s="103" t="n"/>
      <c r="AM19" s="104" t="n"/>
      <c r="AN19" s="105" t="n"/>
      <c r="AO19" s="106" t="n"/>
      <c r="AP19" s="107" t="n"/>
      <c r="AQ19" s="106" t="n"/>
      <c r="AR19" s="107" t="n"/>
      <c r="AS19" s="106" t="n"/>
      <c r="AT19" s="107" t="n"/>
      <c r="AU19" s="106" t="n"/>
      <c r="AV19" s="107" t="n"/>
      <c r="AW19" s="106" t="n"/>
      <c r="AX19" s="107" t="n"/>
      <c r="AY19" s="106" t="n"/>
      <c r="AZ19" s="107" t="n"/>
      <c r="BA19" s="106" t="n"/>
      <c r="BB19" s="107" t="n"/>
      <c r="BC19" s="106" t="n"/>
      <c r="BD19" s="107" t="n"/>
      <c r="BE19" s="108" t="n"/>
      <c r="BF19" s="109" t="n"/>
      <c r="BG19" s="110" t="n"/>
      <c r="BH19" s="109" t="n"/>
      <c r="BI19" s="110" t="n"/>
      <c r="BJ19" s="109" t="n"/>
      <c r="BK19" s="110" t="n"/>
      <c r="BL19" s="109" t="n"/>
      <c r="BM19" s="110" t="n"/>
      <c r="BN19" s="109" t="n"/>
      <c r="BO19" s="110" t="n"/>
      <c r="BP19" s="109" t="n"/>
      <c r="BQ19" s="110" t="n"/>
      <c r="BR19" s="109" t="n"/>
      <c r="BS19" s="110" t="n"/>
      <c r="BT19" s="109" t="n"/>
      <c r="BU19" s="110" t="n"/>
      <c r="BV19" s="111" t="n"/>
      <c r="BW19" s="112" t="n"/>
      <c r="BX19" s="113" t="n"/>
      <c r="BY19" s="112" t="n"/>
      <c r="BZ19" s="113" t="n"/>
      <c r="CA19" s="112" t="n"/>
      <c r="CB19" s="113" t="n"/>
      <c r="CC19" s="112" t="n"/>
      <c r="CD19" s="113" t="n"/>
      <c r="CE19" s="112" t="n"/>
      <c r="CF19" s="113" t="n"/>
      <c r="CG19" s="112" t="n"/>
      <c r="CH19" s="113" t="n"/>
      <c r="CI19" s="112" t="n"/>
      <c r="CJ19" s="113" t="n"/>
      <c r="CK19" s="112" t="n"/>
      <c r="CL19" s="113" t="n"/>
      <c r="CM19" s="114" t="n"/>
      <c r="CN19" s="115" t="n"/>
      <c r="CO19" s="116" t="n"/>
      <c r="CP19" s="115" t="n"/>
      <c r="CQ19" s="116" t="n"/>
      <c r="CR19" s="115" t="n"/>
      <c r="CS19" s="116" t="n"/>
      <c r="CT19" s="115" t="n"/>
      <c r="CU19" s="116" t="n"/>
      <c r="CV19" s="115" t="n"/>
      <c r="CW19" s="116" t="n"/>
      <c r="CX19" s="115" t="n"/>
      <c r="CY19" s="116" t="n"/>
      <c r="CZ19" s="115" t="n"/>
      <c r="DA19" s="116" t="n"/>
      <c r="DB19" s="115" t="n"/>
      <c r="DC19" s="116" t="n"/>
      <c r="DD19" s="117" t="n"/>
      <c r="DE19" s="118" t="n"/>
      <c r="DF19" s="119" t="n"/>
      <c r="DG19" s="118" t="n"/>
      <c r="DH19" s="119" t="n"/>
      <c r="DI19" s="118" t="n"/>
      <c r="DJ19" s="119" t="n"/>
      <c r="DK19" s="118" t="n"/>
      <c r="DL19" s="119" t="n"/>
      <c r="DM19" s="118" t="n"/>
      <c r="DN19" s="119" t="n"/>
      <c r="DO19" s="118" t="n"/>
      <c r="DP19" s="119" t="n"/>
      <c r="DQ19" s="118" t="n"/>
      <c r="DR19" s="119" t="n"/>
      <c r="DS19" s="118" t="n"/>
      <c r="DT19" s="119" t="n"/>
      <c r="DU19" s="120" t="n"/>
      <c r="DV19" s="121" t="n"/>
      <c r="DW19" s="122" t="n"/>
      <c r="DX19" s="121" t="n"/>
      <c r="DY19" s="122" t="n"/>
      <c r="DZ19" s="121" t="n"/>
      <c r="EA19" s="122" t="n"/>
      <c r="EB19" s="121" t="n"/>
      <c r="EC19" s="122" t="n"/>
      <c r="ED19" s="121" t="n"/>
      <c r="EE19" s="122" t="n"/>
      <c r="EF19" s="121" t="n"/>
      <c r="EG19" s="122" t="n"/>
      <c r="EH19" s="121" t="n"/>
      <c r="EI19" s="122" t="n"/>
      <c r="EJ19" s="121" t="n"/>
      <c r="EK19" s="122" t="n"/>
      <c r="EL19" s="123" t="n"/>
      <c r="EM19" s="124" t="n"/>
      <c r="EN19" s="125" t="n"/>
      <c r="EO19" s="124" t="n"/>
      <c r="EP19" s="125" t="n"/>
      <c r="EQ19" s="124" t="n"/>
      <c r="ER19" s="125" t="n"/>
      <c r="ES19" s="124" t="n"/>
      <c r="ET19" s="125" t="n"/>
      <c r="EU19" s="124" t="n"/>
      <c r="EV19" s="125" t="n"/>
      <c r="EW19" s="124" t="n"/>
      <c r="EX19" s="125" t="n"/>
      <c r="EY19" s="124" t="n"/>
      <c r="EZ19" s="125" t="n"/>
      <c r="FA19" s="124" t="n"/>
      <c r="FB19" s="125" t="n"/>
      <c r="FC19" s="126" t="n"/>
      <c r="FD19" s="127" t="n"/>
      <c r="FE19" s="128" t="n"/>
      <c r="FF19" s="127" t="n"/>
      <c r="FG19" s="128" t="n"/>
      <c r="FH19" s="127" t="n"/>
      <c r="FI19" s="128" t="n"/>
      <c r="FJ19" s="127" t="n"/>
      <c r="FK19" s="128" t="n"/>
      <c r="FL19" s="127" t="n"/>
      <c r="FM19" s="128" t="n"/>
      <c r="FN19" s="127" t="n"/>
      <c r="FO19" s="128" t="n"/>
      <c r="FP19" s="127" t="n"/>
      <c r="FQ19" s="128" t="n"/>
      <c r="FR19" s="127" t="n"/>
      <c r="FS19" s="128" t="n"/>
      <c r="FT19" s="129" t="n"/>
      <c r="FU19" s="130" t="n"/>
      <c r="FV19" s="131" t="n"/>
      <c r="FW19" s="130" t="n"/>
      <c r="FX19" s="131" t="n"/>
      <c r="FY19" s="130" t="n"/>
      <c r="FZ19" s="131" t="n"/>
      <c r="GA19" s="130" t="n"/>
      <c r="GB19" s="131" t="n"/>
      <c r="GC19" s="130" t="n"/>
      <c r="GD19" s="131" t="n"/>
      <c r="GE19" s="130" t="n"/>
      <c r="GF19" s="131" t="n"/>
      <c r="GG19" s="130" t="n"/>
      <c r="GH19" s="131" t="n"/>
      <c r="GI19" s="130" t="n"/>
      <c r="GJ19" s="131" t="n"/>
      <c r="GK19" s="132" t="n"/>
      <c r="GL19" s="133" t="n"/>
      <c r="GM19" s="134" t="n"/>
      <c r="GN19" s="133" t="n"/>
      <c r="GO19" s="134" t="n"/>
      <c r="GP19" s="133" t="n"/>
      <c r="GQ19" s="134" t="n"/>
      <c r="GR19" s="133" t="n"/>
      <c r="GS19" s="134" t="n"/>
      <c r="GT19" s="133" t="n"/>
      <c r="GU19" s="134" t="n"/>
      <c r="GV19" s="133" t="n"/>
      <c r="GW19" s="134" t="n"/>
      <c r="GX19" s="133" t="n"/>
      <c r="GY19" s="134" t="n"/>
      <c r="GZ19" s="133" t="n"/>
      <c r="HA19" s="134" t="n"/>
      <c r="HB19" s="135" t="n"/>
      <c r="HC19">
        <f>97-SUMPRODUCT(MAX(($G$4:$HB$4="ح")*($G19:$HB19=TRUE)*(97-$G$47:$HB$47)))</f>
        <v>97</v>
      </c>
      <c r="HD19">
        <f>SUMPRODUCT(($G$4:$HB$4="ح")*($G19:$HB19=TRUE)*($G$47:$HB$47&gt;$HC$1-8))</f>
        <v>0</v>
      </c>
      <c r="HE19">
        <f>(COUNTIF($G19:$V19,TRUE)&gt;0)*($W19&lt;&gt;TRUE)+(COUNTIF($X19:$AM19,TRUE)&gt;0)*($AN19&lt;&gt;TRUE)+(COUNTIF($AO19:$BD19,TRUE)&gt;0)*($BE19&lt;&gt;TRUE)+(COUNTIF($BF19:$BU19,TRUE)&gt;0)*($BV19&lt;&gt;TRUE)+(COUNTIF($BW19:$CL19,TRUE)&gt;0)*($CM19&lt;&gt;TRUE)+(COUNTIF($CN19:$DC19,TRUE)&gt;0)*($DD19&lt;&gt;TRUE)+(COUNTIF($DE19:$DT19,TRUE)&gt;0)*($DU19&lt;&gt;TRUE)+(COUNTIF($DV19:$EK19,TRUE)&gt;0)*($EL19&lt;&gt;TRUE)+(COUNTIF($EM19:$FB19,TRUE)&gt;0)*($FC19&lt;&gt;TRUE)+(COUNTIF($FD19:$FS19,TRUE)&gt;0)*($FT19&lt;&gt;TRUE)+(COUNTIF($FU19:$GJ19,TRUE)&gt;0)*($GK19&lt;&gt;TRUE)+(COUNTIF($GL19:$HA19,TRUE)&gt;0)*($HB19&lt;&gt;TRUE)</f>
        <v>0</v>
      </c>
      <c r="HF19">
        <f>IF($HE19=0,0,13-MAX((COUNTIF($G19:$V19,TRUE)&gt;0)*($W19&lt;&gt;TRUE)*12,(COUNTIF($X19:$AM19,TRUE)&gt;0)*($AN19&lt;&gt;TRUE)*11,(COUNTIF($AO19:$BD19,TRUE)&gt;0)*($BE19&lt;&gt;TRUE)*10,(COUNTIF($BF19:$BU19,TRUE)&gt;0)*($BV19&lt;&gt;TRUE)*9,(COUNTIF($BW19:$CL19,TRUE)&gt;0)*($CM19&lt;&gt;TRUE)*8,(COUNTIF($CN19:$DC19,TRUE)&gt;0)*($DD19&lt;&gt;TRUE)*7,(COUNTIF($DE19:$DT19,TRUE)&gt;0)*($DU19&lt;&gt;TRUE)*6,(COUNTIF($DV19:$EK19,TRUE)&gt;0)*($EL19&lt;&gt;TRUE)*5,(COUNTIF($EM19:$FB19,TRUE)&gt;0)*($FC19&lt;&gt;TRUE)*4,(COUNTIF($FD19:$FS19,TRUE)&gt;0)*($FT19&lt;&gt;TRUE)*3,(COUNTIF($FU19:$GJ19,TRUE)&gt;0)*($GK19&lt;&gt;TRUE)*2,(COUNTIF($GL19:$HA19,TRUE)&gt;0)*($HB19&lt;&gt;TRUE)*1))</f>
        <v>0</v>
      </c>
    </row>
    <row r="20" ht="16.5" customHeight="1">
      <c r="A20" s="36" t="inlineStr">
        <is>
          <t>العدد</t>
        </is>
      </c>
      <c r="B20" s="4" t="n"/>
      <c r="C20" s="136" t="n"/>
      <c r="D20" s="13" t="n"/>
      <c r="E20" s="13" t="n"/>
      <c r="F20" s="4" t="n"/>
      <c r="G20" s="137">
        <f>COUNTIF(G5:G19,TRUE)</f>
        <v>0</v>
      </c>
      <c r="H20" s="137">
        <f>COUNTIF(H5:H19,TRUE)</f>
        <v>0</v>
      </c>
      <c r="I20" s="137">
        <f>COUNTIF(I5:I19,TRUE)</f>
        <v>0</v>
      </c>
      <c r="J20" s="137">
        <f>COUNTIF(J5:J19,TRUE)</f>
        <v>0</v>
      </c>
      <c r="K20" s="137">
        <f>COUNTIF(K5:K19,TRUE)</f>
        <v>0</v>
      </c>
      <c r="L20" s="137">
        <f>COUNTIF(L5:L19,TRUE)</f>
        <v>0</v>
      </c>
      <c r="M20" s="137">
        <f>COUNTIF(M5:M19,TRUE)</f>
        <v>0</v>
      </c>
      <c r="N20" s="137">
        <f>COUNTIF(N5:N19,TRUE)</f>
        <v>0</v>
      </c>
      <c r="O20" s="137">
        <f>COUNTIF(O5:O19,TRUE)</f>
        <v>0</v>
      </c>
      <c r="P20" s="137">
        <f>COUNTIF(P5:P19,TRUE)</f>
        <v>0</v>
      </c>
      <c r="Q20" s="137">
        <f>COUNTIF(Q5:Q19,TRUE)</f>
        <v>0</v>
      </c>
      <c r="R20" s="137">
        <f>COUNTIF(R5:R19,TRUE)</f>
        <v>0</v>
      </c>
      <c r="S20" s="137">
        <f>COUNTIF(S5:S19,TRUE)</f>
        <v>0</v>
      </c>
      <c r="T20" s="137">
        <f>COUNTIF(T5:T19,TRUE)</f>
        <v>0</v>
      </c>
      <c r="U20" s="137">
        <f>COUNTIF(U5:U19,TRUE)</f>
        <v>0</v>
      </c>
      <c r="V20" s="137">
        <f>COUNTIF(V5:V19,TRUE)</f>
        <v>0</v>
      </c>
      <c r="W20" s="137">
        <f>COUNTIF(W5:W19,TRUE)</f>
        <v>0</v>
      </c>
      <c r="X20" s="137">
        <f>COUNTIF(X5:X19,TRUE)</f>
        <v>0</v>
      </c>
      <c r="Y20" s="137">
        <f>COUNTIF(Y5:Y19,TRUE)</f>
        <v>0</v>
      </c>
      <c r="Z20" s="137">
        <f>COUNTIF(Z5:Z19,TRUE)</f>
        <v>0</v>
      </c>
      <c r="AA20" s="137">
        <f>COUNTIF(AA5:AA19,TRUE)</f>
        <v>0</v>
      </c>
      <c r="AB20" s="137">
        <f>COUNTIF(AB5:AB19,TRUE)</f>
        <v>0</v>
      </c>
      <c r="AC20" s="137">
        <f>COUNTIF(AC5:AC19,TRUE)</f>
        <v>0</v>
      </c>
      <c r="AD20" s="137">
        <f>COUNTIF(AD5:AD19,TRUE)</f>
        <v>0</v>
      </c>
      <c r="AE20" s="137">
        <f>COUNTIF(AE5:AE19,TRUE)</f>
        <v>0</v>
      </c>
      <c r="AF20" s="137">
        <f>COUNTIF(AF5:AF19,TRUE)</f>
        <v>0</v>
      </c>
      <c r="AG20" s="137">
        <f>COUNTIF(AG5:AG19,TRUE)</f>
        <v>0</v>
      </c>
      <c r="AH20" s="137">
        <f>COUNTIF(AH5:AH19,TRUE)</f>
        <v>0</v>
      </c>
      <c r="AI20" s="137">
        <f>COUNTIF(AI5:AI19,TRUE)</f>
        <v>0</v>
      </c>
      <c r="AJ20" s="137">
        <f>COUNTIF(AJ5:AJ19,TRUE)</f>
        <v>0</v>
      </c>
      <c r="AK20" s="137">
        <f>COUNTIF(AK5:AK19,TRUE)</f>
        <v>0</v>
      </c>
      <c r="AL20" s="137">
        <f>COUNTIF(AL5:AL19,TRUE)</f>
        <v>0</v>
      </c>
      <c r="AM20" s="137">
        <f>COUNTIF(AM5:AM19,TRUE)</f>
        <v>0</v>
      </c>
      <c r="AN20" s="137">
        <f>COUNTIF(AN5:AN19,TRUE)</f>
        <v>0</v>
      </c>
      <c r="AO20" s="137">
        <f>COUNTIF(AO5:AO19,TRUE)</f>
        <v>0</v>
      </c>
      <c r="AP20" s="137">
        <f>COUNTIF(AP5:AP19,TRUE)</f>
        <v>0</v>
      </c>
      <c r="AQ20" s="137">
        <f>COUNTIF(AQ5:AQ19,TRUE)</f>
        <v>0</v>
      </c>
      <c r="AR20" s="137">
        <f>COUNTIF(AR5:AR19,TRUE)</f>
        <v>0</v>
      </c>
      <c r="AS20" s="137">
        <f>COUNTIF(AS5:AS19,TRUE)</f>
        <v>0</v>
      </c>
      <c r="AT20" s="137">
        <f>COUNTIF(AT5:AT19,TRUE)</f>
        <v>0</v>
      </c>
      <c r="AU20" s="137">
        <f>COUNTIF(AU5:AU19,TRUE)</f>
        <v>0</v>
      </c>
      <c r="AV20" s="137">
        <f>COUNTIF(AV5:AV19,TRUE)</f>
        <v>0</v>
      </c>
      <c r="AW20" s="137">
        <f>COUNTIF(AW5:AW19,TRUE)</f>
        <v>0</v>
      </c>
      <c r="AX20" s="137">
        <f>COUNTIF(AX5:AX19,TRUE)</f>
        <v>0</v>
      </c>
      <c r="AY20" s="137">
        <f>COUNTIF(AY5:AY19,TRUE)</f>
        <v>0</v>
      </c>
      <c r="AZ20" s="137">
        <f>COUNTIF(AZ5:AZ19,TRUE)</f>
        <v>0</v>
      </c>
      <c r="BA20" s="137">
        <f>COUNTIF(BA5:BA19,TRUE)</f>
        <v>0</v>
      </c>
      <c r="BB20" s="137">
        <f>COUNTIF(BB5:BB19,TRUE)</f>
        <v>0</v>
      </c>
      <c r="BC20" s="137">
        <f>COUNTIF(BC5:BC19,TRUE)</f>
        <v>0</v>
      </c>
      <c r="BD20" s="137">
        <f>COUNTIF(BD5:BD19,TRUE)</f>
        <v>0</v>
      </c>
      <c r="BE20" s="137">
        <f>COUNTIF(BE5:BE19,TRUE)</f>
        <v>0</v>
      </c>
      <c r="BF20" s="137">
        <f>COUNTIF(BF5:BF19,TRUE)</f>
        <v>0</v>
      </c>
      <c r="BG20" s="137">
        <f>COUNTIF(BG5:BG19,TRUE)</f>
        <v>0</v>
      </c>
      <c r="BH20" s="137">
        <f>COUNTIF(BH5:BH19,TRUE)</f>
        <v>0</v>
      </c>
      <c r="BI20" s="137">
        <f>COUNTIF(BI5:BI19,TRUE)</f>
        <v>0</v>
      </c>
      <c r="BJ20" s="137">
        <f>COUNTIF(BJ5:BJ19,TRUE)</f>
        <v>0</v>
      </c>
      <c r="BK20" s="137">
        <f>COUNTIF(BK5:BK19,TRUE)</f>
        <v>0</v>
      </c>
      <c r="BL20" s="137">
        <f>COUNTIF(BL5:BL19,TRUE)</f>
        <v>0</v>
      </c>
      <c r="BM20" s="137">
        <f>COUNTIF(BM5:BM19,TRUE)</f>
        <v>0</v>
      </c>
      <c r="BN20" s="137">
        <f>COUNTIF(BN5:BN19,TRUE)</f>
        <v>0</v>
      </c>
      <c r="BO20" s="137">
        <f>COUNTIF(BO5:BO19,TRUE)</f>
        <v>0</v>
      </c>
      <c r="BP20" s="137">
        <f>COUNTIF(BP5:BP19,TRUE)</f>
        <v>0</v>
      </c>
      <c r="BQ20" s="137">
        <f>COUNTIF(BQ5:BQ19,TRUE)</f>
        <v>0</v>
      </c>
      <c r="BR20" s="137">
        <f>COUNTIF(BR5:BR19,TRUE)</f>
        <v>0</v>
      </c>
      <c r="BS20" s="137">
        <f>COUNTIF(BS5:BS19,TRUE)</f>
        <v>0</v>
      </c>
      <c r="BT20" s="137">
        <f>COUNTIF(BT5:BT19,TRUE)</f>
        <v>0</v>
      </c>
      <c r="BU20" s="137">
        <f>COUNTIF(BU5:BU19,TRUE)</f>
        <v>0</v>
      </c>
      <c r="BV20" s="137">
        <f>COUNTIF(BV5:BV19,TRUE)</f>
        <v>0</v>
      </c>
      <c r="BW20" s="137">
        <f>COUNTIF(BW5:BW19,TRUE)</f>
        <v>0</v>
      </c>
      <c r="BX20" s="137">
        <f>COUNTIF(BX5:BX19,TRUE)</f>
        <v>0</v>
      </c>
      <c r="BY20" s="137">
        <f>COUNTIF(BY5:BY19,TRUE)</f>
        <v>0</v>
      </c>
      <c r="BZ20" s="137">
        <f>COUNTIF(BZ5:BZ19,TRUE)</f>
        <v>0</v>
      </c>
      <c r="CA20" s="137">
        <f>COUNTIF(CA5:CA19,TRUE)</f>
        <v>0</v>
      </c>
      <c r="CB20" s="137">
        <f>COUNTIF(CB5:CB19,TRUE)</f>
        <v>0</v>
      </c>
      <c r="CC20" s="137">
        <f>COUNTIF(CC5:CC19,TRUE)</f>
        <v>0</v>
      </c>
      <c r="CD20" s="137">
        <f>COUNTIF(CD5:CD19,TRUE)</f>
        <v>0</v>
      </c>
      <c r="CE20" s="137">
        <f>COUNTIF(CE5:CE19,TRUE)</f>
        <v>0</v>
      </c>
      <c r="CF20" s="137">
        <f>COUNTIF(CF5:CF19,TRUE)</f>
        <v>0</v>
      </c>
      <c r="CG20" s="137">
        <f>COUNTIF(CG5:CG19,TRUE)</f>
        <v>0</v>
      </c>
      <c r="CH20" s="137">
        <f>COUNTIF(CH5:CH19,TRUE)</f>
        <v>0</v>
      </c>
      <c r="CI20" s="137">
        <f>COUNTIF(CI5:CI19,TRUE)</f>
        <v>0</v>
      </c>
      <c r="CJ20" s="137">
        <f>COUNTIF(CJ5:CJ19,TRUE)</f>
        <v>0</v>
      </c>
      <c r="CK20" s="137">
        <f>COUNTIF(CK5:CK19,TRUE)</f>
        <v>0</v>
      </c>
      <c r="CL20" s="137">
        <f>COUNTIF(CL5:CL19,TRUE)</f>
        <v>0</v>
      </c>
      <c r="CM20" s="137">
        <f>COUNTIF(CM5:CM19,TRUE)</f>
        <v>0</v>
      </c>
      <c r="CN20" s="137">
        <f>COUNTIF(CN5:CN19,TRUE)</f>
        <v>0</v>
      </c>
      <c r="CO20" s="137">
        <f>COUNTIF(CO5:CO19,TRUE)</f>
        <v>0</v>
      </c>
      <c r="CP20" s="137">
        <f>COUNTIF(CP5:CP19,TRUE)</f>
        <v>0</v>
      </c>
      <c r="CQ20" s="137">
        <f>COUNTIF(CQ5:CQ19,TRUE)</f>
        <v>0</v>
      </c>
      <c r="CR20" s="137">
        <f>COUNTIF(CR5:CR19,TRUE)</f>
        <v>0</v>
      </c>
      <c r="CS20" s="137">
        <f>COUNTIF(CS5:CS19,TRUE)</f>
        <v>0</v>
      </c>
      <c r="CT20" s="137">
        <f>COUNTIF(CT5:CT19,TRUE)</f>
        <v>0</v>
      </c>
      <c r="CU20" s="137">
        <f>COUNTIF(CU5:CU19,TRUE)</f>
        <v>0</v>
      </c>
      <c r="CV20" s="137">
        <f>COUNTIF(CV5:CV19,TRUE)</f>
        <v>0</v>
      </c>
      <c r="CW20" s="137">
        <f>COUNTIF(CW5:CW19,TRUE)</f>
        <v>0</v>
      </c>
      <c r="CX20" s="137">
        <f>COUNTIF(CX5:CX19,TRUE)</f>
        <v>0</v>
      </c>
      <c r="CY20" s="137">
        <f>COUNTIF(CY5:CY19,TRUE)</f>
        <v>0</v>
      </c>
      <c r="CZ20" s="137">
        <f>COUNTIF(CZ5:CZ19,TRUE)</f>
        <v>0</v>
      </c>
      <c r="DA20" s="137">
        <f>COUNTIF(DA5:DA19,TRUE)</f>
        <v>0</v>
      </c>
      <c r="DB20" s="137">
        <f>COUNTIF(DB5:DB19,TRUE)</f>
        <v>0</v>
      </c>
      <c r="DC20" s="137">
        <f>COUNTIF(DC5:DC19,TRUE)</f>
        <v>0</v>
      </c>
      <c r="DD20" s="137">
        <f>COUNTIF(DD5:DD19,TRUE)</f>
        <v>0</v>
      </c>
      <c r="DE20" s="137">
        <f>COUNTIF(DE5:DE19,TRUE)</f>
        <v>0</v>
      </c>
      <c r="DF20" s="137">
        <f>COUNTIF(DF5:DF19,TRUE)</f>
        <v>0</v>
      </c>
      <c r="DG20" s="137">
        <f>COUNTIF(DG5:DG19,TRUE)</f>
        <v>0</v>
      </c>
      <c r="DH20" s="137">
        <f>COUNTIF(DH5:DH19,TRUE)</f>
        <v>0</v>
      </c>
      <c r="DI20" s="137">
        <f>COUNTIF(DI5:DI19,TRUE)</f>
        <v>0</v>
      </c>
      <c r="DJ20" s="137">
        <f>COUNTIF(DJ5:DJ19,TRUE)</f>
        <v>0</v>
      </c>
      <c r="DK20" s="137">
        <f>COUNTIF(DK5:DK19,TRUE)</f>
        <v>0</v>
      </c>
      <c r="DL20" s="137">
        <f>COUNTIF(DL5:DL19,TRUE)</f>
        <v>0</v>
      </c>
      <c r="DM20" s="137">
        <f>COUNTIF(DM5:DM19,TRUE)</f>
        <v>0</v>
      </c>
      <c r="DN20" s="137">
        <f>COUNTIF(DN5:DN19,TRUE)</f>
        <v>0</v>
      </c>
      <c r="DO20" s="137">
        <f>COUNTIF(DO5:DO19,TRUE)</f>
        <v>0</v>
      </c>
      <c r="DP20" s="137">
        <f>COUNTIF(DP5:DP19,TRUE)</f>
        <v>0</v>
      </c>
      <c r="DQ20" s="137">
        <f>COUNTIF(DQ5:DQ19,TRUE)</f>
        <v>0</v>
      </c>
      <c r="DR20" s="137">
        <f>COUNTIF(DR5:DR19,TRUE)</f>
        <v>0</v>
      </c>
      <c r="DS20" s="137">
        <f>COUNTIF(DS5:DS19,TRUE)</f>
        <v>0</v>
      </c>
      <c r="DT20" s="137">
        <f>COUNTIF(DT5:DT19,TRUE)</f>
        <v>0</v>
      </c>
      <c r="DU20" s="137">
        <f>COUNTIF(DU5:DU19,TRUE)</f>
        <v>0</v>
      </c>
      <c r="DV20" s="137">
        <f>COUNTIF(DV5:DV19,TRUE)</f>
        <v>0</v>
      </c>
      <c r="DW20" s="137">
        <f>COUNTIF(DW5:DW19,TRUE)</f>
        <v>0</v>
      </c>
      <c r="DX20" s="137">
        <f>COUNTIF(DX5:DX19,TRUE)</f>
        <v>0</v>
      </c>
      <c r="DY20" s="137">
        <f>COUNTIF(DY5:DY19,TRUE)</f>
        <v>0</v>
      </c>
      <c r="DZ20" s="137">
        <f>COUNTIF(DZ5:DZ19,TRUE)</f>
        <v>0</v>
      </c>
      <c r="EA20" s="137">
        <f>COUNTIF(EA5:EA19,TRUE)</f>
        <v>0</v>
      </c>
      <c r="EB20" s="137">
        <f>COUNTIF(EB5:EB19,TRUE)</f>
        <v>0</v>
      </c>
      <c r="EC20" s="137">
        <f>COUNTIF(EC5:EC19,TRUE)</f>
        <v>0</v>
      </c>
      <c r="ED20" s="137">
        <f>COUNTIF(ED5:ED19,TRUE)</f>
        <v>0</v>
      </c>
      <c r="EE20" s="137">
        <f>COUNTIF(EE5:EE19,TRUE)</f>
        <v>0</v>
      </c>
      <c r="EF20" s="137">
        <f>COUNTIF(EF5:EF19,TRUE)</f>
        <v>0</v>
      </c>
      <c r="EG20" s="137">
        <f>COUNTIF(EG5:EG19,TRUE)</f>
        <v>0</v>
      </c>
      <c r="EH20" s="137">
        <f>COUNTIF(EH5:EH19,TRUE)</f>
        <v>0</v>
      </c>
      <c r="EI20" s="137">
        <f>COUNTIF(EI5:EI19,TRUE)</f>
        <v>0</v>
      </c>
      <c r="EJ20" s="137">
        <f>COUNTIF(EJ5:EJ19,TRUE)</f>
        <v>0</v>
      </c>
      <c r="EK20" s="137">
        <f>COUNTIF(EK5:EK19,TRUE)</f>
        <v>0</v>
      </c>
      <c r="EL20" s="137">
        <f>COUNTIF(EL5:EL19,TRUE)</f>
        <v>0</v>
      </c>
      <c r="EM20" s="137">
        <f>COUNTIF(EM5:EM19,TRUE)</f>
        <v>0</v>
      </c>
      <c r="EN20" s="137">
        <f>COUNTIF(EN5:EN19,TRUE)</f>
        <v>0</v>
      </c>
      <c r="EO20" s="137">
        <f>COUNTIF(EO5:EO19,TRUE)</f>
        <v>0</v>
      </c>
      <c r="EP20" s="137">
        <f>COUNTIF(EP5:EP19,TRUE)</f>
        <v>0</v>
      </c>
      <c r="EQ20" s="137">
        <f>COUNTIF(EQ5:EQ19,TRUE)</f>
        <v>0</v>
      </c>
      <c r="ER20" s="137">
        <f>COUNTIF(ER5:ER19,TRUE)</f>
        <v>0</v>
      </c>
      <c r="ES20" s="137">
        <f>COUNTIF(ES5:ES19,TRUE)</f>
        <v>0</v>
      </c>
      <c r="ET20" s="137">
        <f>COUNTIF(ET5:ET19,TRUE)</f>
        <v>0</v>
      </c>
      <c r="EU20" s="137">
        <f>COUNTIF(EU5:EU19,TRUE)</f>
        <v>0</v>
      </c>
      <c r="EV20" s="137">
        <f>COUNTIF(EV5:EV19,TRUE)</f>
        <v>0</v>
      </c>
      <c r="EW20" s="137">
        <f>COUNTIF(EW5:EW19,TRUE)</f>
        <v>0</v>
      </c>
      <c r="EX20" s="137">
        <f>COUNTIF(EX5:EX19,TRUE)</f>
        <v>0</v>
      </c>
      <c r="EY20" s="137">
        <f>COUNTIF(EY5:EY19,TRUE)</f>
        <v>0</v>
      </c>
      <c r="EZ20" s="137">
        <f>COUNTIF(EZ5:EZ19,TRUE)</f>
        <v>0</v>
      </c>
      <c r="FA20" s="137">
        <f>COUNTIF(FA5:FA19,TRUE)</f>
        <v>0</v>
      </c>
      <c r="FB20" s="137">
        <f>COUNTIF(FB5:FB19,TRUE)</f>
        <v>0</v>
      </c>
      <c r="FC20" s="137">
        <f>COUNTIF(FC5:FC19,TRUE)</f>
        <v>0</v>
      </c>
      <c r="FD20" s="137">
        <f>COUNTIF(FD5:FD19,TRUE)</f>
        <v>0</v>
      </c>
      <c r="FE20" s="137">
        <f>COUNTIF(FE5:FE19,TRUE)</f>
        <v>0</v>
      </c>
      <c r="FF20" s="137">
        <f>COUNTIF(FF5:FF19,TRUE)</f>
        <v>0</v>
      </c>
      <c r="FG20" s="137">
        <f>COUNTIF(FG5:FG19,TRUE)</f>
        <v>0</v>
      </c>
      <c r="FH20" s="137">
        <f>COUNTIF(FH5:FH19,TRUE)</f>
        <v>0</v>
      </c>
      <c r="FI20" s="137">
        <f>COUNTIF(FI5:FI19,TRUE)</f>
        <v>0</v>
      </c>
      <c r="FJ20" s="137">
        <f>COUNTIF(FJ5:FJ19,TRUE)</f>
        <v>0</v>
      </c>
      <c r="FK20" s="137">
        <f>COUNTIF(FK5:FK19,TRUE)</f>
        <v>0</v>
      </c>
      <c r="FL20" s="137">
        <f>COUNTIF(FL5:FL19,TRUE)</f>
        <v>0</v>
      </c>
      <c r="FM20" s="137">
        <f>COUNTIF(FM5:FM19,TRUE)</f>
        <v>0</v>
      </c>
      <c r="FN20" s="137">
        <f>COUNTIF(FN5:FN19,TRUE)</f>
        <v>0</v>
      </c>
      <c r="FO20" s="137">
        <f>COUNTIF(FO5:FO19,TRUE)</f>
        <v>0</v>
      </c>
      <c r="FP20" s="137">
        <f>COUNTIF(FP5:FP19,TRUE)</f>
        <v>0</v>
      </c>
      <c r="FQ20" s="137">
        <f>COUNTIF(FQ5:FQ19,TRUE)</f>
        <v>0</v>
      </c>
      <c r="FR20" s="137">
        <f>COUNTIF(FR5:FR19,TRUE)</f>
        <v>0</v>
      </c>
      <c r="FS20" s="137">
        <f>COUNTIF(FS5:FS19,TRUE)</f>
        <v>0</v>
      </c>
      <c r="FT20" s="137">
        <f>COUNTIF(FT5:FT19,TRUE)</f>
        <v>0</v>
      </c>
      <c r="FU20" s="137">
        <f>COUNTIF(FU5:FU19,TRUE)</f>
        <v>0</v>
      </c>
      <c r="FV20" s="137">
        <f>COUNTIF(FV5:FV19,TRUE)</f>
        <v>0</v>
      </c>
      <c r="FW20" s="137">
        <f>COUNTIF(FW5:FW19,TRUE)</f>
        <v>0</v>
      </c>
      <c r="FX20" s="137">
        <f>COUNTIF(FX5:FX19,TRUE)</f>
        <v>0</v>
      </c>
      <c r="FY20" s="137">
        <f>COUNTIF(FY5:FY19,TRUE)</f>
        <v>0</v>
      </c>
      <c r="FZ20" s="137">
        <f>COUNTIF(FZ5:FZ19,TRUE)</f>
        <v>0</v>
      </c>
      <c r="GA20" s="137">
        <f>COUNTIF(GA5:GA19,TRUE)</f>
        <v>0</v>
      </c>
      <c r="GB20" s="137">
        <f>COUNTIF(GB5:GB19,TRUE)</f>
        <v>0</v>
      </c>
      <c r="GC20" s="137">
        <f>COUNTIF(GC5:GC19,TRUE)</f>
        <v>0</v>
      </c>
      <c r="GD20" s="137">
        <f>COUNTIF(GD5:GD19,TRUE)</f>
        <v>0</v>
      </c>
      <c r="GE20" s="137">
        <f>COUNTIF(GE5:GE19,TRUE)</f>
        <v>0</v>
      </c>
      <c r="GF20" s="137">
        <f>COUNTIF(GF5:GF19,TRUE)</f>
        <v>0</v>
      </c>
      <c r="GG20" s="137">
        <f>COUNTIF(GG5:GG19,TRUE)</f>
        <v>0</v>
      </c>
      <c r="GH20" s="137">
        <f>COUNTIF(GH5:GH19,TRUE)</f>
        <v>0</v>
      </c>
      <c r="GI20" s="137">
        <f>COUNTIF(GI5:GI19,TRUE)</f>
        <v>0</v>
      </c>
      <c r="GJ20" s="137">
        <f>COUNTIF(GJ5:GJ19,TRUE)</f>
        <v>0</v>
      </c>
      <c r="GK20" s="137">
        <f>COUNTIF(GK5:GK19,TRUE)</f>
        <v>0</v>
      </c>
      <c r="GL20" s="137">
        <f>COUNTIF(GL5:GL19,TRUE)</f>
        <v>0</v>
      </c>
      <c r="GM20" s="137">
        <f>COUNTIF(GM5:GM19,TRUE)</f>
        <v>0</v>
      </c>
      <c r="GN20" s="137">
        <f>COUNTIF(GN5:GN19,TRUE)</f>
        <v>0</v>
      </c>
      <c r="GO20" s="137">
        <f>COUNTIF(GO5:GO19,TRUE)</f>
        <v>0</v>
      </c>
      <c r="GP20" s="137">
        <f>COUNTIF(GP5:GP19,TRUE)</f>
        <v>0</v>
      </c>
      <c r="GQ20" s="137">
        <f>COUNTIF(GQ5:GQ19,TRUE)</f>
        <v>0</v>
      </c>
      <c r="GR20" s="137">
        <f>COUNTIF(GR5:GR19,TRUE)</f>
        <v>0</v>
      </c>
      <c r="GS20" s="137">
        <f>COUNTIF(GS5:GS19,TRUE)</f>
        <v>0</v>
      </c>
      <c r="GT20" s="137">
        <f>COUNTIF(GT5:GT19,TRUE)</f>
        <v>0</v>
      </c>
      <c r="GU20" s="137">
        <f>COUNTIF(GU5:GU19,TRUE)</f>
        <v>0</v>
      </c>
      <c r="GV20" s="137">
        <f>COUNTIF(GV5:GV19,TRUE)</f>
        <v>0</v>
      </c>
      <c r="GW20" s="137">
        <f>COUNTIF(GW5:GW19,TRUE)</f>
        <v>0</v>
      </c>
      <c r="GX20" s="137">
        <f>COUNTIF(GX5:GX19,TRUE)</f>
        <v>0</v>
      </c>
      <c r="GY20" s="137">
        <f>COUNTIF(GY5:GY19,TRUE)</f>
        <v>0</v>
      </c>
      <c r="GZ20" s="137">
        <f>COUNTIF(GZ5:GZ19,TRUE)</f>
        <v>0</v>
      </c>
      <c r="HA20" s="137">
        <f>COUNTIF(HA5:HA19,TRUE)</f>
        <v>0</v>
      </c>
      <c r="HB20" s="137">
        <f>COUNTIF(HB5:HB19,TRUE)</f>
        <v>0</v>
      </c>
    </row>
    <row r="21" ht="7.5" customHeight="1"/>
    <row r="22" ht="15" customHeight="1">
      <c r="A22" s="138" t="inlineStr">
        <is>
          <t>الحصة الجاية: هنعمل إيه؟</t>
        </is>
      </c>
      <c r="B22" s="4" t="n"/>
      <c r="C22" s="138" t="inlineStr">
        <is>
          <t>ميعادها حسب صفحة المواعيد</t>
        </is>
      </c>
      <c r="D22" s="13" t="n"/>
      <c r="E22" s="13" t="n"/>
      <c r="F22" s="4" t="n"/>
    </row>
    <row r="23" ht="42" customHeight="1">
      <c r="A23" s="139" t="n"/>
      <c r="B23" s="4" t="n"/>
      <c r="C23" s="140" t="str">
        <f>IF($HF$4="","مفيش ميعاد للمجموعة دي في صفحة المواعيد",$HF$4)</f>
        <v>مفيش ميعاد للمجموعة دي في صفحة المواعيد</v>
      </c>
      <c r="D23" s="13" t="n"/>
      <c r="E23" s="13" t="n"/>
      <c r="F23" s="4" t="n"/>
    </row>
    <row r="24" ht="15" customHeight="1">
      <c r="A24" s="138" t="inlineStr">
        <is>
          <t>ميعاد مختلف؟ (اختياري)</t>
        </is>
      </c>
      <c r="B24" s="4" t="n"/>
      <c r="C24" s="141" t="inlineStr">
        <is>
          <t>لو الحصة اتأجلت أو في حصة إضافية، اكتبي ميعادها في الخانة البيضا</t>
        </is>
      </c>
      <c r="D24" s="42" t="n"/>
      <c r="E24" s="42" t="n"/>
      <c r="F24" s="43" t="n"/>
    </row>
    <row r="25" ht="22.5" customHeight="1">
      <c r="A25" s="139" t="n"/>
      <c r="B25" s="4" t="n"/>
      <c r="C25" s="71" t="n"/>
      <c r="D25" s="73" t="n"/>
      <c r="E25" s="73" t="n"/>
      <c r="F25" s="72" t="n"/>
    </row>
    <row r="26" ht="10.5" customHeight="1"/>
    <row r="27" ht="21" customHeight="1">
      <c r="A27" s="76" t="inlineStr">
        <is>
          <t>الدرجات · نوع الامتحان</t>
        </is>
      </c>
      <c r="B27" s="4" t="n"/>
      <c r="C27" s="142" t="inlineStr">
        <is>
          <t>النسبة والترتيب على:</t>
        </is>
      </c>
      <c r="D27" s="13" t="n"/>
      <c r="E27" s="4" t="n"/>
      <c r="F27" s="15" t="inlineStr">
        <is>
          <t>الكل</t>
        </is>
      </c>
      <c r="G27" s="143" t="n"/>
      <c r="H27" s="4" t="n"/>
      <c r="I27" s="143" t="n"/>
      <c r="J27" s="4" t="n"/>
      <c r="K27" s="143" t="n"/>
      <c r="L27" s="4" t="n"/>
      <c r="M27" s="143" t="n"/>
      <c r="N27" s="4" t="n"/>
      <c r="O27" s="143" t="n"/>
      <c r="P27" s="4" t="n"/>
      <c r="Q27" s="143" t="n"/>
      <c r="R27" s="4" t="n"/>
      <c r="S27" s="143" t="n"/>
      <c r="T27" s="4" t="n"/>
      <c r="U27" s="143" t="n"/>
      <c r="V27" s="4" t="n"/>
      <c r="W27" s="144" t="inlineStr">
        <is>
          <t>ملاحظات
(سبب الغياب)</t>
        </is>
      </c>
      <c r="X27" s="143" t="n"/>
      <c r="Y27" s="4" t="n"/>
      <c r="Z27" s="143" t="n"/>
      <c r="AA27" s="4" t="n"/>
      <c r="AB27" s="143" t="n"/>
      <c r="AC27" s="4" t="n"/>
      <c r="AD27" s="143" t="n"/>
      <c r="AE27" s="4" t="n"/>
      <c r="AF27" s="143" t="n"/>
      <c r="AG27" s="4" t="n"/>
      <c r="AH27" s="143" t="n"/>
      <c r="AI27" s="4" t="n"/>
      <c r="AJ27" s="143" t="n"/>
      <c r="AK27" s="4" t="n"/>
      <c r="AL27" s="143" t="n"/>
      <c r="AM27" s="4" t="n"/>
      <c r="AN27" s="145" t="inlineStr">
        <is>
          <t>ملاحظات
(سبب الغياب)</t>
        </is>
      </c>
      <c r="AO27" s="143" t="n"/>
      <c r="AP27" s="4" t="n"/>
      <c r="AQ27" s="143" t="n"/>
      <c r="AR27" s="4" t="n"/>
      <c r="AS27" s="143" t="n"/>
      <c r="AT27" s="4" t="n"/>
      <c r="AU27" s="143" t="n"/>
      <c r="AV27" s="4" t="n"/>
      <c r="AW27" s="143" t="n"/>
      <c r="AX27" s="4" t="n"/>
      <c r="AY27" s="143" t="n"/>
      <c r="AZ27" s="4" t="n"/>
      <c r="BA27" s="143" t="n"/>
      <c r="BB27" s="4" t="n"/>
      <c r="BC27" s="143" t="n"/>
      <c r="BD27" s="4" t="n"/>
      <c r="BE27" s="146" t="inlineStr">
        <is>
          <t>ملاحظات
(سبب الغياب)</t>
        </is>
      </c>
      <c r="BF27" s="143" t="n"/>
      <c r="BG27" s="4" t="n"/>
      <c r="BH27" s="143" t="n"/>
      <c r="BI27" s="4" t="n"/>
      <c r="BJ27" s="143" t="n"/>
      <c r="BK27" s="4" t="n"/>
      <c r="BL27" s="143" t="n"/>
      <c r="BM27" s="4" t="n"/>
      <c r="BN27" s="143" t="n"/>
      <c r="BO27" s="4" t="n"/>
      <c r="BP27" s="143" t="n"/>
      <c r="BQ27" s="4" t="n"/>
      <c r="BR27" s="143" t="n"/>
      <c r="BS27" s="4" t="n"/>
      <c r="BT27" s="143" t="n"/>
      <c r="BU27" s="4" t="n"/>
      <c r="BV27" s="147" t="inlineStr">
        <is>
          <t>ملاحظات
(سبب الغياب)</t>
        </is>
      </c>
      <c r="BW27" s="143" t="n"/>
      <c r="BX27" s="4" t="n"/>
      <c r="BY27" s="143" t="n"/>
      <c r="BZ27" s="4" t="n"/>
      <c r="CA27" s="143" t="n"/>
      <c r="CB27" s="4" t="n"/>
      <c r="CC27" s="143" t="n"/>
      <c r="CD27" s="4" t="n"/>
      <c r="CE27" s="143" t="n"/>
      <c r="CF27" s="4" t="n"/>
      <c r="CG27" s="143" t="n"/>
      <c r="CH27" s="4" t="n"/>
      <c r="CI27" s="143" t="n"/>
      <c r="CJ27" s="4" t="n"/>
      <c r="CK27" s="143" t="n"/>
      <c r="CL27" s="4" t="n"/>
      <c r="CM27" s="148" t="inlineStr">
        <is>
          <t>ملاحظات
(سبب الغياب)</t>
        </is>
      </c>
      <c r="CN27" s="143" t="n"/>
      <c r="CO27" s="4" t="n"/>
      <c r="CP27" s="143" t="n"/>
      <c r="CQ27" s="4" t="n"/>
      <c r="CR27" s="143" t="n"/>
      <c r="CS27" s="4" t="n"/>
      <c r="CT27" s="143" t="n"/>
      <c r="CU27" s="4" t="n"/>
      <c r="CV27" s="143" t="n"/>
      <c r="CW27" s="4" t="n"/>
      <c r="CX27" s="143" t="n"/>
      <c r="CY27" s="4" t="n"/>
      <c r="CZ27" s="143" t="n"/>
      <c r="DA27" s="4" t="n"/>
      <c r="DB27" s="143" t="n"/>
      <c r="DC27" s="4" t="n"/>
      <c r="DD27" s="149" t="inlineStr">
        <is>
          <t>ملاحظات
(سبب الغياب)</t>
        </is>
      </c>
      <c r="DE27" s="143" t="n"/>
      <c r="DF27" s="4" t="n"/>
      <c r="DG27" s="143" t="n"/>
      <c r="DH27" s="4" t="n"/>
      <c r="DI27" s="143" t="n"/>
      <c r="DJ27" s="4" t="n"/>
      <c r="DK27" s="143" t="n"/>
      <c r="DL27" s="4" t="n"/>
      <c r="DM27" s="143" t="n"/>
      <c r="DN27" s="4" t="n"/>
      <c r="DO27" s="143" t="n"/>
      <c r="DP27" s="4" t="n"/>
      <c r="DQ27" s="143" t="n"/>
      <c r="DR27" s="4" t="n"/>
      <c r="DS27" s="143" t="n"/>
      <c r="DT27" s="4" t="n"/>
      <c r="DU27" s="150" t="inlineStr">
        <is>
          <t>ملاحظات
(سبب الغياب)</t>
        </is>
      </c>
      <c r="DV27" s="143" t="n"/>
      <c r="DW27" s="4" t="n"/>
      <c r="DX27" s="143" t="n"/>
      <c r="DY27" s="4" t="n"/>
      <c r="DZ27" s="143" t="n"/>
      <c r="EA27" s="4" t="n"/>
      <c r="EB27" s="143" t="n"/>
      <c r="EC27" s="4" t="n"/>
      <c r="ED27" s="143" t="n"/>
      <c r="EE27" s="4" t="n"/>
      <c r="EF27" s="143" t="n"/>
      <c r="EG27" s="4" t="n"/>
      <c r="EH27" s="143" t="n"/>
      <c r="EI27" s="4" t="n"/>
      <c r="EJ27" s="143" t="n"/>
      <c r="EK27" s="4" t="n"/>
      <c r="EL27" s="151" t="inlineStr">
        <is>
          <t>ملاحظات
(سبب الغياب)</t>
        </is>
      </c>
      <c r="EM27" s="143" t="n"/>
      <c r="EN27" s="4" t="n"/>
      <c r="EO27" s="143" t="n"/>
      <c r="EP27" s="4" t="n"/>
      <c r="EQ27" s="143" t="n"/>
      <c r="ER27" s="4" t="n"/>
      <c r="ES27" s="143" t="n"/>
      <c r="ET27" s="4" t="n"/>
      <c r="EU27" s="143" t="n"/>
      <c r="EV27" s="4" t="n"/>
      <c r="EW27" s="143" t="n"/>
      <c r="EX27" s="4" t="n"/>
      <c r="EY27" s="143" t="n"/>
      <c r="EZ27" s="4" t="n"/>
      <c r="FA27" s="143" t="n"/>
      <c r="FB27" s="4" t="n"/>
      <c r="FC27" s="152" t="inlineStr">
        <is>
          <t>ملاحظات
(سبب الغياب)</t>
        </is>
      </c>
      <c r="FD27" s="143" t="n"/>
      <c r="FE27" s="4" t="n"/>
      <c r="FF27" s="143" t="n"/>
      <c r="FG27" s="4" t="n"/>
      <c r="FH27" s="143" t="n"/>
      <c r="FI27" s="4" t="n"/>
      <c r="FJ27" s="143" t="n"/>
      <c r="FK27" s="4" t="n"/>
      <c r="FL27" s="143" t="n"/>
      <c r="FM27" s="4" t="n"/>
      <c r="FN27" s="143" t="n"/>
      <c r="FO27" s="4" t="n"/>
      <c r="FP27" s="143" t="n"/>
      <c r="FQ27" s="4" t="n"/>
      <c r="FR27" s="143" t="n"/>
      <c r="FS27" s="4" t="n"/>
      <c r="FT27" s="153" t="inlineStr">
        <is>
          <t>ملاحظات
(سبب الغياب)</t>
        </is>
      </c>
      <c r="FU27" s="143" t="n"/>
      <c r="FV27" s="4" t="n"/>
      <c r="FW27" s="143" t="n"/>
      <c r="FX27" s="4" t="n"/>
      <c r="FY27" s="143" t="n"/>
      <c r="FZ27" s="4" t="n"/>
      <c r="GA27" s="143" t="n"/>
      <c r="GB27" s="4" t="n"/>
      <c r="GC27" s="143" t="n"/>
      <c r="GD27" s="4" t="n"/>
      <c r="GE27" s="143" t="n"/>
      <c r="GF27" s="4" t="n"/>
      <c r="GG27" s="143" t="n"/>
      <c r="GH27" s="4" t="n"/>
      <c r="GI27" s="143" t="n"/>
      <c r="GJ27" s="4" t="n"/>
      <c r="GK27" s="154" t="inlineStr">
        <is>
          <t>ملاحظات
(سبب الغياب)</t>
        </is>
      </c>
      <c r="GL27" s="143" t="n"/>
      <c r="GM27" s="4" t="n"/>
      <c r="GN27" s="143" t="n"/>
      <c r="GO27" s="4" t="n"/>
      <c r="GP27" s="143" t="n"/>
      <c r="GQ27" s="4" t="n"/>
      <c r="GR27" s="143" t="n"/>
      <c r="GS27" s="4" t="n"/>
      <c r="GT27" s="143" t="n"/>
      <c r="GU27" s="4" t="n"/>
      <c r="GV27" s="143" t="n"/>
      <c r="GW27" s="4" t="n"/>
      <c r="GX27" s="143" t="n"/>
      <c r="GY27" s="4" t="n"/>
      <c r="GZ27" s="143" t="n"/>
      <c r="HA27" s="4" t="n"/>
      <c r="HB27" s="155" t="inlineStr">
        <is>
          <t>ملاحظات
(سبب الغياب)</t>
        </is>
      </c>
    </row>
    <row r="28" ht="21" customHeight="1">
      <c r="A28" s="142" t="inlineStr">
        <is>
          <t>الدرجة النهائية (من كام)</t>
        </is>
      </c>
      <c r="B28" s="4" t="n"/>
      <c r="C28" s="156" t="inlineStr">
        <is>
          <t>الدرجة ما بتتحسبش من غير نهائية</t>
        </is>
      </c>
      <c r="D28" s="13" t="n"/>
      <c r="E28" s="13" t="n"/>
      <c r="F28" s="4" t="n"/>
      <c r="G28" s="15" t="n"/>
      <c r="H28" s="15" t="n"/>
      <c r="I28" s="15" t="n"/>
      <c r="J28" s="15" t="n"/>
      <c r="K28" s="15" t="n"/>
      <c r="L28" s="15" t="n"/>
      <c r="M28" s="15" t="n"/>
      <c r="N28" s="15" t="n"/>
      <c r="O28" s="15" t="n"/>
      <c r="P28" s="15" t="n"/>
      <c r="Q28" s="15" t="n"/>
      <c r="R28" s="15" t="n"/>
      <c r="S28" s="15" t="n"/>
      <c r="T28" s="15" t="n"/>
      <c r="U28" s="15" t="n"/>
      <c r="V28" s="15" t="n"/>
      <c r="W28" s="75" t="n"/>
      <c r="X28" s="15" t="n"/>
      <c r="Y28" s="15" t="n"/>
      <c r="Z28" s="15" t="n"/>
      <c r="AA28" s="15" t="n"/>
      <c r="AB28" s="15" t="n"/>
      <c r="AC28" s="15" t="n"/>
      <c r="AD28" s="15" t="n"/>
      <c r="AE28" s="15" t="n"/>
      <c r="AF28" s="15" t="n"/>
      <c r="AG28" s="15" t="n"/>
      <c r="AH28" s="15" t="n"/>
      <c r="AI28" s="15" t="n"/>
      <c r="AJ28" s="15" t="n"/>
      <c r="AK28" s="15" t="n"/>
      <c r="AL28" s="15" t="n"/>
      <c r="AM28" s="15" t="n"/>
      <c r="AN28" s="75" t="n"/>
      <c r="AO28" s="15" t="n"/>
      <c r="AP28" s="15" t="n"/>
      <c r="AQ28" s="15" t="n"/>
      <c r="AR28" s="15" t="n"/>
      <c r="AS28" s="15" t="n"/>
      <c r="AT28" s="15" t="n"/>
      <c r="AU28" s="15" t="n"/>
      <c r="AV28" s="15" t="n"/>
      <c r="AW28" s="15" t="n"/>
      <c r="AX28" s="15" t="n"/>
      <c r="AY28" s="15" t="n"/>
      <c r="AZ28" s="15" t="n"/>
      <c r="BA28" s="15" t="n"/>
      <c r="BB28" s="15" t="n"/>
      <c r="BC28" s="15" t="n"/>
      <c r="BD28" s="15" t="n"/>
      <c r="BE28" s="75" t="n"/>
      <c r="BF28" s="15" t="n"/>
      <c r="BG28" s="15" t="n"/>
      <c r="BH28" s="15" t="n"/>
      <c r="BI28" s="15" t="n"/>
      <c r="BJ28" s="15" t="n"/>
      <c r="BK28" s="15" t="n"/>
      <c r="BL28" s="15" t="n"/>
      <c r="BM28" s="15" t="n"/>
      <c r="BN28" s="15" t="n"/>
      <c r="BO28" s="15" t="n"/>
      <c r="BP28" s="15" t="n"/>
      <c r="BQ28" s="15" t="n"/>
      <c r="BR28" s="15" t="n"/>
      <c r="BS28" s="15" t="n"/>
      <c r="BT28" s="15" t="n"/>
      <c r="BU28" s="15" t="n"/>
      <c r="BV28" s="75" t="n"/>
      <c r="BW28" s="15" t="n"/>
      <c r="BX28" s="15" t="n"/>
      <c r="BY28" s="15" t="n"/>
      <c r="BZ28" s="15" t="n"/>
      <c r="CA28" s="15" t="n"/>
      <c r="CB28" s="15" t="n"/>
      <c r="CC28" s="15" t="n"/>
      <c r="CD28" s="15" t="n"/>
      <c r="CE28" s="15" t="n"/>
      <c r="CF28" s="15" t="n"/>
      <c r="CG28" s="15" t="n"/>
      <c r="CH28" s="15" t="n"/>
      <c r="CI28" s="15" t="n"/>
      <c r="CJ28" s="15" t="n"/>
      <c r="CK28" s="15" t="n"/>
      <c r="CL28" s="15" t="n"/>
      <c r="CM28" s="75" t="n"/>
      <c r="CN28" s="15" t="n"/>
      <c r="CO28" s="15" t="n"/>
      <c r="CP28" s="15" t="n"/>
      <c r="CQ28" s="15" t="n"/>
      <c r="CR28" s="15" t="n"/>
      <c r="CS28" s="15" t="n"/>
      <c r="CT28" s="15" t="n"/>
      <c r="CU28" s="15" t="n"/>
      <c r="CV28" s="15" t="n"/>
      <c r="CW28" s="15" t="n"/>
      <c r="CX28" s="15" t="n"/>
      <c r="CY28" s="15" t="n"/>
      <c r="CZ28" s="15" t="n"/>
      <c r="DA28" s="15" t="n"/>
      <c r="DB28" s="15" t="n"/>
      <c r="DC28" s="15" t="n"/>
      <c r="DD28" s="75" t="n"/>
      <c r="DE28" s="15" t="n"/>
      <c r="DF28" s="15" t="n"/>
      <c r="DG28" s="15" t="n"/>
      <c r="DH28" s="15" t="n"/>
      <c r="DI28" s="15" t="n"/>
      <c r="DJ28" s="15" t="n"/>
      <c r="DK28" s="15" t="n"/>
      <c r="DL28" s="15" t="n"/>
      <c r="DM28" s="15" t="n"/>
      <c r="DN28" s="15" t="n"/>
      <c r="DO28" s="15" t="n"/>
      <c r="DP28" s="15" t="n"/>
      <c r="DQ28" s="15" t="n"/>
      <c r="DR28" s="15" t="n"/>
      <c r="DS28" s="15" t="n"/>
      <c r="DT28" s="15" t="n"/>
      <c r="DU28" s="75" t="n"/>
      <c r="DV28" s="15" t="n"/>
      <c r="DW28" s="15" t="n"/>
      <c r="DX28" s="15" t="n"/>
      <c r="DY28" s="15" t="n"/>
      <c r="DZ28" s="15" t="n"/>
      <c r="EA28" s="15" t="n"/>
      <c r="EB28" s="15" t="n"/>
      <c r="EC28" s="15" t="n"/>
      <c r="ED28" s="15" t="n"/>
      <c r="EE28" s="15" t="n"/>
      <c r="EF28" s="15" t="n"/>
      <c r="EG28" s="15" t="n"/>
      <c r="EH28" s="15" t="n"/>
      <c r="EI28" s="15" t="n"/>
      <c r="EJ28" s="15" t="n"/>
      <c r="EK28" s="15" t="n"/>
      <c r="EL28" s="75" t="n"/>
      <c r="EM28" s="15" t="n"/>
      <c r="EN28" s="15" t="n"/>
      <c r="EO28" s="15" t="n"/>
      <c r="EP28" s="15" t="n"/>
      <c r="EQ28" s="15" t="n"/>
      <c r="ER28" s="15" t="n"/>
      <c r="ES28" s="15" t="n"/>
      <c r="ET28" s="15" t="n"/>
      <c r="EU28" s="15" t="n"/>
      <c r="EV28" s="15" t="n"/>
      <c r="EW28" s="15" t="n"/>
      <c r="EX28" s="15" t="n"/>
      <c r="EY28" s="15" t="n"/>
      <c r="EZ28" s="15" t="n"/>
      <c r="FA28" s="15" t="n"/>
      <c r="FB28" s="15" t="n"/>
      <c r="FC28" s="75" t="n"/>
      <c r="FD28" s="15" t="n"/>
      <c r="FE28" s="15" t="n"/>
      <c r="FF28" s="15" t="n"/>
      <c r="FG28" s="15" t="n"/>
      <c r="FH28" s="15" t="n"/>
      <c r="FI28" s="15" t="n"/>
      <c r="FJ28" s="15" t="n"/>
      <c r="FK28" s="15" t="n"/>
      <c r="FL28" s="15" t="n"/>
      <c r="FM28" s="15" t="n"/>
      <c r="FN28" s="15" t="n"/>
      <c r="FO28" s="15" t="n"/>
      <c r="FP28" s="15" t="n"/>
      <c r="FQ28" s="15" t="n"/>
      <c r="FR28" s="15" t="n"/>
      <c r="FS28" s="15" t="n"/>
      <c r="FT28" s="75" t="n"/>
      <c r="FU28" s="15" t="n"/>
      <c r="FV28" s="15" t="n"/>
      <c r="FW28" s="15" t="n"/>
      <c r="FX28" s="15" t="n"/>
      <c r="FY28" s="15" t="n"/>
      <c r="FZ28" s="15" t="n"/>
      <c r="GA28" s="15" t="n"/>
      <c r="GB28" s="15" t="n"/>
      <c r="GC28" s="15" t="n"/>
      <c r="GD28" s="15" t="n"/>
      <c r="GE28" s="15" t="n"/>
      <c r="GF28" s="15" t="n"/>
      <c r="GG28" s="15" t="n"/>
      <c r="GH28" s="15" t="n"/>
      <c r="GI28" s="15" t="n"/>
      <c r="GJ28" s="15" t="n"/>
      <c r="GK28" s="75" t="n"/>
      <c r="GL28" s="15" t="n"/>
      <c r="GM28" s="15" t="n"/>
      <c r="GN28" s="15" t="n"/>
      <c r="GO28" s="15" t="n"/>
      <c r="GP28" s="15" t="n"/>
      <c r="GQ28" s="15" t="n"/>
      <c r="GR28" s="15" t="n"/>
      <c r="GS28" s="15" t="n"/>
      <c r="GT28" s="15" t="n"/>
      <c r="GU28" s="15" t="n"/>
      <c r="GV28" s="15" t="n"/>
      <c r="GW28" s="15" t="n"/>
      <c r="GX28" s="15" t="n"/>
      <c r="GY28" s="15" t="n"/>
      <c r="GZ28" s="15" t="n"/>
      <c r="HA28" s="15" t="n"/>
      <c r="HB28" s="75" t="n"/>
    </row>
    <row r="29" ht="16.5" customHeight="1">
      <c r="A29" s="76" t="inlineStr">
        <is>
          <t>م</t>
        </is>
      </c>
      <c r="B29" s="76" t="inlineStr">
        <is>
          <t>الاسم</t>
        </is>
      </c>
      <c r="C29" s="76" t="inlineStr">
        <is>
          <t>المجموع</t>
        </is>
      </c>
      <c r="D29" s="76" t="inlineStr">
        <is>
          <t>%</t>
        </is>
      </c>
      <c r="E29" s="76" t="inlineStr">
        <is>
          <t>الترتيب</t>
        </is>
      </c>
      <c r="F29" s="76" t="inlineStr">
        <is>
          <t>التقدير</t>
        </is>
      </c>
      <c r="G29" s="157" t="inlineStr">
        <is>
          <t>كويز</t>
        </is>
      </c>
      <c r="H29" s="158" t="inlineStr">
        <is>
          <t>امتحان</t>
        </is>
      </c>
      <c r="I29" s="157" t="inlineStr">
        <is>
          <t>كويز</t>
        </is>
      </c>
      <c r="J29" s="158" t="inlineStr">
        <is>
          <t>امتحان</t>
        </is>
      </c>
      <c r="K29" s="157" t="inlineStr">
        <is>
          <t>كويز</t>
        </is>
      </c>
      <c r="L29" s="158" t="inlineStr">
        <is>
          <t>امتحان</t>
        </is>
      </c>
      <c r="M29" s="157" t="inlineStr">
        <is>
          <t>كويز</t>
        </is>
      </c>
      <c r="N29" s="158" t="inlineStr">
        <is>
          <t>امتحان</t>
        </is>
      </c>
      <c r="O29" s="157" t="inlineStr">
        <is>
          <t>كويز</t>
        </is>
      </c>
      <c r="P29" s="158" t="inlineStr">
        <is>
          <t>امتحان</t>
        </is>
      </c>
      <c r="Q29" s="157" t="inlineStr">
        <is>
          <t>كويز</t>
        </is>
      </c>
      <c r="R29" s="158" t="inlineStr">
        <is>
          <t>امتحان</t>
        </is>
      </c>
      <c r="S29" s="157" t="inlineStr">
        <is>
          <t>كويز</t>
        </is>
      </c>
      <c r="T29" s="158" t="inlineStr">
        <is>
          <t>امتحان</t>
        </is>
      </c>
      <c r="U29" s="157" t="inlineStr">
        <is>
          <t>كويز</t>
        </is>
      </c>
      <c r="V29" s="158" t="inlineStr">
        <is>
          <t>امتحان</t>
        </is>
      </c>
      <c r="W29" s="59" t="inlineStr">
        <is>
          <t>ملاحظات</t>
        </is>
      </c>
      <c r="X29" s="159" t="inlineStr">
        <is>
          <t>كويز</t>
        </is>
      </c>
      <c r="Y29" s="160" t="inlineStr">
        <is>
          <t>امتحان</t>
        </is>
      </c>
      <c r="Z29" s="159" t="inlineStr">
        <is>
          <t>كويز</t>
        </is>
      </c>
      <c r="AA29" s="160" t="inlineStr">
        <is>
          <t>امتحان</t>
        </is>
      </c>
      <c r="AB29" s="159" t="inlineStr">
        <is>
          <t>كويز</t>
        </is>
      </c>
      <c r="AC29" s="160" t="inlineStr">
        <is>
          <t>امتحان</t>
        </is>
      </c>
      <c r="AD29" s="159" t="inlineStr">
        <is>
          <t>كويز</t>
        </is>
      </c>
      <c r="AE29" s="160" t="inlineStr">
        <is>
          <t>امتحان</t>
        </is>
      </c>
      <c r="AF29" s="159" t="inlineStr">
        <is>
          <t>كويز</t>
        </is>
      </c>
      <c r="AG29" s="160" t="inlineStr">
        <is>
          <t>امتحان</t>
        </is>
      </c>
      <c r="AH29" s="159" t="inlineStr">
        <is>
          <t>كويز</t>
        </is>
      </c>
      <c r="AI29" s="160" t="inlineStr">
        <is>
          <t>امتحان</t>
        </is>
      </c>
      <c r="AJ29" s="159" t="inlineStr">
        <is>
          <t>كويز</t>
        </is>
      </c>
      <c r="AK29" s="160" t="inlineStr">
        <is>
          <t>امتحان</t>
        </is>
      </c>
      <c r="AL29" s="159" t="inlineStr">
        <is>
          <t>كويز</t>
        </is>
      </c>
      <c r="AM29" s="160" t="inlineStr">
        <is>
          <t>امتحان</t>
        </is>
      </c>
      <c r="AN29" s="60" t="inlineStr">
        <is>
          <t>ملاحظات</t>
        </is>
      </c>
      <c r="AO29" s="161" t="inlineStr">
        <is>
          <t>كويز</t>
        </is>
      </c>
      <c r="AP29" s="162" t="inlineStr">
        <is>
          <t>امتحان</t>
        </is>
      </c>
      <c r="AQ29" s="161" t="inlineStr">
        <is>
          <t>كويز</t>
        </is>
      </c>
      <c r="AR29" s="162" t="inlineStr">
        <is>
          <t>امتحان</t>
        </is>
      </c>
      <c r="AS29" s="161" t="inlineStr">
        <is>
          <t>كويز</t>
        </is>
      </c>
      <c r="AT29" s="162" t="inlineStr">
        <is>
          <t>امتحان</t>
        </is>
      </c>
      <c r="AU29" s="161" t="inlineStr">
        <is>
          <t>كويز</t>
        </is>
      </c>
      <c r="AV29" s="162" t="inlineStr">
        <is>
          <t>امتحان</t>
        </is>
      </c>
      <c r="AW29" s="161" t="inlineStr">
        <is>
          <t>كويز</t>
        </is>
      </c>
      <c r="AX29" s="162" t="inlineStr">
        <is>
          <t>امتحان</t>
        </is>
      </c>
      <c r="AY29" s="161" t="inlineStr">
        <is>
          <t>كويز</t>
        </is>
      </c>
      <c r="AZ29" s="162" t="inlineStr">
        <is>
          <t>امتحان</t>
        </is>
      </c>
      <c r="BA29" s="161" t="inlineStr">
        <is>
          <t>كويز</t>
        </is>
      </c>
      <c r="BB29" s="162" t="inlineStr">
        <is>
          <t>امتحان</t>
        </is>
      </c>
      <c r="BC29" s="161" t="inlineStr">
        <is>
          <t>كويز</t>
        </is>
      </c>
      <c r="BD29" s="162" t="inlineStr">
        <is>
          <t>امتحان</t>
        </is>
      </c>
      <c r="BE29" s="61" t="inlineStr">
        <is>
          <t>ملاحظات</t>
        </is>
      </c>
      <c r="BF29" s="163" t="inlineStr">
        <is>
          <t>كويز</t>
        </is>
      </c>
      <c r="BG29" s="164" t="inlineStr">
        <is>
          <t>امتحان</t>
        </is>
      </c>
      <c r="BH29" s="163" t="inlineStr">
        <is>
          <t>كويز</t>
        </is>
      </c>
      <c r="BI29" s="164" t="inlineStr">
        <is>
          <t>امتحان</t>
        </is>
      </c>
      <c r="BJ29" s="163" t="inlineStr">
        <is>
          <t>كويز</t>
        </is>
      </c>
      <c r="BK29" s="164" t="inlineStr">
        <is>
          <t>امتحان</t>
        </is>
      </c>
      <c r="BL29" s="163" t="inlineStr">
        <is>
          <t>كويز</t>
        </is>
      </c>
      <c r="BM29" s="164" t="inlineStr">
        <is>
          <t>امتحان</t>
        </is>
      </c>
      <c r="BN29" s="163" t="inlineStr">
        <is>
          <t>كويز</t>
        </is>
      </c>
      <c r="BO29" s="164" t="inlineStr">
        <is>
          <t>امتحان</t>
        </is>
      </c>
      <c r="BP29" s="163" t="inlineStr">
        <is>
          <t>كويز</t>
        </is>
      </c>
      <c r="BQ29" s="164" t="inlineStr">
        <is>
          <t>امتحان</t>
        </is>
      </c>
      <c r="BR29" s="163" t="inlineStr">
        <is>
          <t>كويز</t>
        </is>
      </c>
      <c r="BS29" s="164" t="inlineStr">
        <is>
          <t>امتحان</t>
        </is>
      </c>
      <c r="BT29" s="163" t="inlineStr">
        <is>
          <t>كويز</t>
        </is>
      </c>
      <c r="BU29" s="164" t="inlineStr">
        <is>
          <t>امتحان</t>
        </is>
      </c>
      <c r="BV29" s="62" t="inlineStr">
        <is>
          <t>ملاحظات</t>
        </is>
      </c>
      <c r="BW29" s="165" t="inlineStr">
        <is>
          <t>كويز</t>
        </is>
      </c>
      <c r="BX29" s="166" t="inlineStr">
        <is>
          <t>امتحان</t>
        </is>
      </c>
      <c r="BY29" s="165" t="inlineStr">
        <is>
          <t>كويز</t>
        </is>
      </c>
      <c r="BZ29" s="166" t="inlineStr">
        <is>
          <t>امتحان</t>
        </is>
      </c>
      <c r="CA29" s="165" t="inlineStr">
        <is>
          <t>كويز</t>
        </is>
      </c>
      <c r="CB29" s="166" t="inlineStr">
        <is>
          <t>امتحان</t>
        </is>
      </c>
      <c r="CC29" s="165" t="inlineStr">
        <is>
          <t>كويز</t>
        </is>
      </c>
      <c r="CD29" s="166" t="inlineStr">
        <is>
          <t>امتحان</t>
        </is>
      </c>
      <c r="CE29" s="165" t="inlineStr">
        <is>
          <t>كويز</t>
        </is>
      </c>
      <c r="CF29" s="166" t="inlineStr">
        <is>
          <t>امتحان</t>
        </is>
      </c>
      <c r="CG29" s="165" t="inlineStr">
        <is>
          <t>كويز</t>
        </is>
      </c>
      <c r="CH29" s="166" t="inlineStr">
        <is>
          <t>امتحان</t>
        </is>
      </c>
      <c r="CI29" s="165" t="inlineStr">
        <is>
          <t>كويز</t>
        </is>
      </c>
      <c r="CJ29" s="166" t="inlineStr">
        <is>
          <t>امتحان</t>
        </is>
      </c>
      <c r="CK29" s="165" t="inlineStr">
        <is>
          <t>كويز</t>
        </is>
      </c>
      <c r="CL29" s="166" t="inlineStr">
        <is>
          <t>امتحان</t>
        </is>
      </c>
      <c r="CM29" s="63" t="inlineStr">
        <is>
          <t>ملاحظات</t>
        </is>
      </c>
      <c r="CN29" s="167" t="inlineStr">
        <is>
          <t>كويز</t>
        </is>
      </c>
      <c r="CO29" s="168" t="inlineStr">
        <is>
          <t>امتحان</t>
        </is>
      </c>
      <c r="CP29" s="167" t="inlineStr">
        <is>
          <t>كويز</t>
        </is>
      </c>
      <c r="CQ29" s="168" t="inlineStr">
        <is>
          <t>امتحان</t>
        </is>
      </c>
      <c r="CR29" s="167" t="inlineStr">
        <is>
          <t>كويز</t>
        </is>
      </c>
      <c r="CS29" s="168" t="inlineStr">
        <is>
          <t>امتحان</t>
        </is>
      </c>
      <c r="CT29" s="167" t="inlineStr">
        <is>
          <t>كويز</t>
        </is>
      </c>
      <c r="CU29" s="168" t="inlineStr">
        <is>
          <t>امتحان</t>
        </is>
      </c>
      <c r="CV29" s="167" t="inlineStr">
        <is>
          <t>كويز</t>
        </is>
      </c>
      <c r="CW29" s="168" t="inlineStr">
        <is>
          <t>امتحان</t>
        </is>
      </c>
      <c r="CX29" s="167" t="inlineStr">
        <is>
          <t>كويز</t>
        </is>
      </c>
      <c r="CY29" s="168" t="inlineStr">
        <is>
          <t>امتحان</t>
        </is>
      </c>
      <c r="CZ29" s="167" t="inlineStr">
        <is>
          <t>كويز</t>
        </is>
      </c>
      <c r="DA29" s="168" t="inlineStr">
        <is>
          <t>امتحان</t>
        </is>
      </c>
      <c r="DB29" s="167" t="inlineStr">
        <is>
          <t>كويز</t>
        </is>
      </c>
      <c r="DC29" s="168" t="inlineStr">
        <is>
          <t>امتحان</t>
        </is>
      </c>
      <c r="DD29" s="64" t="inlineStr">
        <is>
          <t>ملاحظات</t>
        </is>
      </c>
      <c r="DE29" s="169" t="inlineStr">
        <is>
          <t>كويز</t>
        </is>
      </c>
      <c r="DF29" s="170" t="inlineStr">
        <is>
          <t>امتحان</t>
        </is>
      </c>
      <c r="DG29" s="169" t="inlineStr">
        <is>
          <t>كويز</t>
        </is>
      </c>
      <c r="DH29" s="170" t="inlineStr">
        <is>
          <t>امتحان</t>
        </is>
      </c>
      <c r="DI29" s="169" t="inlineStr">
        <is>
          <t>كويز</t>
        </is>
      </c>
      <c r="DJ29" s="170" t="inlineStr">
        <is>
          <t>امتحان</t>
        </is>
      </c>
      <c r="DK29" s="169" t="inlineStr">
        <is>
          <t>كويز</t>
        </is>
      </c>
      <c r="DL29" s="170" t="inlineStr">
        <is>
          <t>امتحان</t>
        </is>
      </c>
      <c r="DM29" s="169" t="inlineStr">
        <is>
          <t>كويز</t>
        </is>
      </c>
      <c r="DN29" s="170" t="inlineStr">
        <is>
          <t>امتحان</t>
        </is>
      </c>
      <c r="DO29" s="169" t="inlineStr">
        <is>
          <t>كويز</t>
        </is>
      </c>
      <c r="DP29" s="170" t="inlineStr">
        <is>
          <t>امتحان</t>
        </is>
      </c>
      <c r="DQ29" s="169" t="inlineStr">
        <is>
          <t>كويز</t>
        </is>
      </c>
      <c r="DR29" s="170" t="inlineStr">
        <is>
          <t>امتحان</t>
        </is>
      </c>
      <c r="DS29" s="169" t="inlineStr">
        <is>
          <t>كويز</t>
        </is>
      </c>
      <c r="DT29" s="170" t="inlineStr">
        <is>
          <t>امتحان</t>
        </is>
      </c>
      <c r="DU29" s="65" t="inlineStr">
        <is>
          <t>ملاحظات</t>
        </is>
      </c>
      <c r="DV29" s="171" t="inlineStr">
        <is>
          <t>كويز</t>
        </is>
      </c>
      <c r="DW29" s="172" t="inlineStr">
        <is>
          <t>امتحان</t>
        </is>
      </c>
      <c r="DX29" s="171" t="inlineStr">
        <is>
          <t>كويز</t>
        </is>
      </c>
      <c r="DY29" s="172" t="inlineStr">
        <is>
          <t>امتحان</t>
        </is>
      </c>
      <c r="DZ29" s="171" t="inlineStr">
        <is>
          <t>كويز</t>
        </is>
      </c>
      <c r="EA29" s="172" t="inlineStr">
        <is>
          <t>امتحان</t>
        </is>
      </c>
      <c r="EB29" s="171" t="inlineStr">
        <is>
          <t>كويز</t>
        </is>
      </c>
      <c r="EC29" s="172" t="inlineStr">
        <is>
          <t>امتحان</t>
        </is>
      </c>
      <c r="ED29" s="171" t="inlineStr">
        <is>
          <t>كويز</t>
        </is>
      </c>
      <c r="EE29" s="172" t="inlineStr">
        <is>
          <t>امتحان</t>
        </is>
      </c>
      <c r="EF29" s="171" t="inlineStr">
        <is>
          <t>كويز</t>
        </is>
      </c>
      <c r="EG29" s="172" t="inlineStr">
        <is>
          <t>امتحان</t>
        </is>
      </c>
      <c r="EH29" s="171" t="inlineStr">
        <is>
          <t>كويز</t>
        </is>
      </c>
      <c r="EI29" s="172" t="inlineStr">
        <is>
          <t>امتحان</t>
        </is>
      </c>
      <c r="EJ29" s="171" t="inlineStr">
        <is>
          <t>كويز</t>
        </is>
      </c>
      <c r="EK29" s="172" t="inlineStr">
        <is>
          <t>امتحان</t>
        </is>
      </c>
      <c r="EL29" s="66" t="inlineStr">
        <is>
          <t>ملاحظات</t>
        </is>
      </c>
      <c r="EM29" s="173" t="inlineStr">
        <is>
          <t>كويز</t>
        </is>
      </c>
      <c r="EN29" s="174" t="inlineStr">
        <is>
          <t>امتحان</t>
        </is>
      </c>
      <c r="EO29" s="173" t="inlineStr">
        <is>
          <t>كويز</t>
        </is>
      </c>
      <c r="EP29" s="174" t="inlineStr">
        <is>
          <t>امتحان</t>
        </is>
      </c>
      <c r="EQ29" s="173" t="inlineStr">
        <is>
          <t>كويز</t>
        </is>
      </c>
      <c r="ER29" s="174" t="inlineStr">
        <is>
          <t>امتحان</t>
        </is>
      </c>
      <c r="ES29" s="173" t="inlineStr">
        <is>
          <t>كويز</t>
        </is>
      </c>
      <c r="ET29" s="174" t="inlineStr">
        <is>
          <t>امتحان</t>
        </is>
      </c>
      <c r="EU29" s="173" t="inlineStr">
        <is>
          <t>كويز</t>
        </is>
      </c>
      <c r="EV29" s="174" t="inlineStr">
        <is>
          <t>امتحان</t>
        </is>
      </c>
      <c r="EW29" s="173" t="inlineStr">
        <is>
          <t>كويز</t>
        </is>
      </c>
      <c r="EX29" s="174" t="inlineStr">
        <is>
          <t>امتحان</t>
        </is>
      </c>
      <c r="EY29" s="173" t="inlineStr">
        <is>
          <t>كويز</t>
        </is>
      </c>
      <c r="EZ29" s="174" t="inlineStr">
        <is>
          <t>امتحان</t>
        </is>
      </c>
      <c r="FA29" s="173" t="inlineStr">
        <is>
          <t>كويز</t>
        </is>
      </c>
      <c r="FB29" s="174" t="inlineStr">
        <is>
          <t>امتحان</t>
        </is>
      </c>
      <c r="FC29" s="67" t="inlineStr">
        <is>
          <t>ملاحظات</t>
        </is>
      </c>
      <c r="FD29" s="175" t="inlineStr">
        <is>
          <t>كويز</t>
        </is>
      </c>
      <c r="FE29" s="176" t="inlineStr">
        <is>
          <t>امتحان</t>
        </is>
      </c>
      <c r="FF29" s="175" t="inlineStr">
        <is>
          <t>كويز</t>
        </is>
      </c>
      <c r="FG29" s="176" t="inlineStr">
        <is>
          <t>امتحان</t>
        </is>
      </c>
      <c r="FH29" s="175" t="inlineStr">
        <is>
          <t>كويز</t>
        </is>
      </c>
      <c r="FI29" s="176" t="inlineStr">
        <is>
          <t>امتحان</t>
        </is>
      </c>
      <c r="FJ29" s="175" t="inlineStr">
        <is>
          <t>كويز</t>
        </is>
      </c>
      <c r="FK29" s="176" t="inlineStr">
        <is>
          <t>امتحان</t>
        </is>
      </c>
      <c r="FL29" s="175" t="inlineStr">
        <is>
          <t>كويز</t>
        </is>
      </c>
      <c r="FM29" s="176" t="inlineStr">
        <is>
          <t>امتحان</t>
        </is>
      </c>
      <c r="FN29" s="175" t="inlineStr">
        <is>
          <t>كويز</t>
        </is>
      </c>
      <c r="FO29" s="176" t="inlineStr">
        <is>
          <t>امتحان</t>
        </is>
      </c>
      <c r="FP29" s="175" t="inlineStr">
        <is>
          <t>كويز</t>
        </is>
      </c>
      <c r="FQ29" s="176" t="inlineStr">
        <is>
          <t>امتحان</t>
        </is>
      </c>
      <c r="FR29" s="175" t="inlineStr">
        <is>
          <t>كويز</t>
        </is>
      </c>
      <c r="FS29" s="176" t="inlineStr">
        <is>
          <t>امتحان</t>
        </is>
      </c>
      <c r="FT29" s="68" t="inlineStr">
        <is>
          <t>ملاحظات</t>
        </is>
      </c>
      <c r="FU29" s="177" t="inlineStr">
        <is>
          <t>كويز</t>
        </is>
      </c>
      <c r="FV29" s="178" t="inlineStr">
        <is>
          <t>امتحان</t>
        </is>
      </c>
      <c r="FW29" s="177" t="inlineStr">
        <is>
          <t>كويز</t>
        </is>
      </c>
      <c r="FX29" s="178" t="inlineStr">
        <is>
          <t>امتحان</t>
        </is>
      </c>
      <c r="FY29" s="177" t="inlineStr">
        <is>
          <t>كويز</t>
        </is>
      </c>
      <c r="FZ29" s="178" t="inlineStr">
        <is>
          <t>امتحان</t>
        </is>
      </c>
      <c r="GA29" s="177" t="inlineStr">
        <is>
          <t>كويز</t>
        </is>
      </c>
      <c r="GB29" s="178" t="inlineStr">
        <is>
          <t>امتحان</t>
        </is>
      </c>
      <c r="GC29" s="177" t="inlineStr">
        <is>
          <t>كويز</t>
        </is>
      </c>
      <c r="GD29" s="178" t="inlineStr">
        <is>
          <t>امتحان</t>
        </is>
      </c>
      <c r="GE29" s="177" t="inlineStr">
        <is>
          <t>كويز</t>
        </is>
      </c>
      <c r="GF29" s="178" t="inlineStr">
        <is>
          <t>امتحان</t>
        </is>
      </c>
      <c r="GG29" s="177" t="inlineStr">
        <is>
          <t>كويز</t>
        </is>
      </c>
      <c r="GH29" s="178" t="inlineStr">
        <is>
          <t>امتحان</t>
        </is>
      </c>
      <c r="GI29" s="177" t="inlineStr">
        <is>
          <t>كويز</t>
        </is>
      </c>
      <c r="GJ29" s="178" t="inlineStr">
        <is>
          <t>امتحان</t>
        </is>
      </c>
      <c r="GK29" s="69" t="inlineStr">
        <is>
          <t>ملاحظات</t>
        </is>
      </c>
      <c r="GL29" s="179" t="inlineStr">
        <is>
          <t>كويز</t>
        </is>
      </c>
      <c r="GM29" s="180" t="inlineStr">
        <is>
          <t>امتحان</t>
        </is>
      </c>
      <c r="GN29" s="179" t="inlineStr">
        <is>
          <t>كويز</t>
        </is>
      </c>
      <c r="GO29" s="180" t="inlineStr">
        <is>
          <t>امتحان</t>
        </is>
      </c>
      <c r="GP29" s="179" t="inlineStr">
        <is>
          <t>كويز</t>
        </is>
      </c>
      <c r="GQ29" s="180" t="inlineStr">
        <is>
          <t>امتحان</t>
        </is>
      </c>
      <c r="GR29" s="179" t="inlineStr">
        <is>
          <t>كويز</t>
        </is>
      </c>
      <c r="GS29" s="180" t="inlineStr">
        <is>
          <t>امتحان</t>
        </is>
      </c>
      <c r="GT29" s="179" t="inlineStr">
        <is>
          <t>كويز</t>
        </is>
      </c>
      <c r="GU29" s="180" t="inlineStr">
        <is>
          <t>امتحان</t>
        </is>
      </c>
      <c r="GV29" s="179" t="inlineStr">
        <is>
          <t>كويز</t>
        </is>
      </c>
      <c r="GW29" s="180" t="inlineStr">
        <is>
          <t>امتحان</t>
        </is>
      </c>
      <c r="GX29" s="179" t="inlineStr">
        <is>
          <t>كويز</t>
        </is>
      </c>
      <c r="GY29" s="180" t="inlineStr">
        <is>
          <t>امتحان</t>
        </is>
      </c>
      <c r="GZ29" s="179" t="inlineStr">
        <is>
          <t>كويز</t>
        </is>
      </c>
      <c r="HA29" s="180" t="inlineStr">
        <is>
          <t>امتحان</t>
        </is>
      </c>
      <c r="HB29" s="70" t="inlineStr">
        <is>
          <t>ملاحظات</t>
        </is>
      </c>
    </row>
    <row r="30" ht="22.5" customHeight="1">
      <c r="A30" s="36" t="n">
        <v>1</v>
      </c>
      <c r="B30" s="181" t="str">
        <f>IF($B5="","",$B5)</f>
        <v/>
      </c>
      <c r="C30" s="136" t="str">
        <f>IF(OR($B30="",$HD30=0),"",ROUND($HC30,2)&amp;" / "&amp;$HD30)</f>
        <v/>
      </c>
      <c r="D30" s="182" t="str">
        <f>IF(OR($B30="",$HD30=0),"",$HC30/$HD30)</f>
        <v/>
      </c>
      <c r="E30" s="98" t="str">
        <f>IF($D30="","",RANK($D30,$D$30:$D$44))</f>
        <v/>
      </c>
      <c r="F30" s="99" t="str">
        <f>IF($D30="","",IF($D30&gt;=0.85,"ممتاز",IF($D30&gt;=0.75,"جيد جداً",IF($D30&gt;=0.65,"جيد",IF($D30&gt;=0.5,"مقبول","ضعيف")))))</f>
        <v/>
      </c>
      <c r="G30" s="100" t="n"/>
      <c r="H30" s="101" t="n"/>
      <c r="I30" s="100" t="n"/>
      <c r="J30" s="101" t="n"/>
      <c r="K30" s="100" t="n"/>
      <c r="L30" s="101" t="n"/>
      <c r="M30" s="100" t="n"/>
      <c r="N30" s="101" t="n"/>
      <c r="O30" s="100" t="n"/>
      <c r="P30" s="101" t="n"/>
      <c r="Q30" s="100" t="n"/>
      <c r="R30" s="101" t="n"/>
      <c r="S30" s="100" t="n"/>
      <c r="T30" s="101" t="n"/>
      <c r="U30" s="100" t="n"/>
      <c r="V30" s="101" t="n"/>
      <c r="W30" s="183" t="n"/>
      <c r="X30" s="103" t="n"/>
      <c r="Y30" s="104" t="n"/>
      <c r="Z30" s="103" t="n"/>
      <c r="AA30" s="104" t="n"/>
      <c r="AB30" s="103" t="n"/>
      <c r="AC30" s="104" t="n"/>
      <c r="AD30" s="103" t="n"/>
      <c r="AE30" s="104" t="n"/>
      <c r="AF30" s="103" t="n"/>
      <c r="AG30" s="104" t="n"/>
      <c r="AH30" s="103" t="n"/>
      <c r="AI30" s="104" t="n"/>
      <c r="AJ30" s="103" t="n"/>
      <c r="AK30" s="104" t="n"/>
      <c r="AL30" s="103" t="n"/>
      <c r="AM30" s="104" t="n"/>
      <c r="AN30" s="184" t="n"/>
      <c r="AO30" s="106" t="n"/>
      <c r="AP30" s="107" t="n"/>
      <c r="AQ30" s="106" t="n"/>
      <c r="AR30" s="107" t="n"/>
      <c r="AS30" s="106" t="n"/>
      <c r="AT30" s="107" t="n"/>
      <c r="AU30" s="106" t="n"/>
      <c r="AV30" s="107" t="n"/>
      <c r="AW30" s="106" t="n"/>
      <c r="AX30" s="107" t="n"/>
      <c r="AY30" s="106" t="n"/>
      <c r="AZ30" s="107" t="n"/>
      <c r="BA30" s="106" t="n"/>
      <c r="BB30" s="107" t="n"/>
      <c r="BC30" s="106" t="n"/>
      <c r="BD30" s="107" t="n"/>
      <c r="BE30" s="185" t="n"/>
      <c r="BF30" s="109" t="n"/>
      <c r="BG30" s="110" t="n"/>
      <c r="BH30" s="109" t="n"/>
      <c r="BI30" s="110" t="n"/>
      <c r="BJ30" s="109" t="n"/>
      <c r="BK30" s="110" t="n"/>
      <c r="BL30" s="109" t="n"/>
      <c r="BM30" s="110" t="n"/>
      <c r="BN30" s="109" t="n"/>
      <c r="BO30" s="110" t="n"/>
      <c r="BP30" s="109" t="n"/>
      <c r="BQ30" s="110" t="n"/>
      <c r="BR30" s="109" t="n"/>
      <c r="BS30" s="110" t="n"/>
      <c r="BT30" s="109" t="n"/>
      <c r="BU30" s="110" t="n"/>
      <c r="BV30" s="186" t="n"/>
      <c r="BW30" s="112" t="n"/>
      <c r="BX30" s="113" t="n"/>
      <c r="BY30" s="112" t="n"/>
      <c r="BZ30" s="113" t="n"/>
      <c r="CA30" s="112" t="n"/>
      <c r="CB30" s="113" t="n"/>
      <c r="CC30" s="112" t="n"/>
      <c r="CD30" s="113" t="n"/>
      <c r="CE30" s="112" t="n"/>
      <c r="CF30" s="113" t="n"/>
      <c r="CG30" s="112" t="n"/>
      <c r="CH30" s="113" t="n"/>
      <c r="CI30" s="112" t="n"/>
      <c r="CJ30" s="113" t="n"/>
      <c r="CK30" s="112" t="n"/>
      <c r="CL30" s="113" t="n"/>
      <c r="CM30" s="187" t="n"/>
      <c r="CN30" s="115" t="n"/>
      <c r="CO30" s="116" t="n"/>
      <c r="CP30" s="115" t="n"/>
      <c r="CQ30" s="116" t="n"/>
      <c r="CR30" s="115" t="n"/>
      <c r="CS30" s="116" t="n"/>
      <c r="CT30" s="115" t="n"/>
      <c r="CU30" s="116" t="n"/>
      <c r="CV30" s="115" t="n"/>
      <c r="CW30" s="116" t="n"/>
      <c r="CX30" s="115" t="n"/>
      <c r="CY30" s="116" t="n"/>
      <c r="CZ30" s="115" t="n"/>
      <c r="DA30" s="116" t="n"/>
      <c r="DB30" s="115" t="n"/>
      <c r="DC30" s="116" t="n"/>
      <c r="DD30" s="188" t="n"/>
      <c r="DE30" s="118" t="n"/>
      <c r="DF30" s="119" t="n"/>
      <c r="DG30" s="118" t="n"/>
      <c r="DH30" s="119" t="n"/>
      <c r="DI30" s="118" t="n"/>
      <c r="DJ30" s="119" t="n"/>
      <c r="DK30" s="118" t="n"/>
      <c r="DL30" s="119" t="n"/>
      <c r="DM30" s="118" t="n"/>
      <c r="DN30" s="119" t="n"/>
      <c r="DO30" s="118" t="n"/>
      <c r="DP30" s="119" t="n"/>
      <c r="DQ30" s="118" t="n"/>
      <c r="DR30" s="119" t="n"/>
      <c r="DS30" s="118" t="n"/>
      <c r="DT30" s="119" t="n"/>
      <c r="DU30" s="189" t="n"/>
      <c r="DV30" s="121" t="n"/>
      <c r="DW30" s="122" t="n"/>
      <c r="DX30" s="121" t="n"/>
      <c r="DY30" s="122" t="n"/>
      <c r="DZ30" s="121" t="n"/>
      <c r="EA30" s="122" t="n"/>
      <c r="EB30" s="121" t="n"/>
      <c r="EC30" s="122" t="n"/>
      <c r="ED30" s="121" t="n"/>
      <c r="EE30" s="122" t="n"/>
      <c r="EF30" s="121" t="n"/>
      <c r="EG30" s="122" t="n"/>
      <c r="EH30" s="121" t="n"/>
      <c r="EI30" s="122" t="n"/>
      <c r="EJ30" s="121" t="n"/>
      <c r="EK30" s="122" t="n"/>
      <c r="EL30" s="190" t="n"/>
      <c r="EM30" s="124" t="n"/>
      <c r="EN30" s="125" t="n"/>
      <c r="EO30" s="124" t="n"/>
      <c r="EP30" s="125" t="n"/>
      <c r="EQ30" s="124" t="n"/>
      <c r="ER30" s="125" t="n"/>
      <c r="ES30" s="124" t="n"/>
      <c r="ET30" s="125" t="n"/>
      <c r="EU30" s="124" t="n"/>
      <c r="EV30" s="125" t="n"/>
      <c r="EW30" s="124" t="n"/>
      <c r="EX30" s="125" t="n"/>
      <c r="EY30" s="124" t="n"/>
      <c r="EZ30" s="125" t="n"/>
      <c r="FA30" s="124" t="n"/>
      <c r="FB30" s="125" t="n"/>
      <c r="FC30" s="191" t="n"/>
      <c r="FD30" s="127" t="n"/>
      <c r="FE30" s="128" t="n"/>
      <c r="FF30" s="127" t="n"/>
      <c r="FG30" s="128" t="n"/>
      <c r="FH30" s="127" t="n"/>
      <c r="FI30" s="128" t="n"/>
      <c r="FJ30" s="127" t="n"/>
      <c r="FK30" s="128" t="n"/>
      <c r="FL30" s="127" t="n"/>
      <c r="FM30" s="128" t="n"/>
      <c r="FN30" s="127" t="n"/>
      <c r="FO30" s="128" t="n"/>
      <c r="FP30" s="127" t="n"/>
      <c r="FQ30" s="128" t="n"/>
      <c r="FR30" s="127" t="n"/>
      <c r="FS30" s="128" t="n"/>
      <c r="FT30" s="192" t="n"/>
      <c r="FU30" s="130" t="n"/>
      <c r="FV30" s="131" t="n"/>
      <c r="FW30" s="130" t="n"/>
      <c r="FX30" s="131" t="n"/>
      <c r="FY30" s="130" t="n"/>
      <c r="FZ30" s="131" t="n"/>
      <c r="GA30" s="130" t="n"/>
      <c r="GB30" s="131" t="n"/>
      <c r="GC30" s="130" t="n"/>
      <c r="GD30" s="131" t="n"/>
      <c r="GE30" s="130" t="n"/>
      <c r="GF30" s="131" t="n"/>
      <c r="GG30" s="130" t="n"/>
      <c r="GH30" s="131" t="n"/>
      <c r="GI30" s="130" t="n"/>
      <c r="GJ30" s="131" t="n"/>
      <c r="GK30" s="193" t="n"/>
      <c r="GL30" s="133" t="n"/>
      <c r="GM30" s="134" t="n"/>
      <c r="GN30" s="133" t="n"/>
      <c r="GO30" s="134" t="n"/>
      <c r="GP30" s="133" t="n"/>
      <c r="GQ30" s="134" t="n"/>
      <c r="GR30" s="133" t="n"/>
      <c r="GS30" s="134" t="n"/>
      <c r="GT30" s="133" t="n"/>
      <c r="GU30" s="134" t="n"/>
      <c r="GV30" s="133" t="n"/>
      <c r="GW30" s="134" t="n"/>
      <c r="GX30" s="133" t="n"/>
      <c r="GY30" s="134" t="n"/>
      <c r="GZ30" s="133" t="n"/>
      <c r="HA30" s="134" t="n"/>
      <c r="HB30" s="194" t="n"/>
      <c r="HC30">
        <f>SUMIFS($G30:$HB30,$G$46:$HB$46,"&gt;="&amp;$HD$1,$G$46:$HB$46,"&lt;="&amp;$HD$2,$G$29:$HB$29,"&lt;&gt;ملاحظات",$G$28:$HB$28,"&gt;0")</f>
        <v>0</v>
      </c>
      <c r="HD30">
        <f>SUMIFS($G$28:$HB$28,$G$46:$HB$46,"&gt;="&amp;$HD$1,$G$46:$HB$46,"&lt;="&amp;$HD$2,$G$29:$HB$29,"&lt;&gt;ملاحظات",$G30:$HB30,"&gt;=0")</f>
        <v>0</v>
      </c>
    </row>
    <row r="31" ht="22.5" customHeight="1">
      <c r="A31" s="36" t="n">
        <v>2</v>
      </c>
      <c r="B31" s="181" t="str">
        <f>IF($B6="","",$B6)</f>
        <v/>
      </c>
      <c r="C31" s="136" t="str">
        <f>IF(OR($B31="",$HD31=0),"",ROUND($HC31,2)&amp;" / "&amp;$HD31)</f>
        <v/>
      </c>
      <c r="D31" s="182" t="str">
        <f>IF(OR($B31="",$HD31=0),"",$HC31/$HD31)</f>
        <v/>
      </c>
      <c r="E31" s="98" t="str">
        <f>IF($D31="","",RANK($D31,$D$30:$D$44))</f>
        <v/>
      </c>
      <c r="F31" s="99" t="str">
        <f>IF($D31="","",IF($D31&gt;=0.85,"ممتاز",IF($D31&gt;=0.75,"جيد جداً",IF($D31&gt;=0.65,"جيد",IF($D31&gt;=0.5,"مقبول","ضعيف")))))</f>
        <v/>
      </c>
      <c r="G31" s="100" t="n"/>
      <c r="H31" s="101" t="n"/>
      <c r="I31" s="100" t="n"/>
      <c r="J31" s="101" t="n"/>
      <c r="K31" s="100" t="n"/>
      <c r="L31" s="101" t="n"/>
      <c r="M31" s="100" t="n"/>
      <c r="N31" s="101" t="n"/>
      <c r="O31" s="100" t="n"/>
      <c r="P31" s="101" t="n"/>
      <c r="Q31" s="100" t="n"/>
      <c r="R31" s="101" t="n"/>
      <c r="S31" s="100" t="n"/>
      <c r="T31" s="101" t="n"/>
      <c r="U31" s="100" t="n"/>
      <c r="V31" s="101" t="n"/>
      <c r="W31" s="183" t="n"/>
      <c r="X31" s="103" t="n"/>
      <c r="Y31" s="104" t="n"/>
      <c r="Z31" s="103" t="n"/>
      <c r="AA31" s="104" t="n"/>
      <c r="AB31" s="103" t="n"/>
      <c r="AC31" s="104" t="n"/>
      <c r="AD31" s="103" t="n"/>
      <c r="AE31" s="104" t="n"/>
      <c r="AF31" s="103" t="n"/>
      <c r="AG31" s="104" t="n"/>
      <c r="AH31" s="103" t="n"/>
      <c r="AI31" s="104" t="n"/>
      <c r="AJ31" s="103" t="n"/>
      <c r="AK31" s="104" t="n"/>
      <c r="AL31" s="103" t="n"/>
      <c r="AM31" s="104" t="n"/>
      <c r="AN31" s="184" t="n"/>
      <c r="AO31" s="106" t="n"/>
      <c r="AP31" s="107" t="n"/>
      <c r="AQ31" s="106" t="n"/>
      <c r="AR31" s="107" t="n"/>
      <c r="AS31" s="106" t="n"/>
      <c r="AT31" s="107" t="n"/>
      <c r="AU31" s="106" t="n"/>
      <c r="AV31" s="107" t="n"/>
      <c r="AW31" s="106" t="n"/>
      <c r="AX31" s="107" t="n"/>
      <c r="AY31" s="106" t="n"/>
      <c r="AZ31" s="107" t="n"/>
      <c r="BA31" s="106" t="n"/>
      <c r="BB31" s="107" t="n"/>
      <c r="BC31" s="106" t="n"/>
      <c r="BD31" s="107" t="n"/>
      <c r="BE31" s="185" t="n"/>
      <c r="BF31" s="109" t="n"/>
      <c r="BG31" s="110" t="n"/>
      <c r="BH31" s="109" t="n"/>
      <c r="BI31" s="110" t="n"/>
      <c r="BJ31" s="109" t="n"/>
      <c r="BK31" s="110" t="n"/>
      <c r="BL31" s="109" t="n"/>
      <c r="BM31" s="110" t="n"/>
      <c r="BN31" s="109" t="n"/>
      <c r="BO31" s="110" t="n"/>
      <c r="BP31" s="109" t="n"/>
      <c r="BQ31" s="110" t="n"/>
      <c r="BR31" s="109" t="n"/>
      <c r="BS31" s="110" t="n"/>
      <c r="BT31" s="109" t="n"/>
      <c r="BU31" s="110" t="n"/>
      <c r="BV31" s="186" t="n"/>
      <c r="BW31" s="112" t="n"/>
      <c r="BX31" s="113" t="n"/>
      <c r="BY31" s="112" t="n"/>
      <c r="BZ31" s="113" t="n"/>
      <c r="CA31" s="112" t="n"/>
      <c r="CB31" s="113" t="n"/>
      <c r="CC31" s="112" t="n"/>
      <c r="CD31" s="113" t="n"/>
      <c r="CE31" s="112" t="n"/>
      <c r="CF31" s="113" t="n"/>
      <c r="CG31" s="112" t="n"/>
      <c r="CH31" s="113" t="n"/>
      <c r="CI31" s="112" t="n"/>
      <c r="CJ31" s="113" t="n"/>
      <c r="CK31" s="112" t="n"/>
      <c r="CL31" s="113" t="n"/>
      <c r="CM31" s="187" t="n"/>
      <c r="CN31" s="115" t="n"/>
      <c r="CO31" s="116" t="n"/>
      <c r="CP31" s="115" t="n"/>
      <c r="CQ31" s="116" t="n"/>
      <c r="CR31" s="115" t="n"/>
      <c r="CS31" s="116" t="n"/>
      <c r="CT31" s="115" t="n"/>
      <c r="CU31" s="116" t="n"/>
      <c r="CV31" s="115" t="n"/>
      <c r="CW31" s="116" t="n"/>
      <c r="CX31" s="115" t="n"/>
      <c r="CY31" s="116" t="n"/>
      <c r="CZ31" s="115" t="n"/>
      <c r="DA31" s="116" t="n"/>
      <c r="DB31" s="115" t="n"/>
      <c r="DC31" s="116" t="n"/>
      <c r="DD31" s="188" t="n"/>
      <c r="DE31" s="118" t="n"/>
      <c r="DF31" s="119" t="n"/>
      <c r="DG31" s="118" t="n"/>
      <c r="DH31" s="119" t="n"/>
      <c r="DI31" s="118" t="n"/>
      <c r="DJ31" s="119" t="n"/>
      <c r="DK31" s="118" t="n"/>
      <c r="DL31" s="119" t="n"/>
      <c r="DM31" s="118" t="n"/>
      <c r="DN31" s="119" t="n"/>
      <c r="DO31" s="118" t="n"/>
      <c r="DP31" s="119" t="n"/>
      <c r="DQ31" s="118" t="n"/>
      <c r="DR31" s="119" t="n"/>
      <c r="DS31" s="118" t="n"/>
      <c r="DT31" s="119" t="n"/>
      <c r="DU31" s="189" t="n"/>
      <c r="DV31" s="121" t="n"/>
      <c r="DW31" s="122" t="n"/>
      <c r="DX31" s="121" t="n"/>
      <c r="DY31" s="122" t="n"/>
      <c r="DZ31" s="121" t="n"/>
      <c r="EA31" s="122" t="n"/>
      <c r="EB31" s="121" t="n"/>
      <c r="EC31" s="122" t="n"/>
      <c r="ED31" s="121" t="n"/>
      <c r="EE31" s="122" t="n"/>
      <c r="EF31" s="121" t="n"/>
      <c r="EG31" s="122" t="n"/>
      <c r="EH31" s="121" t="n"/>
      <c r="EI31" s="122" t="n"/>
      <c r="EJ31" s="121" t="n"/>
      <c r="EK31" s="122" t="n"/>
      <c r="EL31" s="190" t="n"/>
      <c r="EM31" s="124" t="n"/>
      <c r="EN31" s="125" t="n"/>
      <c r="EO31" s="124" t="n"/>
      <c r="EP31" s="125" t="n"/>
      <c r="EQ31" s="124" t="n"/>
      <c r="ER31" s="125" t="n"/>
      <c r="ES31" s="124" t="n"/>
      <c r="ET31" s="125" t="n"/>
      <c r="EU31" s="124" t="n"/>
      <c r="EV31" s="125" t="n"/>
      <c r="EW31" s="124" t="n"/>
      <c r="EX31" s="125" t="n"/>
      <c r="EY31" s="124" t="n"/>
      <c r="EZ31" s="125" t="n"/>
      <c r="FA31" s="124" t="n"/>
      <c r="FB31" s="125" t="n"/>
      <c r="FC31" s="191" t="n"/>
      <c r="FD31" s="127" t="n"/>
      <c r="FE31" s="128" t="n"/>
      <c r="FF31" s="127" t="n"/>
      <c r="FG31" s="128" t="n"/>
      <c r="FH31" s="127" t="n"/>
      <c r="FI31" s="128" t="n"/>
      <c r="FJ31" s="127" t="n"/>
      <c r="FK31" s="128" t="n"/>
      <c r="FL31" s="127" t="n"/>
      <c r="FM31" s="128" t="n"/>
      <c r="FN31" s="127" t="n"/>
      <c r="FO31" s="128" t="n"/>
      <c r="FP31" s="127" t="n"/>
      <c r="FQ31" s="128" t="n"/>
      <c r="FR31" s="127" t="n"/>
      <c r="FS31" s="128" t="n"/>
      <c r="FT31" s="192" t="n"/>
      <c r="FU31" s="130" t="n"/>
      <c r="FV31" s="131" t="n"/>
      <c r="FW31" s="130" t="n"/>
      <c r="FX31" s="131" t="n"/>
      <c r="FY31" s="130" t="n"/>
      <c r="FZ31" s="131" t="n"/>
      <c r="GA31" s="130" t="n"/>
      <c r="GB31" s="131" t="n"/>
      <c r="GC31" s="130" t="n"/>
      <c r="GD31" s="131" t="n"/>
      <c r="GE31" s="130" t="n"/>
      <c r="GF31" s="131" t="n"/>
      <c r="GG31" s="130" t="n"/>
      <c r="GH31" s="131" t="n"/>
      <c r="GI31" s="130" t="n"/>
      <c r="GJ31" s="131" t="n"/>
      <c r="GK31" s="193" t="n"/>
      <c r="GL31" s="133" t="n"/>
      <c r="GM31" s="134" t="n"/>
      <c r="GN31" s="133" t="n"/>
      <c r="GO31" s="134" t="n"/>
      <c r="GP31" s="133" t="n"/>
      <c r="GQ31" s="134" t="n"/>
      <c r="GR31" s="133" t="n"/>
      <c r="GS31" s="134" t="n"/>
      <c r="GT31" s="133" t="n"/>
      <c r="GU31" s="134" t="n"/>
      <c r="GV31" s="133" t="n"/>
      <c r="GW31" s="134" t="n"/>
      <c r="GX31" s="133" t="n"/>
      <c r="GY31" s="134" t="n"/>
      <c r="GZ31" s="133" t="n"/>
      <c r="HA31" s="134" t="n"/>
      <c r="HB31" s="194" t="n"/>
      <c r="HC31">
        <f>SUMIFS($G31:$HB31,$G$46:$HB$46,"&gt;="&amp;$HD$1,$G$46:$HB$46,"&lt;="&amp;$HD$2,$G$29:$HB$29,"&lt;&gt;ملاحظات",$G$28:$HB$28,"&gt;0")</f>
        <v>0</v>
      </c>
      <c r="HD31">
        <f>SUMIFS($G$28:$HB$28,$G$46:$HB$46,"&gt;="&amp;$HD$1,$G$46:$HB$46,"&lt;="&amp;$HD$2,$G$29:$HB$29,"&lt;&gt;ملاحظات",$G31:$HB31,"&gt;=0")</f>
        <v>0</v>
      </c>
    </row>
    <row r="32" ht="22.5" customHeight="1">
      <c r="A32" s="36" t="n">
        <v>3</v>
      </c>
      <c r="B32" s="181" t="str">
        <f>IF($B7="","",$B7)</f>
        <v/>
      </c>
      <c r="C32" s="136" t="str">
        <f>IF(OR($B32="",$HD32=0),"",ROUND($HC32,2)&amp;" / "&amp;$HD32)</f>
        <v/>
      </c>
      <c r="D32" s="182" t="str">
        <f>IF(OR($B32="",$HD32=0),"",$HC32/$HD32)</f>
        <v/>
      </c>
      <c r="E32" s="98" t="str">
        <f>IF($D32="","",RANK($D32,$D$30:$D$44))</f>
        <v/>
      </c>
      <c r="F32" s="99" t="str">
        <f>IF($D32="","",IF($D32&gt;=0.85,"ممتاز",IF($D32&gt;=0.75,"جيد جداً",IF($D32&gt;=0.65,"جيد",IF($D32&gt;=0.5,"مقبول","ضعيف")))))</f>
        <v/>
      </c>
      <c r="G32" s="100" t="n"/>
      <c r="H32" s="101" t="n"/>
      <c r="I32" s="100" t="n"/>
      <c r="J32" s="101" t="n"/>
      <c r="K32" s="100" t="n"/>
      <c r="L32" s="101" t="n"/>
      <c r="M32" s="100" t="n"/>
      <c r="N32" s="101" t="n"/>
      <c r="O32" s="100" t="n"/>
      <c r="P32" s="101" t="n"/>
      <c r="Q32" s="100" t="n"/>
      <c r="R32" s="101" t="n"/>
      <c r="S32" s="100" t="n"/>
      <c r="T32" s="101" t="n"/>
      <c r="U32" s="100" t="n"/>
      <c r="V32" s="101" t="n"/>
      <c r="W32" s="183" t="n"/>
      <c r="X32" s="103" t="n"/>
      <c r="Y32" s="104" t="n"/>
      <c r="Z32" s="103" t="n"/>
      <c r="AA32" s="104" t="n"/>
      <c r="AB32" s="103" t="n"/>
      <c r="AC32" s="104" t="n"/>
      <c r="AD32" s="103" t="n"/>
      <c r="AE32" s="104" t="n"/>
      <c r="AF32" s="103" t="n"/>
      <c r="AG32" s="104" t="n"/>
      <c r="AH32" s="103" t="n"/>
      <c r="AI32" s="104" t="n"/>
      <c r="AJ32" s="103" t="n"/>
      <c r="AK32" s="104" t="n"/>
      <c r="AL32" s="103" t="n"/>
      <c r="AM32" s="104" t="n"/>
      <c r="AN32" s="184" t="n"/>
      <c r="AO32" s="106" t="n"/>
      <c r="AP32" s="107" t="n"/>
      <c r="AQ32" s="106" t="n"/>
      <c r="AR32" s="107" t="n"/>
      <c r="AS32" s="106" t="n"/>
      <c r="AT32" s="107" t="n"/>
      <c r="AU32" s="106" t="n"/>
      <c r="AV32" s="107" t="n"/>
      <c r="AW32" s="106" t="n"/>
      <c r="AX32" s="107" t="n"/>
      <c r="AY32" s="106" t="n"/>
      <c r="AZ32" s="107" t="n"/>
      <c r="BA32" s="106" t="n"/>
      <c r="BB32" s="107" t="n"/>
      <c r="BC32" s="106" t="n"/>
      <c r="BD32" s="107" t="n"/>
      <c r="BE32" s="185" t="n"/>
      <c r="BF32" s="109" t="n"/>
      <c r="BG32" s="110" t="n"/>
      <c r="BH32" s="109" t="n"/>
      <c r="BI32" s="110" t="n"/>
      <c r="BJ32" s="109" t="n"/>
      <c r="BK32" s="110" t="n"/>
      <c r="BL32" s="109" t="n"/>
      <c r="BM32" s="110" t="n"/>
      <c r="BN32" s="109" t="n"/>
      <c r="BO32" s="110" t="n"/>
      <c r="BP32" s="109" t="n"/>
      <c r="BQ32" s="110" t="n"/>
      <c r="BR32" s="109" t="n"/>
      <c r="BS32" s="110" t="n"/>
      <c r="BT32" s="109" t="n"/>
      <c r="BU32" s="110" t="n"/>
      <c r="BV32" s="186" t="n"/>
      <c r="BW32" s="112" t="n"/>
      <c r="BX32" s="113" t="n"/>
      <c r="BY32" s="112" t="n"/>
      <c r="BZ32" s="113" t="n"/>
      <c r="CA32" s="112" t="n"/>
      <c r="CB32" s="113" t="n"/>
      <c r="CC32" s="112" t="n"/>
      <c r="CD32" s="113" t="n"/>
      <c r="CE32" s="112" t="n"/>
      <c r="CF32" s="113" t="n"/>
      <c r="CG32" s="112" t="n"/>
      <c r="CH32" s="113" t="n"/>
      <c r="CI32" s="112" t="n"/>
      <c r="CJ32" s="113" t="n"/>
      <c r="CK32" s="112" t="n"/>
      <c r="CL32" s="113" t="n"/>
      <c r="CM32" s="187" t="n"/>
      <c r="CN32" s="115" t="n"/>
      <c r="CO32" s="116" t="n"/>
      <c r="CP32" s="115" t="n"/>
      <c r="CQ32" s="116" t="n"/>
      <c r="CR32" s="115" t="n"/>
      <c r="CS32" s="116" t="n"/>
      <c r="CT32" s="115" t="n"/>
      <c r="CU32" s="116" t="n"/>
      <c r="CV32" s="115" t="n"/>
      <c r="CW32" s="116" t="n"/>
      <c r="CX32" s="115" t="n"/>
      <c r="CY32" s="116" t="n"/>
      <c r="CZ32" s="115" t="n"/>
      <c r="DA32" s="116" t="n"/>
      <c r="DB32" s="115" t="n"/>
      <c r="DC32" s="116" t="n"/>
      <c r="DD32" s="188" t="n"/>
      <c r="DE32" s="118" t="n"/>
      <c r="DF32" s="119" t="n"/>
      <c r="DG32" s="118" t="n"/>
      <c r="DH32" s="119" t="n"/>
      <c r="DI32" s="118" t="n"/>
      <c r="DJ32" s="119" t="n"/>
      <c r="DK32" s="118" t="n"/>
      <c r="DL32" s="119" t="n"/>
      <c r="DM32" s="118" t="n"/>
      <c r="DN32" s="119" t="n"/>
      <c r="DO32" s="118" t="n"/>
      <c r="DP32" s="119" t="n"/>
      <c r="DQ32" s="118" t="n"/>
      <c r="DR32" s="119" t="n"/>
      <c r="DS32" s="118" t="n"/>
      <c r="DT32" s="119" t="n"/>
      <c r="DU32" s="189" t="n"/>
      <c r="DV32" s="121" t="n"/>
      <c r="DW32" s="122" t="n"/>
      <c r="DX32" s="121" t="n"/>
      <c r="DY32" s="122" t="n"/>
      <c r="DZ32" s="121" t="n"/>
      <c r="EA32" s="122" t="n"/>
      <c r="EB32" s="121" t="n"/>
      <c r="EC32" s="122" t="n"/>
      <c r="ED32" s="121" t="n"/>
      <c r="EE32" s="122" t="n"/>
      <c r="EF32" s="121" t="n"/>
      <c r="EG32" s="122" t="n"/>
      <c r="EH32" s="121" t="n"/>
      <c r="EI32" s="122" t="n"/>
      <c r="EJ32" s="121" t="n"/>
      <c r="EK32" s="122" t="n"/>
      <c r="EL32" s="190" t="n"/>
      <c r="EM32" s="124" t="n"/>
      <c r="EN32" s="125" t="n"/>
      <c r="EO32" s="124" t="n"/>
      <c r="EP32" s="125" t="n"/>
      <c r="EQ32" s="124" t="n"/>
      <c r="ER32" s="125" t="n"/>
      <c r="ES32" s="124" t="n"/>
      <c r="ET32" s="125" t="n"/>
      <c r="EU32" s="124" t="n"/>
      <c r="EV32" s="125" t="n"/>
      <c r="EW32" s="124" t="n"/>
      <c r="EX32" s="125" t="n"/>
      <c r="EY32" s="124" t="n"/>
      <c r="EZ32" s="125" t="n"/>
      <c r="FA32" s="124" t="n"/>
      <c r="FB32" s="125" t="n"/>
      <c r="FC32" s="191" t="n"/>
      <c r="FD32" s="127" t="n"/>
      <c r="FE32" s="128" t="n"/>
      <c r="FF32" s="127" t="n"/>
      <c r="FG32" s="128" t="n"/>
      <c r="FH32" s="127" t="n"/>
      <c r="FI32" s="128" t="n"/>
      <c r="FJ32" s="127" t="n"/>
      <c r="FK32" s="128" t="n"/>
      <c r="FL32" s="127" t="n"/>
      <c r="FM32" s="128" t="n"/>
      <c r="FN32" s="127" t="n"/>
      <c r="FO32" s="128" t="n"/>
      <c r="FP32" s="127" t="n"/>
      <c r="FQ32" s="128" t="n"/>
      <c r="FR32" s="127" t="n"/>
      <c r="FS32" s="128" t="n"/>
      <c r="FT32" s="192" t="n"/>
      <c r="FU32" s="130" t="n"/>
      <c r="FV32" s="131" t="n"/>
      <c r="FW32" s="130" t="n"/>
      <c r="FX32" s="131" t="n"/>
      <c r="FY32" s="130" t="n"/>
      <c r="FZ32" s="131" t="n"/>
      <c r="GA32" s="130" t="n"/>
      <c r="GB32" s="131" t="n"/>
      <c r="GC32" s="130" t="n"/>
      <c r="GD32" s="131" t="n"/>
      <c r="GE32" s="130" t="n"/>
      <c r="GF32" s="131" t="n"/>
      <c r="GG32" s="130" t="n"/>
      <c r="GH32" s="131" t="n"/>
      <c r="GI32" s="130" t="n"/>
      <c r="GJ32" s="131" t="n"/>
      <c r="GK32" s="193" t="n"/>
      <c r="GL32" s="133" t="n"/>
      <c r="GM32" s="134" t="n"/>
      <c r="GN32" s="133" t="n"/>
      <c r="GO32" s="134" t="n"/>
      <c r="GP32" s="133" t="n"/>
      <c r="GQ32" s="134" t="n"/>
      <c r="GR32" s="133" t="n"/>
      <c r="GS32" s="134" t="n"/>
      <c r="GT32" s="133" t="n"/>
      <c r="GU32" s="134" t="n"/>
      <c r="GV32" s="133" t="n"/>
      <c r="GW32" s="134" t="n"/>
      <c r="GX32" s="133" t="n"/>
      <c r="GY32" s="134" t="n"/>
      <c r="GZ32" s="133" t="n"/>
      <c r="HA32" s="134" t="n"/>
      <c r="HB32" s="194" t="n"/>
      <c r="HC32">
        <f>SUMIFS($G32:$HB32,$G$46:$HB$46,"&gt;="&amp;$HD$1,$G$46:$HB$46,"&lt;="&amp;$HD$2,$G$29:$HB$29,"&lt;&gt;ملاحظات",$G$28:$HB$28,"&gt;0")</f>
        <v>0</v>
      </c>
      <c r="HD32">
        <f>SUMIFS($G$28:$HB$28,$G$46:$HB$46,"&gt;="&amp;$HD$1,$G$46:$HB$46,"&lt;="&amp;$HD$2,$G$29:$HB$29,"&lt;&gt;ملاحظات",$G32:$HB32,"&gt;=0")</f>
        <v>0</v>
      </c>
    </row>
    <row r="33" ht="22.5" customHeight="1">
      <c r="A33" s="36" t="n">
        <v>4</v>
      </c>
      <c r="B33" s="181" t="str">
        <f>IF($B8="","",$B8)</f>
        <v/>
      </c>
      <c r="C33" s="136" t="str">
        <f>IF(OR($B33="",$HD33=0),"",ROUND($HC33,2)&amp;" / "&amp;$HD33)</f>
        <v/>
      </c>
      <c r="D33" s="182" t="str">
        <f>IF(OR($B33="",$HD33=0),"",$HC33/$HD33)</f>
        <v/>
      </c>
      <c r="E33" s="98" t="str">
        <f>IF($D33="","",RANK($D33,$D$30:$D$44))</f>
        <v/>
      </c>
      <c r="F33" s="99" t="str">
        <f>IF($D33="","",IF($D33&gt;=0.85,"ممتاز",IF($D33&gt;=0.75,"جيد جداً",IF($D33&gt;=0.65,"جيد",IF($D33&gt;=0.5,"مقبول","ضعيف")))))</f>
        <v/>
      </c>
      <c r="G33" s="100" t="n"/>
      <c r="H33" s="101" t="n"/>
      <c r="I33" s="100" t="n"/>
      <c r="J33" s="101" t="n"/>
      <c r="K33" s="100" t="n"/>
      <c r="L33" s="101" t="n"/>
      <c r="M33" s="100" t="n"/>
      <c r="N33" s="101" t="n"/>
      <c r="O33" s="100" t="n"/>
      <c r="P33" s="101" t="n"/>
      <c r="Q33" s="100" t="n"/>
      <c r="R33" s="101" t="n"/>
      <c r="S33" s="100" t="n"/>
      <c r="T33" s="101" t="n"/>
      <c r="U33" s="100" t="n"/>
      <c r="V33" s="101" t="n"/>
      <c r="W33" s="183" t="n"/>
      <c r="X33" s="103" t="n"/>
      <c r="Y33" s="104" t="n"/>
      <c r="Z33" s="103" t="n"/>
      <c r="AA33" s="104" t="n"/>
      <c r="AB33" s="103" t="n"/>
      <c r="AC33" s="104" t="n"/>
      <c r="AD33" s="103" t="n"/>
      <c r="AE33" s="104" t="n"/>
      <c r="AF33" s="103" t="n"/>
      <c r="AG33" s="104" t="n"/>
      <c r="AH33" s="103" t="n"/>
      <c r="AI33" s="104" t="n"/>
      <c r="AJ33" s="103" t="n"/>
      <c r="AK33" s="104" t="n"/>
      <c r="AL33" s="103" t="n"/>
      <c r="AM33" s="104" t="n"/>
      <c r="AN33" s="184" t="n"/>
      <c r="AO33" s="106" t="n"/>
      <c r="AP33" s="107" t="n"/>
      <c r="AQ33" s="106" t="n"/>
      <c r="AR33" s="107" t="n"/>
      <c r="AS33" s="106" t="n"/>
      <c r="AT33" s="107" t="n"/>
      <c r="AU33" s="106" t="n"/>
      <c r="AV33" s="107" t="n"/>
      <c r="AW33" s="106" t="n"/>
      <c r="AX33" s="107" t="n"/>
      <c r="AY33" s="106" t="n"/>
      <c r="AZ33" s="107" t="n"/>
      <c r="BA33" s="106" t="n"/>
      <c r="BB33" s="107" t="n"/>
      <c r="BC33" s="106" t="n"/>
      <c r="BD33" s="107" t="n"/>
      <c r="BE33" s="185" t="n"/>
      <c r="BF33" s="109" t="n"/>
      <c r="BG33" s="110" t="n"/>
      <c r="BH33" s="109" t="n"/>
      <c r="BI33" s="110" t="n"/>
      <c r="BJ33" s="109" t="n"/>
      <c r="BK33" s="110" t="n"/>
      <c r="BL33" s="109" t="n"/>
      <c r="BM33" s="110" t="n"/>
      <c r="BN33" s="109" t="n"/>
      <c r="BO33" s="110" t="n"/>
      <c r="BP33" s="109" t="n"/>
      <c r="BQ33" s="110" t="n"/>
      <c r="BR33" s="109" t="n"/>
      <c r="BS33" s="110" t="n"/>
      <c r="BT33" s="109" t="n"/>
      <c r="BU33" s="110" t="n"/>
      <c r="BV33" s="186" t="n"/>
      <c r="BW33" s="112" t="n"/>
      <c r="BX33" s="113" t="n"/>
      <c r="BY33" s="112" t="n"/>
      <c r="BZ33" s="113" t="n"/>
      <c r="CA33" s="112" t="n"/>
      <c r="CB33" s="113" t="n"/>
      <c r="CC33" s="112" t="n"/>
      <c r="CD33" s="113" t="n"/>
      <c r="CE33" s="112" t="n"/>
      <c r="CF33" s="113" t="n"/>
      <c r="CG33" s="112" t="n"/>
      <c r="CH33" s="113" t="n"/>
      <c r="CI33" s="112" t="n"/>
      <c r="CJ33" s="113" t="n"/>
      <c r="CK33" s="112" t="n"/>
      <c r="CL33" s="113" t="n"/>
      <c r="CM33" s="187" t="n"/>
      <c r="CN33" s="115" t="n"/>
      <c r="CO33" s="116" t="n"/>
      <c r="CP33" s="115" t="n"/>
      <c r="CQ33" s="116" t="n"/>
      <c r="CR33" s="115" t="n"/>
      <c r="CS33" s="116" t="n"/>
      <c r="CT33" s="115" t="n"/>
      <c r="CU33" s="116" t="n"/>
      <c r="CV33" s="115" t="n"/>
      <c r="CW33" s="116" t="n"/>
      <c r="CX33" s="115" t="n"/>
      <c r="CY33" s="116" t="n"/>
      <c r="CZ33" s="115" t="n"/>
      <c r="DA33" s="116" t="n"/>
      <c r="DB33" s="115" t="n"/>
      <c r="DC33" s="116" t="n"/>
      <c r="DD33" s="188" t="n"/>
      <c r="DE33" s="118" t="n"/>
      <c r="DF33" s="119" t="n"/>
      <c r="DG33" s="118" t="n"/>
      <c r="DH33" s="119" t="n"/>
      <c r="DI33" s="118" t="n"/>
      <c r="DJ33" s="119" t="n"/>
      <c r="DK33" s="118" t="n"/>
      <c r="DL33" s="119" t="n"/>
      <c r="DM33" s="118" t="n"/>
      <c r="DN33" s="119" t="n"/>
      <c r="DO33" s="118" t="n"/>
      <c r="DP33" s="119" t="n"/>
      <c r="DQ33" s="118" t="n"/>
      <c r="DR33" s="119" t="n"/>
      <c r="DS33" s="118" t="n"/>
      <c r="DT33" s="119" t="n"/>
      <c r="DU33" s="189" t="n"/>
      <c r="DV33" s="121" t="n"/>
      <c r="DW33" s="122" t="n"/>
      <c r="DX33" s="121" t="n"/>
      <c r="DY33" s="122" t="n"/>
      <c r="DZ33" s="121" t="n"/>
      <c r="EA33" s="122" t="n"/>
      <c r="EB33" s="121" t="n"/>
      <c r="EC33" s="122" t="n"/>
      <c r="ED33" s="121" t="n"/>
      <c r="EE33" s="122" t="n"/>
      <c r="EF33" s="121" t="n"/>
      <c r="EG33" s="122" t="n"/>
      <c r="EH33" s="121" t="n"/>
      <c r="EI33" s="122" t="n"/>
      <c r="EJ33" s="121" t="n"/>
      <c r="EK33" s="122" t="n"/>
      <c r="EL33" s="190" t="n"/>
      <c r="EM33" s="124" t="n"/>
      <c r="EN33" s="125" t="n"/>
      <c r="EO33" s="124" t="n"/>
      <c r="EP33" s="125" t="n"/>
      <c r="EQ33" s="124" t="n"/>
      <c r="ER33" s="125" t="n"/>
      <c r="ES33" s="124" t="n"/>
      <c r="ET33" s="125" t="n"/>
      <c r="EU33" s="124" t="n"/>
      <c r="EV33" s="125" t="n"/>
      <c r="EW33" s="124" t="n"/>
      <c r="EX33" s="125" t="n"/>
      <c r="EY33" s="124" t="n"/>
      <c r="EZ33" s="125" t="n"/>
      <c r="FA33" s="124" t="n"/>
      <c r="FB33" s="125" t="n"/>
      <c r="FC33" s="191" t="n"/>
      <c r="FD33" s="127" t="n"/>
      <c r="FE33" s="128" t="n"/>
      <c r="FF33" s="127" t="n"/>
      <c r="FG33" s="128" t="n"/>
      <c r="FH33" s="127" t="n"/>
      <c r="FI33" s="128" t="n"/>
      <c r="FJ33" s="127" t="n"/>
      <c r="FK33" s="128" t="n"/>
      <c r="FL33" s="127" t="n"/>
      <c r="FM33" s="128" t="n"/>
      <c r="FN33" s="127" t="n"/>
      <c r="FO33" s="128" t="n"/>
      <c r="FP33" s="127" t="n"/>
      <c r="FQ33" s="128" t="n"/>
      <c r="FR33" s="127" t="n"/>
      <c r="FS33" s="128" t="n"/>
      <c r="FT33" s="192" t="n"/>
      <c r="FU33" s="130" t="n"/>
      <c r="FV33" s="131" t="n"/>
      <c r="FW33" s="130" t="n"/>
      <c r="FX33" s="131" t="n"/>
      <c r="FY33" s="130" t="n"/>
      <c r="FZ33" s="131" t="n"/>
      <c r="GA33" s="130" t="n"/>
      <c r="GB33" s="131" t="n"/>
      <c r="GC33" s="130" t="n"/>
      <c r="GD33" s="131" t="n"/>
      <c r="GE33" s="130" t="n"/>
      <c r="GF33" s="131" t="n"/>
      <c r="GG33" s="130" t="n"/>
      <c r="GH33" s="131" t="n"/>
      <c r="GI33" s="130" t="n"/>
      <c r="GJ33" s="131" t="n"/>
      <c r="GK33" s="193" t="n"/>
      <c r="GL33" s="133" t="n"/>
      <c r="GM33" s="134" t="n"/>
      <c r="GN33" s="133" t="n"/>
      <c r="GO33" s="134" t="n"/>
      <c r="GP33" s="133" t="n"/>
      <c r="GQ33" s="134" t="n"/>
      <c r="GR33" s="133" t="n"/>
      <c r="GS33" s="134" t="n"/>
      <c r="GT33" s="133" t="n"/>
      <c r="GU33" s="134" t="n"/>
      <c r="GV33" s="133" t="n"/>
      <c r="GW33" s="134" t="n"/>
      <c r="GX33" s="133" t="n"/>
      <c r="GY33" s="134" t="n"/>
      <c r="GZ33" s="133" t="n"/>
      <c r="HA33" s="134" t="n"/>
      <c r="HB33" s="194" t="n"/>
      <c r="HC33">
        <f>SUMIFS($G33:$HB33,$G$46:$HB$46,"&gt;="&amp;$HD$1,$G$46:$HB$46,"&lt;="&amp;$HD$2,$G$29:$HB$29,"&lt;&gt;ملاحظات",$G$28:$HB$28,"&gt;0")</f>
        <v>0</v>
      </c>
      <c r="HD33">
        <f>SUMIFS($G$28:$HB$28,$G$46:$HB$46,"&gt;="&amp;$HD$1,$G$46:$HB$46,"&lt;="&amp;$HD$2,$G$29:$HB$29,"&lt;&gt;ملاحظات",$G33:$HB33,"&gt;=0")</f>
        <v>0</v>
      </c>
    </row>
    <row r="34" ht="22.5" customHeight="1">
      <c r="A34" s="36" t="n">
        <v>5</v>
      </c>
      <c r="B34" s="181" t="str">
        <f>IF($B9="","",$B9)</f>
        <v/>
      </c>
      <c r="C34" s="136" t="str">
        <f>IF(OR($B34="",$HD34=0),"",ROUND($HC34,2)&amp;" / "&amp;$HD34)</f>
        <v/>
      </c>
      <c r="D34" s="182" t="str">
        <f>IF(OR($B34="",$HD34=0),"",$HC34/$HD34)</f>
        <v/>
      </c>
      <c r="E34" s="98" t="str">
        <f>IF($D34="","",RANK($D34,$D$30:$D$44))</f>
        <v/>
      </c>
      <c r="F34" s="99" t="str">
        <f>IF($D34="","",IF($D34&gt;=0.85,"ممتاز",IF($D34&gt;=0.75,"جيد جداً",IF($D34&gt;=0.65,"جيد",IF($D34&gt;=0.5,"مقبول","ضعيف")))))</f>
        <v/>
      </c>
      <c r="G34" s="100" t="n"/>
      <c r="H34" s="101" t="n"/>
      <c r="I34" s="100" t="n"/>
      <c r="J34" s="101" t="n"/>
      <c r="K34" s="100" t="n"/>
      <c r="L34" s="101" t="n"/>
      <c r="M34" s="100" t="n"/>
      <c r="N34" s="101" t="n"/>
      <c r="O34" s="100" t="n"/>
      <c r="P34" s="101" t="n"/>
      <c r="Q34" s="100" t="n"/>
      <c r="R34" s="101" t="n"/>
      <c r="S34" s="100" t="n"/>
      <c r="T34" s="101" t="n"/>
      <c r="U34" s="100" t="n"/>
      <c r="V34" s="101" t="n"/>
      <c r="W34" s="183" t="n"/>
      <c r="X34" s="103" t="n"/>
      <c r="Y34" s="104" t="n"/>
      <c r="Z34" s="103" t="n"/>
      <c r="AA34" s="104" t="n"/>
      <c r="AB34" s="103" t="n"/>
      <c r="AC34" s="104" t="n"/>
      <c r="AD34" s="103" t="n"/>
      <c r="AE34" s="104" t="n"/>
      <c r="AF34" s="103" t="n"/>
      <c r="AG34" s="104" t="n"/>
      <c r="AH34" s="103" t="n"/>
      <c r="AI34" s="104" t="n"/>
      <c r="AJ34" s="103" t="n"/>
      <c r="AK34" s="104" t="n"/>
      <c r="AL34" s="103" t="n"/>
      <c r="AM34" s="104" t="n"/>
      <c r="AN34" s="184" t="n"/>
      <c r="AO34" s="106" t="n"/>
      <c r="AP34" s="107" t="n"/>
      <c r="AQ34" s="106" t="n"/>
      <c r="AR34" s="107" t="n"/>
      <c r="AS34" s="106" t="n"/>
      <c r="AT34" s="107" t="n"/>
      <c r="AU34" s="106" t="n"/>
      <c r="AV34" s="107" t="n"/>
      <c r="AW34" s="106" t="n"/>
      <c r="AX34" s="107" t="n"/>
      <c r="AY34" s="106" t="n"/>
      <c r="AZ34" s="107" t="n"/>
      <c r="BA34" s="106" t="n"/>
      <c r="BB34" s="107" t="n"/>
      <c r="BC34" s="106" t="n"/>
      <c r="BD34" s="107" t="n"/>
      <c r="BE34" s="185" t="n"/>
      <c r="BF34" s="109" t="n"/>
      <c r="BG34" s="110" t="n"/>
      <c r="BH34" s="109" t="n"/>
      <c r="BI34" s="110" t="n"/>
      <c r="BJ34" s="109" t="n"/>
      <c r="BK34" s="110" t="n"/>
      <c r="BL34" s="109" t="n"/>
      <c r="BM34" s="110" t="n"/>
      <c r="BN34" s="109" t="n"/>
      <c r="BO34" s="110" t="n"/>
      <c r="BP34" s="109" t="n"/>
      <c r="BQ34" s="110" t="n"/>
      <c r="BR34" s="109" t="n"/>
      <c r="BS34" s="110" t="n"/>
      <c r="BT34" s="109" t="n"/>
      <c r="BU34" s="110" t="n"/>
      <c r="BV34" s="186" t="n"/>
      <c r="BW34" s="112" t="n"/>
      <c r="BX34" s="113" t="n"/>
      <c r="BY34" s="112" t="n"/>
      <c r="BZ34" s="113" t="n"/>
      <c r="CA34" s="112" t="n"/>
      <c r="CB34" s="113" t="n"/>
      <c r="CC34" s="112" t="n"/>
      <c r="CD34" s="113" t="n"/>
      <c r="CE34" s="112" t="n"/>
      <c r="CF34" s="113" t="n"/>
      <c r="CG34" s="112" t="n"/>
      <c r="CH34" s="113" t="n"/>
      <c r="CI34" s="112" t="n"/>
      <c r="CJ34" s="113" t="n"/>
      <c r="CK34" s="112" t="n"/>
      <c r="CL34" s="113" t="n"/>
      <c r="CM34" s="187" t="n"/>
      <c r="CN34" s="115" t="n"/>
      <c r="CO34" s="116" t="n"/>
      <c r="CP34" s="115" t="n"/>
      <c r="CQ34" s="116" t="n"/>
      <c r="CR34" s="115" t="n"/>
      <c r="CS34" s="116" t="n"/>
      <c r="CT34" s="115" t="n"/>
      <c r="CU34" s="116" t="n"/>
      <c r="CV34" s="115" t="n"/>
      <c r="CW34" s="116" t="n"/>
      <c r="CX34" s="115" t="n"/>
      <c r="CY34" s="116" t="n"/>
      <c r="CZ34" s="115" t="n"/>
      <c r="DA34" s="116" t="n"/>
      <c r="DB34" s="115" t="n"/>
      <c r="DC34" s="116" t="n"/>
      <c r="DD34" s="188" t="n"/>
      <c r="DE34" s="118" t="n"/>
      <c r="DF34" s="119" t="n"/>
      <c r="DG34" s="118" t="n"/>
      <c r="DH34" s="119" t="n"/>
      <c r="DI34" s="118" t="n"/>
      <c r="DJ34" s="119" t="n"/>
      <c r="DK34" s="118" t="n"/>
      <c r="DL34" s="119" t="n"/>
      <c r="DM34" s="118" t="n"/>
      <c r="DN34" s="119" t="n"/>
      <c r="DO34" s="118" t="n"/>
      <c r="DP34" s="119" t="n"/>
      <c r="DQ34" s="118" t="n"/>
      <c r="DR34" s="119" t="n"/>
      <c r="DS34" s="118" t="n"/>
      <c r="DT34" s="119" t="n"/>
      <c r="DU34" s="189" t="n"/>
      <c r="DV34" s="121" t="n"/>
      <c r="DW34" s="122" t="n"/>
      <c r="DX34" s="121" t="n"/>
      <c r="DY34" s="122" t="n"/>
      <c r="DZ34" s="121" t="n"/>
      <c r="EA34" s="122" t="n"/>
      <c r="EB34" s="121" t="n"/>
      <c r="EC34" s="122" t="n"/>
      <c r="ED34" s="121" t="n"/>
      <c r="EE34" s="122" t="n"/>
      <c r="EF34" s="121" t="n"/>
      <c r="EG34" s="122" t="n"/>
      <c r="EH34" s="121" t="n"/>
      <c r="EI34" s="122" t="n"/>
      <c r="EJ34" s="121" t="n"/>
      <c r="EK34" s="122" t="n"/>
      <c r="EL34" s="190" t="n"/>
      <c r="EM34" s="124" t="n"/>
      <c r="EN34" s="125" t="n"/>
      <c r="EO34" s="124" t="n"/>
      <c r="EP34" s="125" t="n"/>
      <c r="EQ34" s="124" t="n"/>
      <c r="ER34" s="125" t="n"/>
      <c r="ES34" s="124" t="n"/>
      <c r="ET34" s="125" t="n"/>
      <c r="EU34" s="124" t="n"/>
      <c r="EV34" s="125" t="n"/>
      <c r="EW34" s="124" t="n"/>
      <c r="EX34" s="125" t="n"/>
      <c r="EY34" s="124" t="n"/>
      <c r="EZ34" s="125" t="n"/>
      <c r="FA34" s="124" t="n"/>
      <c r="FB34" s="125" t="n"/>
      <c r="FC34" s="191" t="n"/>
      <c r="FD34" s="127" t="n"/>
      <c r="FE34" s="128" t="n"/>
      <c r="FF34" s="127" t="n"/>
      <c r="FG34" s="128" t="n"/>
      <c r="FH34" s="127" t="n"/>
      <c r="FI34" s="128" t="n"/>
      <c r="FJ34" s="127" t="n"/>
      <c r="FK34" s="128" t="n"/>
      <c r="FL34" s="127" t="n"/>
      <c r="FM34" s="128" t="n"/>
      <c r="FN34" s="127" t="n"/>
      <c r="FO34" s="128" t="n"/>
      <c r="FP34" s="127" t="n"/>
      <c r="FQ34" s="128" t="n"/>
      <c r="FR34" s="127" t="n"/>
      <c r="FS34" s="128" t="n"/>
      <c r="FT34" s="192" t="n"/>
      <c r="FU34" s="130" t="n"/>
      <c r="FV34" s="131" t="n"/>
      <c r="FW34" s="130" t="n"/>
      <c r="FX34" s="131" t="n"/>
      <c r="FY34" s="130" t="n"/>
      <c r="FZ34" s="131" t="n"/>
      <c r="GA34" s="130" t="n"/>
      <c r="GB34" s="131" t="n"/>
      <c r="GC34" s="130" t="n"/>
      <c r="GD34" s="131" t="n"/>
      <c r="GE34" s="130" t="n"/>
      <c r="GF34" s="131" t="n"/>
      <c r="GG34" s="130" t="n"/>
      <c r="GH34" s="131" t="n"/>
      <c r="GI34" s="130" t="n"/>
      <c r="GJ34" s="131" t="n"/>
      <c r="GK34" s="193" t="n"/>
      <c r="GL34" s="133" t="n"/>
      <c r="GM34" s="134" t="n"/>
      <c r="GN34" s="133" t="n"/>
      <c r="GO34" s="134" t="n"/>
      <c r="GP34" s="133" t="n"/>
      <c r="GQ34" s="134" t="n"/>
      <c r="GR34" s="133" t="n"/>
      <c r="GS34" s="134" t="n"/>
      <c r="GT34" s="133" t="n"/>
      <c r="GU34" s="134" t="n"/>
      <c r="GV34" s="133" t="n"/>
      <c r="GW34" s="134" t="n"/>
      <c r="GX34" s="133" t="n"/>
      <c r="GY34" s="134" t="n"/>
      <c r="GZ34" s="133" t="n"/>
      <c r="HA34" s="134" t="n"/>
      <c r="HB34" s="194" t="n"/>
      <c r="HC34">
        <f>SUMIFS($G34:$HB34,$G$46:$HB$46,"&gt;="&amp;$HD$1,$G$46:$HB$46,"&lt;="&amp;$HD$2,$G$29:$HB$29,"&lt;&gt;ملاحظات",$G$28:$HB$28,"&gt;0")</f>
        <v>0</v>
      </c>
      <c r="HD34">
        <f>SUMIFS($G$28:$HB$28,$G$46:$HB$46,"&gt;="&amp;$HD$1,$G$46:$HB$46,"&lt;="&amp;$HD$2,$G$29:$HB$29,"&lt;&gt;ملاحظات",$G34:$HB34,"&gt;=0")</f>
        <v>0</v>
      </c>
    </row>
    <row r="35" ht="22.5" customHeight="1">
      <c r="A35" s="36" t="n">
        <v>6</v>
      </c>
      <c r="B35" s="181" t="str">
        <f>IF($B10="","",$B10)</f>
        <v/>
      </c>
      <c r="C35" s="136" t="str">
        <f>IF(OR($B35="",$HD35=0),"",ROUND($HC35,2)&amp;" / "&amp;$HD35)</f>
        <v/>
      </c>
      <c r="D35" s="182" t="str">
        <f>IF(OR($B35="",$HD35=0),"",$HC35/$HD35)</f>
        <v/>
      </c>
      <c r="E35" s="98" t="str">
        <f>IF($D35="","",RANK($D35,$D$30:$D$44))</f>
        <v/>
      </c>
      <c r="F35" s="99" t="str">
        <f>IF($D35="","",IF($D35&gt;=0.85,"ممتاز",IF($D35&gt;=0.75,"جيد جداً",IF($D35&gt;=0.65,"جيد",IF($D35&gt;=0.5,"مقبول","ضعيف")))))</f>
        <v/>
      </c>
      <c r="G35" s="100" t="n"/>
      <c r="H35" s="101" t="n"/>
      <c r="I35" s="100" t="n"/>
      <c r="J35" s="101" t="n"/>
      <c r="K35" s="100" t="n"/>
      <c r="L35" s="101" t="n"/>
      <c r="M35" s="100" t="n"/>
      <c r="N35" s="101" t="n"/>
      <c r="O35" s="100" t="n"/>
      <c r="P35" s="101" t="n"/>
      <c r="Q35" s="100" t="n"/>
      <c r="R35" s="101" t="n"/>
      <c r="S35" s="100" t="n"/>
      <c r="T35" s="101" t="n"/>
      <c r="U35" s="100" t="n"/>
      <c r="V35" s="101" t="n"/>
      <c r="W35" s="183" t="n"/>
      <c r="X35" s="103" t="n"/>
      <c r="Y35" s="104" t="n"/>
      <c r="Z35" s="103" t="n"/>
      <c r="AA35" s="104" t="n"/>
      <c r="AB35" s="103" t="n"/>
      <c r="AC35" s="104" t="n"/>
      <c r="AD35" s="103" t="n"/>
      <c r="AE35" s="104" t="n"/>
      <c r="AF35" s="103" t="n"/>
      <c r="AG35" s="104" t="n"/>
      <c r="AH35" s="103" t="n"/>
      <c r="AI35" s="104" t="n"/>
      <c r="AJ35" s="103" t="n"/>
      <c r="AK35" s="104" t="n"/>
      <c r="AL35" s="103" t="n"/>
      <c r="AM35" s="104" t="n"/>
      <c r="AN35" s="184" t="n"/>
      <c r="AO35" s="106" t="n"/>
      <c r="AP35" s="107" t="n"/>
      <c r="AQ35" s="106" t="n"/>
      <c r="AR35" s="107" t="n"/>
      <c r="AS35" s="106" t="n"/>
      <c r="AT35" s="107" t="n"/>
      <c r="AU35" s="106" t="n"/>
      <c r="AV35" s="107" t="n"/>
      <c r="AW35" s="106" t="n"/>
      <c r="AX35" s="107" t="n"/>
      <c r="AY35" s="106" t="n"/>
      <c r="AZ35" s="107" t="n"/>
      <c r="BA35" s="106" t="n"/>
      <c r="BB35" s="107" t="n"/>
      <c r="BC35" s="106" t="n"/>
      <c r="BD35" s="107" t="n"/>
      <c r="BE35" s="185" t="n"/>
      <c r="BF35" s="109" t="n"/>
      <c r="BG35" s="110" t="n"/>
      <c r="BH35" s="109" t="n"/>
      <c r="BI35" s="110" t="n"/>
      <c r="BJ35" s="109" t="n"/>
      <c r="BK35" s="110" t="n"/>
      <c r="BL35" s="109" t="n"/>
      <c r="BM35" s="110" t="n"/>
      <c r="BN35" s="109" t="n"/>
      <c r="BO35" s="110" t="n"/>
      <c r="BP35" s="109" t="n"/>
      <c r="BQ35" s="110" t="n"/>
      <c r="BR35" s="109" t="n"/>
      <c r="BS35" s="110" t="n"/>
      <c r="BT35" s="109" t="n"/>
      <c r="BU35" s="110" t="n"/>
      <c r="BV35" s="186" t="n"/>
      <c r="BW35" s="112" t="n"/>
      <c r="BX35" s="113" t="n"/>
      <c r="BY35" s="112" t="n"/>
      <c r="BZ35" s="113" t="n"/>
      <c r="CA35" s="112" t="n"/>
      <c r="CB35" s="113" t="n"/>
      <c r="CC35" s="112" t="n"/>
      <c r="CD35" s="113" t="n"/>
      <c r="CE35" s="112" t="n"/>
      <c r="CF35" s="113" t="n"/>
      <c r="CG35" s="112" t="n"/>
      <c r="CH35" s="113" t="n"/>
      <c r="CI35" s="112" t="n"/>
      <c r="CJ35" s="113" t="n"/>
      <c r="CK35" s="112" t="n"/>
      <c r="CL35" s="113" t="n"/>
      <c r="CM35" s="187" t="n"/>
      <c r="CN35" s="115" t="n"/>
      <c r="CO35" s="116" t="n"/>
      <c r="CP35" s="115" t="n"/>
      <c r="CQ35" s="116" t="n"/>
      <c r="CR35" s="115" t="n"/>
      <c r="CS35" s="116" t="n"/>
      <c r="CT35" s="115" t="n"/>
      <c r="CU35" s="116" t="n"/>
      <c r="CV35" s="115" t="n"/>
      <c r="CW35" s="116" t="n"/>
      <c r="CX35" s="115" t="n"/>
      <c r="CY35" s="116" t="n"/>
      <c r="CZ35" s="115" t="n"/>
      <c r="DA35" s="116" t="n"/>
      <c r="DB35" s="115" t="n"/>
      <c r="DC35" s="116" t="n"/>
      <c r="DD35" s="188" t="n"/>
      <c r="DE35" s="118" t="n"/>
      <c r="DF35" s="119" t="n"/>
      <c r="DG35" s="118" t="n"/>
      <c r="DH35" s="119" t="n"/>
      <c r="DI35" s="118" t="n"/>
      <c r="DJ35" s="119" t="n"/>
      <c r="DK35" s="118" t="n"/>
      <c r="DL35" s="119" t="n"/>
      <c r="DM35" s="118" t="n"/>
      <c r="DN35" s="119" t="n"/>
      <c r="DO35" s="118" t="n"/>
      <c r="DP35" s="119" t="n"/>
      <c r="DQ35" s="118" t="n"/>
      <c r="DR35" s="119" t="n"/>
      <c r="DS35" s="118" t="n"/>
      <c r="DT35" s="119" t="n"/>
      <c r="DU35" s="189" t="n"/>
      <c r="DV35" s="121" t="n"/>
      <c r="DW35" s="122" t="n"/>
      <c r="DX35" s="121" t="n"/>
      <c r="DY35" s="122" t="n"/>
      <c r="DZ35" s="121" t="n"/>
      <c r="EA35" s="122" t="n"/>
      <c r="EB35" s="121" t="n"/>
      <c r="EC35" s="122" t="n"/>
      <c r="ED35" s="121" t="n"/>
      <c r="EE35" s="122" t="n"/>
      <c r="EF35" s="121" t="n"/>
      <c r="EG35" s="122" t="n"/>
      <c r="EH35" s="121" t="n"/>
      <c r="EI35" s="122" t="n"/>
      <c r="EJ35" s="121" t="n"/>
      <c r="EK35" s="122" t="n"/>
      <c r="EL35" s="190" t="n"/>
      <c r="EM35" s="124" t="n"/>
      <c r="EN35" s="125" t="n"/>
      <c r="EO35" s="124" t="n"/>
      <c r="EP35" s="125" t="n"/>
      <c r="EQ35" s="124" t="n"/>
      <c r="ER35" s="125" t="n"/>
      <c r="ES35" s="124" t="n"/>
      <c r="ET35" s="125" t="n"/>
      <c r="EU35" s="124" t="n"/>
      <c r="EV35" s="125" t="n"/>
      <c r="EW35" s="124" t="n"/>
      <c r="EX35" s="125" t="n"/>
      <c r="EY35" s="124" t="n"/>
      <c r="EZ35" s="125" t="n"/>
      <c r="FA35" s="124" t="n"/>
      <c r="FB35" s="125" t="n"/>
      <c r="FC35" s="191" t="n"/>
      <c r="FD35" s="127" t="n"/>
      <c r="FE35" s="128" t="n"/>
      <c r="FF35" s="127" t="n"/>
      <c r="FG35" s="128" t="n"/>
      <c r="FH35" s="127" t="n"/>
      <c r="FI35" s="128" t="n"/>
      <c r="FJ35" s="127" t="n"/>
      <c r="FK35" s="128" t="n"/>
      <c r="FL35" s="127" t="n"/>
      <c r="FM35" s="128" t="n"/>
      <c r="FN35" s="127" t="n"/>
      <c r="FO35" s="128" t="n"/>
      <c r="FP35" s="127" t="n"/>
      <c r="FQ35" s="128" t="n"/>
      <c r="FR35" s="127" t="n"/>
      <c r="FS35" s="128" t="n"/>
      <c r="FT35" s="192" t="n"/>
      <c r="FU35" s="130" t="n"/>
      <c r="FV35" s="131" t="n"/>
      <c r="FW35" s="130" t="n"/>
      <c r="FX35" s="131" t="n"/>
      <c r="FY35" s="130" t="n"/>
      <c r="FZ35" s="131" t="n"/>
      <c r="GA35" s="130" t="n"/>
      <c r="GB35" s="131" t="n"/>
      <c r="GC35" s="130" t="n"/>
      <c r="GD35" s="131" t="n"/>
      <c r="GE35" s="130" t="n"/>
      <c r="GF35" s="131" t="n"/>
      <c r="GG35" s="130" t="n"/>
      <c r="GH35" s="131" t="n"/>
      <c r="GI35" s="130" t="n"/>
      <c r="GJ35" s="131" t="n"/>
      <c r="GK35" s="193" t="n"/>
      <c r="GL35" s="133" t="n"/>
      <c r="GM35" s="134" t="n"/>
      <c r="GN35" s="133" t="n"/>
      <c r="GO35" s="134" t="n"/>
      <c r="GP35" s="133" t="n"/>
      <c r="GQ35" s="134" t="n"/>
      <c r="GR35" s="133" t="n"/>
      <c r="GS35" s="134" t="n"/>
      <c r="GT35" s="133" t="n"/>
      <c r="GU35" s="134" t="n"/>
      <c r="GV35" s="133" t="n"/>
      <c r="GW35" s="134" t="n"/>
      <c r="GX35" s="133" t="n"/>
      <c r="GY35" s="134" t="n"/>
      <c r="GZ35" s="133" t="n"/>
      <c r="HA35" s="134" t="n"/>
      <c r="HB35" s="194" t="n"/>
      <c r="HC35">
        <f>SUMIFS($G35:$HB35,$G$46:$HB$46,"&gt;="&amp;$HD$1,$G$46:$HB$46,"&lt;="&amp;$HD$2,$G$29:$HB$29,"&lt;&gt;ملاحظات",$G$28:$HB$28,"&gt;0")</f>
        <v>0</v>
      </c>
      <c r="HD35">
        <f>SUMIFS($G$28:$HB$28,$G$46:$HB$46,"&gt;="&amp;$HD$1,$G$46:$HB$46,"&lt;="&amp;$HD$2,$G$29:$HB$29,"&lt;&gt;ملاحظات",$G35:$HB35,"&gt;=0")</f>
        <v>0</v>
      </c>
    </row>
    <row r="36" ht="22.5" customHeight="1">
      <c r="A36" s="36" t="n">
        <v>7</v>
      </c>
      <c r="B36" s="181" t="str">
        <f>IF($B11="","",$B11)</f>
        <v/>
      </c>
      <c r="C36" s="136" t="str">
        <f>IF(OR($B36="",$HD36=0),"",ROUND($HC36,2)&amp;" / "&amp;$HD36)</f>
        <v/>
      </c>
      <c r="D36" s="182" t="str">
        <f>IF(OR($B36="",$HD36=0),"",$HC36/$HD36)</f>
        <v/>
      </c>
      <c r="E36" s="98" t="str">
        <f>IF($D36="","",RANK($D36,$D$30:$D$44))</f>
        <v/>
      </c>
      <c r="F36" s="99" t="str">
        <f>IF($D36="","",IF($D36&gt;=0.85,"ممتاز",IF($D36&gt;=0.75,"جيد جداً",IF($D36&gt;=0.65,"جيد",IF($D36&gt;=0.5,"مقبول","ضعيف")))))</f>
        <v/>
      </c>
      <c r="G36" s="100" t="n"/>
      <c r="H36" s="101" t="n"/>
      <c r="I36" s="100" t="n"/>
      <c r="J36" s="101" t="n"/>
      <c r="K36" s="100" t="n"/>
      <c r="L36" s="101" t="n"/>
      <c r="M36" s="100" t="n"/>
      <c r="N36" s="101" t="n"/>
      <c r="O36" s="100" t="n"/>
      <c r="P36" s="101" t="n"/>
      <c r="Q36" s="100" t="n"/>
      <c r="R36" s="101" t="n"/>
      <c r="S36" s="100" t="n"/>
      <c r="T36" s="101" t="n"/>
      <c r="U36" s="100" t="n"/>
      <c r="V36" s="101" t="n"/>
      <c r="W36" s="183" t="n"/>
      <c r="X36" s="103" t="n"/>
      <c r="Y36" s="104" t="n"/>
      <c r="Z36" s="103" t="n"/>
      <c r="AA36" s="104" t="n"/>
      <c r="AB36" s="103" t="n"/>
      <c r="AC36" s="104" t="n"/>
      <c r="AD36" s="103" t="n"/>
      <c r="AE36" s="104" t="n"/>
      <c r="AF36" s="103" t="n"/>
      <c r="AG36" s="104" t="n"/>
      <c r="AH36" s="103" t="n"/>
      <c r="AI36" s="104" t="n"/>
      <c r="AJ36" s="103" t="n"/>
      <c r="AK36" s="104" t="n"/>
      <c r="AL36" s="103" t="n"/>
      <c r="AM36" s="104" t="n"/>
      <c r="AN36" s="184" t="n"/>
      <c r="AO36" s="106" t="n"/>
      <c r="AP36" s="107" t="n"/>
      <c r="AQ36" s="106" t="n"/>
      <c r="AR36" s="107" t="n"/>
      <c r="AS36" s="106" t="n"/>
      <c r="AT36" s="107" t="n"/>
      <c r="AU36" s="106" t="n"/>
      <c r="AV36" s="107" t="n"/>
      <c r="AW36" s="106" t="n"/>
      <c r="AX36" s="107" t="n"/>
      <c r="AY36" s="106" t="n"/>
      <c r="AZ36" s="107" t="n"/>
      <c r="BA36" s="106" t="n"/>
      <c r="BB36" s="107" t="n"/>
      <c r="BC36" s="106" t="n"/>
      <c r="BD36" s="107" t="n"/>
      <c r="BE36" s="185" t="n"/>
      <c r="BF36" s="109" t="n"/>
      <c r="BG36" s="110" t="n"/>
      <c r="BH36" s="109" t="n"/>
      <c r="BI36" s="110" t="n"/>
      <c r="BJ36" s="109" t="n"/>
      <c r="BK36" s="110" t="n"/>
      <c r="BL36" s="109" t="n"/>
      <c r="BM36" s="110" t="n"/>
      <c r="BN36" s="109" t="n"/>
      <c r="BO36" s="110" t="n"/>
      <c r="BP36" s="109" t="n"/>
      <c r="BQ36" s="110" t="n"/>
      <c r="BR36" s="109" t="n"/>
      <c r="BS36" s="110" t="n"/>
      <c r="BT36" s="109" t="n"/>
      <c r="BU36" s="110" t="n"/>
      <c r="BV36" s="186" t="n"/>
      <c r="BW36" s="112" t="n"/>
      <c r="BX36" s="113" t="n"/>
      <c r="BY36" s="112" t="n"/>
      <c r="BZ36" s="113" t="n"/>
      <c r="CA36" s="112" t="n"/>
      <c r="CB36" s="113" t="n"/>
      <c r="CC36" s="112" t="n"/>
      <c r="CD36" s="113" t="n"/>
      <c r="CE36" s="112" t="n"/>
      <c r="CF36" s="113" t="n"/>
      <c r="CG36" s="112" t="n"/>
      <c r="CH36" s="113" t="n"/>
      <c r="CI36" s="112" t="n"/>
      <c r="CJ36" s="113" t="n"/>
      <c r="CK36" s="112" t="n"/>
      <c r="CL36" s="113" t="n"/>
      <c r="CM36" s="187" t="n"/>
      <c r="CN36" s="115" t="n"/>
      <c r="CO36" s="116" t="n"/>
      <c r="CP36" s="115" t="n"/>
      <c r="CQ36" s="116" t="n"/>
      <c r="CR36" s="115" t="n"/>
      <c r="CS36" s="116" t="n"/>
      <c r="CT36" s="115" t="n"/>
      <c r="CU36" s="116" t="n"/>
      <c r="CV36" s="115" t="n"/>
      <c r="CW36" s="116" t="n"/>
      <c r="CX36" s="115" t="n"/>
      <c r="CY36" s="116" t="n"/>
      <c r="CZ36" s="115" t="n"/>
      <c r="DA36" s="116" t="n"/>
      <c r="DB36" s="115" t="n"/>
      <c r="DC36" s="116" t="n"/>
      <c r="DD36" s="188" t="n"/>
      <c r="DE36" s="118" t="n"/>
      <c r="DF36" s="119" t="n"/>
      <c r="DG36" s="118" t="n"/>
      <c r="DH36" s="119" t="n"/>
      <c r="DI36" s="118" t="n"/>
      <c r="DJ36" s="119" t="n"/>
      <c r="DK36" s="118" t="n"/>
      <c r="DL36" s="119" t="n"/>
      <c r="DM36" s="118" t="n"/>
      <c r="DN36" s="119" t="n"/>
      <c r="DO36" s="118" t="n"/>
      <c r="DP36" s="119" t="n"/>
      <c r="DQ36" s="118" t="n"/>
      <c r="DR36" s="119" t="n"/>
      <c r="DS36" s="118" t="n"/>
      <c r="DT36" s="119" t="n"/>
      <c r="DU36" s="189" t="n"/>
      <c r="DV36" s="121" t="n"/>
      <c r="DW36" s="122" t="n"/>
      <c r="DX36" s="121" t="n"/>
      <c r="DY36" s="122" t="n"/>
      <c r="DZ36" s="121" t="n"/>
      <c r="EA36" s="122" t="n"/>
      <c r="EB36" s="121" t="n"/>
      <c r="EC36" s="122" t="n"/>
      <c r="ED36" s="121" t="n"/>
      <c r="EE36" s="122" t="n"/>
      <c r="EF36" s="121" t="n"/>
      <c r="EG36" s="122" t="n"/>
      <c r="EH36" s="121" t="n"/>
      <c r="EI36" s="122" t="n"/>
      <c r="EJ36" s="121" t="n"/>
      <c r="EK36" s="122" t="n"/>
      <c r="EL36" s="190" t="n"/>
      <c r="EM36" s="124" t="n"/>
      <c r="EN36" s="125" t="n"/>
      <c r="EO36" s="124" t="n"/>
      <c r="EP36" s="125" t="n"/>
      <c r="EQ36" s="124" t="n"/>
      <c r="ER36" s="125" t="n"/>
      <c r="ES36" s="124" t="n"/>
      <c r="ET36" s="125" t="n"/>
      <c r="EU36" s="124" t="n"/>
      <c r="EV36" s="125" t="n"/>
      <c r="EW36" s="124" t="n"/>
      <c r="EX36" s="125" t="n"/>
      <c r="EY36" s="124" t="n"/>
      <c r="EZ36" s="125" t="n"/>
      <c r="FA36" s="124" t="n"/>
      <c r="FB36" s="125" t="n"/>
      <c r="FC36" s="191" t="n"/>
      <c r="FD36" s="127" t="n"/>
      <c r="FE36" s="128" t="n"/>
      <c r="FF36" s="127" t="n"/>
      <c r="FG36" s="128" t="n"/>
      <c r="FH36" s="127" t="n"/>
      <c r="FI36" s="128" t="n"/>
      <c r="FJ36" s="127" t="n"/>
      <c r="FK36" s="128" t="n"/>
      <c r="FL36" s="127" t="n"/>
      <c r="FM36" s="128" t="n"/>
      <c r="FN36" s="127" t="n"/>
      <c r="FO36" s="128" t="n"/>
      <c r="FP36" s="127" t="n"/>
      <c r="FQ36" s="128" t="n"/>
      <c r="FR36" s="127" t="n"/>
      <c r="FS36" s="128" t="n"/>
      <c r="FT36" s="192" t="n"/>
      <c r="FU36" s="130" t="n"/>
      <c r="FV36" s="131" t="n"/>
      <c r="FW36" s="130" t="n"/>
      <c r="FX36" s="131" t="n"/>
      <c r="FY36" s="130" t="n"/>
      <c r="FZ36" s="131" t="n"/>
      <c r="GA36" s="130" t="n"/>
      <c r="GB36" s="131" t="n"/>
      <c r="GC36" s="130" t="n"/>
      <c r="GD36" s="131" t="n"/>
      <c r="GE36" s="130" t="n"/>
      <c r="GF36" s="131" t="n"/>
      <c r="GG36" s="130" t="n"/>
      <c r="GH36" s="131" t="n"/>
      <c r="GI36" s="130" t="n"/>
      <c r="GJ36" s="131" t="n"/>
      <c r="GK36" s="193" t="n"/>
      <c r="GL36" s="133" t="n"/>
      <c r="GM36" s="134" t="n"/>
      <c r="GN36" s="133" t="n"/>
      <c r="GO36" s="134" t="n"/>
      <c r="GP36" s="133" t="n"/>
      <c r="GQ36" s="134" t="n"/>
      <c r="GR36" s="133" t="n"/>
      <c r="GS36" s="134" t="n"/>
      <c r="GT36" s="133" t="n"/>
      <c r="GU36" s="134" t="n"/>
      <c r="GV36" s="133" t="n"/>
      <c r="GW36" s="134" t="n"/>
      <c r="GX36" s="133" t="n"/>
      <c r="GY36" s="134" t="n"/>
      <c r="GZ36" s="133" t="n"/>
      <c r="HA36" s="134" t="n"/>
      <c r="HB36" s="194" t="n"/>
      <c r="HC36">
        <f>SUMIFS($G36:$HB36,$G$46:$HB$46,"&gt;="&amp;$HD$1,$G$46:$HB$46,"&lt;="&amp;$HD$2,$G$29:$HB$29,"&lt;&gt;ملاحظات",$G$28:$HB$28,"&gt;0")</f>
        <v>0</v>
      </c>
      <c r="HD36">
        <f>SUMIFS($G$28:$HB$28,$G$46:$HB$46,"&gt;="&amp;$HD$1,$G$46:$HB$46,"&lt;="&amp;$HD$2,$G$29:$HB$29,"&lt;&gt;ملاحظات",$G36:$HB36,"&gt;=0")</f>
        <v>0</v>
      </c>
    </row>
    <row r="37" ht="22.5" customHeight="1">
      <c r="A37" s="36" t="n">
        <v>8</v>
      </c>
      <c r="B37" s="181" t="str">
        <f>IF($B12="","",$B12)</f>
        <v/>
      </c>
      <c r="C37" s="136" t="str">
        <f>IF(OR($B37="",$HD37=0),"",ROUND($HC37,2)&amp;" / "&amp;$HD37)</f>
        <v/>
      </c>
      <c r="D37" s="182" t="str">
        <f>IF(OR($B37="",$HD37=0),"",$HC37/$HD37)</f>
        <v/>
      </c>
      <c r="E37" s="98" t="str">
        <f>IF($D37="","",RANK($D37,$D$30:$D$44))</f>
        <v/>
      </c>
      <c r="F37" s="99" t="str">
        <f>IF($D37="","",IF($D37&gt;=0.85,"ممتاز",IF($D37&gt;=0.75,"جيد جداً",IF($D37&gt;=0.65,"جيد",IF($D37&gt;=0.5,"مقبول","ضعيف")))))</f>
        <v/>
      </c>
      <c r="G37" s="100" t="n"/>
      <c r="H37" s="101" t="n"/>
      <c r="I37" s="100" t="n"/>
      <c r="J37" s="101" t="n"/>
      <c r="K37" s="100" t="n"/>
      <c r="L37" s="101" t="n"/>
      <c r="M37" s="100" t="n"/>
      <c r="N37" s="101" t="n"/>
      <c r="O37" s="100" t="n"/>
      <c r="P37" s="101" t="n"/>
      <c r="Q37" s="100" t="n"/>
      <c r="R37" s="101" t="n"/>
      <c r="S37" s="100" t="n"/>
      <c r="T37" s="101" t="n"/>
      <c r="U37" s="100" t="n"/>
      <c r="V37" s="101" t="n"/>
      <c r="W37" s="183" t="n"/>
      <c r="X37" s="103" t="n"/>
      <c r="Y37" s="104" t="n"/>
      <c r="Z37" s="103" t="n"/>
      <c r="AA37" s="104" t="n"/>
      <c r="AB37" s="103" t="n"/>
      <c r="AC37" s="104" t="n"/>
      <c r="AD37" s="103" t="n"/>
      <c r="AE37" s="104" t="n"/>
      <c r="AF37" s="103" t="n"/>
      <c r="AG37" s="104" t="n"/>
      <c r="AH37" s="103" t="n"/>
      <c r="AI37" s="104" t="n"/>
      <c r="AJ37" s="103" t="n"/>
      <c r="AK37" s="104" t="n"/>
      <c r="AL37" s="103" t="n"/>
      <c r="AM37" s="104" t="n"/>
      <c r="AN37" s="184" t="n"/>
      <c r="AO37" s="106" t="n"/>
      <c r="AP37" s="107" t="n"/>
      <c r="AQ37" s="106" t="n"/>
      <c r="AR37" s="107" t="n"/>
      <c r="AS37" s="106" t="n"/>
      <c r="AT37" s="107" t="n"/>
      <c r="AU37" s="106" t="n"/>
      <c r="AV37" s="107" t="n"/>
      <c r="AW37" s="106" t="n"/>
      <c r="AX37" s="107" t="n"/>
      <c r="AY37" s="106" t="n"/>
      <c r="AZ37" s="107" t="n"/>
      <c r="BA37" s="106" t="n"/>
      <c r="BB37" s="107" t="n"/>
      <c r="BC37" s="106" t="n"/>
      <c r="BD37" s="107" t="n"/>
      <c r="BE37" s="185" t="n"/>
      <c r="BF37" s="109" t="n"/>
      <c r="BG37" s="110" t="n"/>
      <c r="BH37" s="109" t="n"/>
      <c r="BI37" s="110" t="n"/>
      <c r="BJ37" s="109" t="n"/>
      <c r="BK37" s="110" t="n"/>
      <c r="BL37" s="109" t="n"/>
      <c r="BM37" s="110" t="n"/>
      <c r="BN37" s="109" t="n"/>
      <c r="BO37" s="110" t="n"/>
      <c r="BP37" s="109" t="n"/>
      <c r="BQ37" s="110" t="n"/>
      <c r="BR37" s="109" t="n"/>
      <c r="BS37" s="110" t="n"/>
      <c r="BT37" s="109" t="n"/>
      <c r="BU37" s="110" t="n"/>
      <c r="BV37" s="186" t="n"/>
      <c r="BW37" s="112" t="n"/>
      <c r="BX37" s="113" t="n"/>
      <c r="BY37" s="112" t="n"/>
      <c r="BZ37" s="113" t="n"/>
      <c r="CA37" s="112" t="n"/>
      <c r="CB37" s="113" t="n"/>
      <c r="CC37" s="112" t="n"/>
      <c r="CD37" s="113" t="n"/>
      <c r="CE37" s="112" t="n"/>
      <c r="CF37" s="113" t="n"/>
      <c r="CG37" s="112" t="n"/>
      <c r="CH37" s="113" t="n"/>
      <c r="CI37" s="112" t="n"/>
      <c r="CJ37" s="113" t="n"/>
      <c r="CK37" s="112" t="n"/>
      <c r="CL37" s="113" t="n"/>
      <c r="CM37" s="187" t="n"/>
      <c r="CN37" s="115" t="n"/>
      <c r="CO37" s="116" t="n"/>
      <c r="CP37" s="115" t="n"/>
      <c r="CQ37" s="116" t="n"/>
      <c r="CR37" s="115" t="n"/>
      <c r="CS37" s="116" t="n"/>
      <c r="CT37" s="115" t="n"/>
      <c r="CU37" s="116" t="n"/>
      <c r="CV37" s="115" t="n"/>
      <c r="CW37" s="116" t="n"/>
      <c r="CX37" s="115" t="n"/>
      <c r="CY37" s="116" t="n"/>
      <c r="CZ37" s="115" t="n"/>
      <c r="DA37" s="116" t="n"/>
      <c r="DB37" s="115" t="n"/>
      <c r="DC37" s="116" t="n"/>
      <c r="DD37" s="188" t="n"/>
      <c r="DE37" s="118" t="n"/>
      <c r="DF37" s="119" t="n"/>
      <c r="DG37" s="118" t="n"/>
      <c r="DH37" s="119" t="n"/>
      <c r="DI37" s="118" t="n"/>
      <c r="DJ37" s="119" t="n"/>
      <c r="DK37" s="118" t="n"/>
      <c r="DL37" s="119" t="n"/>
      <c r="DM37" s="118" t="n"/>
      <c r="DN37" s="119" t="n"/>
      <c r="DO37" s="118" t="n"/>
      <c r="DP37" s="119" t="n"/>
      <c r="DQ37" s="118" t="n"/>
      <c r="DR37" s="119" t="n"/>
      <c r="DS37" s="118" t="n"/>
      <c r="DT37" s="119" t="n"/>
      <c r="DU37" s="189" t="n"/>
      <c r="DV37" s="121" t="n"/>
      <c r="DW37" s="122" t="n"/>
      <c r="DX37" s="121" t="n"/>
      <c r="DY37" s="122" t="n"/>
      <c r="DZ37" s="121" t="n"/>
      <c r="EA37" s="122" t="n"/>
      <c r="EB37" s="121" t="n"/>
      <c r="EC37" s="122" t="n"/>
      <c r="ED37" s="121" t="n"/>
      <c r="EE37" s="122" t="n"/>
      <c r="EF37" s="121" t="n"/>
      <c r="EG37" s="122" t="n"/>
      <c r="EH37" s="121" t="n"/>
      <c r="EI37" s="122" t="n"/>
      <c r="EJ37" s="121" t="n"/>
      <c r="EK37" s="122" t="n"/>
      <c r="EL37" s="190" t="n"/>
      <c r="EM37" s="124" t="n"/>
      <c r="EN37" s="125" t="n"/>
      <c r="EO37" s="124" t="n"/>
      <c r="EP37" s="125" t="n"/>
      <c r="EQ37" s="124" t="n"/>
      <c r="ER37" s="125" t="n"/>
      <c r="ES37" s="124" t="n"/>
      <c r="ET37" s="125" t="n"/>
      <c r="EU37" s="124" t="n"/>
      <c r="EV37" s="125" t="n"/>
      <c r="EW37" s="124" t="n"/>
      <c r="EX37" s="125" t="n"/>
      <c r="EY37" s="124" t="n"/>
      <c r="EZ37" s="125" t="n"/>
      <c r="FA37" s="124" t="n"/>
      <c r="FB37" s="125" t="n"/>
      <c r="FC37" s="191" t="n"/>
      <c r="FD37" s="127" t="n"/>
      <c r="FE37" s="128" t="n"/>
      <c r="FF37" s="127" t="n"/>
      <c r="FG37" s="128" t="n"/>
      <c r="FH37" s="127" t="n"/>
      <c r="FI37" s="128" t="n"/>
      <c r="FJ37" s="127" t="n"/>
      <c r="FK37" s="128" t="n"/>
      <c r="FL37" s="127" t="n"/>
      <c r="FM37" s="128" t="n"/>
      <c r="FN37" s="127" t="n"/>
      <c r="FO37" s="128" t="n"/>
      <c r="FP37" s="127" t="n"/>
      <c r="FQ37" s="128" t="n"/>
      <c r="FR37" s="127" t="n"/>
      <c r="FS37" s="128" t="n"/>
      <c r="FT37" s="192" t="n"/>
      <c r="FU37" s="130" t="n"/>
      <c r="FV37" s="131" t="n"/>
      <c r="FW37" s="130" t="n"/>
      <c r="FX37" s="131" t="n"/>
      <c r="FY37" s="130" t="n"/>
      <c r="FZ37" s="131" t="n"/>
      <c r="GA37" s="130" t="n"/>
      <c r="GB37" s="131" t="n"/>
      <c r="GC37" s="130" t="n"/>
      <c r="GD37" s="131" t="n"/>
      <c r="GE37" s="130" t="n"/>
      <c r="GF37" s="131" t="n"/>
      <c r="GG37" s="130" t="n"/>
      <c r="GH37" s="131" t="n"/>
      <c r="GI37" s="130" t="n"/>
      <c r="GJ37" s="131" t="n"/>
      <c r="GK37" s="193" t="n"/>
      <c r="GL37" s="133" t="n"/>
      <c r="GM37" s="134" t="n"/>
      <c r="GN37" s="133" t="n"/>
      <c r="GO37" s="134" t="n"/>
      <c r="GP37" s="133" t="n"/>
      <c r="GQ37" s="134" t="n"/>
      <c r="GR37" s="133" t="n"/>
      <c r="GS37" s="134" t="n"/>
      <c r="GT37" s="133" t="n"/>
      <c r="GU37" s="134" t="n"/>
      <c r="GV37" s="133" t="n"/>
      <c r="GW37" s="134" t="n"/>
      <c r="GX37" s="133" t="n"/>
      <c r="GY37" s="134" t="n"/>
      <c r="GZ37" s="133" t="n"/>
      <c r="HA37" s="134" t="n"/>
      <c r="HB37" s="194" t="n"/>
      <c r="HC37">
        <f>SUMIFS($G37:$HB37,$G$46:$HB$46,"&gt;="&amp;$HD$1,$G$46:$HB$46,"&lt;="&amp;$HD$2,$G$29:$HB$29,"&lt;&gt;ملاحظات",$G$28:$HB$28,"&gt;0")</f>
        <v>0</v>
      </c>
      <c r="HD37">
        <f>SUMIFS($G$28:$HB$28,$G$46:$HB$46,"&gt;="&amp;$HD$1,$G$46:$HB$46,"&lt;="&amp;$HD$2,$G$29:$HB$29,"&lt;&gt;ملاحظات",$G37:$HB37,"&gt;=0")</f>
        <v>0</v>
      </c>
    </row>
    <row r="38" ht="22.5" customHeight="1">
      <c r="A38" s="36" t="n">
        <v>9</v>
      </c>
      <c r="B38" s="181" t="str">
        <f>IF($B13="","",$B13)</f>
        <v/>
      </c>
      <c r="C38" s="136" t="str">
        <f>IF(OR($B38="",$HD38=0),"",ROUND($HC38,2)&amp;" / "&amp;$HD38)</f>
        <v/>
      </c>
      <c r="D38" s="182" t="str">
        <f>IF(OR($B38="",$HD38=0),"",$HC38/$HD38)</f>
        <v/>
      </c>
      <c r="E38" s="98" t="str">
        <f>IF($D38="","",RANK($D38,$D$30:$D$44))</f>
        <v/>
      </c>
      <c r="F38" s="99" t="str">
        <f>IF($D38="","",IF($D38&gt;=0.85,"ممتاز",IF($D38&gt;=0.75,"جيد جداً",IF($D38&gt;=0.65,"جيد",IF($D38&gt;=0.5,"مقبول","ضعيف")))))</f>
        <v/>
      </c>
      <c r="G38" s="100" t="n"/>
      <c r="H38" s="101" t="n"/>
      <c r="I38" s="100" t="n"/>
      <c r="J38" s="101" t="n"/>
      <c r="K38" s="100" t="n"/>
      <c r="L38" s="101" t="n"/>
      <c r="M38" s="100" t="n"/>
      <c r="N38" s="101" t="n"/>
      <c r="O38" s="100" t="n"/>
      <c r="P38" s="101" t="n"/>
      <c r="Q38" s="100" t="n"/>
      <c r="R38" s="101" t="n"/>
      <c r="S38" s="100" t="n"/>
      <c r="T38" s="101" t="n"/>
      <c r="U38" s="100" t="n"/>
      <c r="V38" s="101" t="n"/>
      <c r="W38" s="183" t="n"/>
      <c r="X38" s="103" t="n"/>
      <c r="Y38" s="104" t="n"/>
      <c r="Z38" s="103" t="n"/>
      <c r="AA38" s="104" t="n"/>
      <c r="AB38" s="103" t="n"/>
      <c r="AC38" s="104" t="n"/>
      <c r="AD38" s="103" t="n"/>
      <c r="AE38" s="104" t="n"/>
      <c r="AF38" s="103" t="n"/>
      <c r="AG38" s="104" t="n"/>
      <c r="AH38" s="103" t="n"/>
      <c r="AI38" s="104" t="n"/>
      <c r="AJ38" s="103" t="n"/>
      <c r="AK38" s="104" t="n"/>
      <c r="AL38" s="103" t="n"/>
      <c r="AM38" s="104" t="n"/>
      <c r="AN38" s="184" t="n"/>
      <c r="AO38" s="106" t="n"/>
      <c r="AP38" s="107" t="n"/>
      <c r="AQ38" s="106" t="n"/>
      <c r="AR38" s="107" t="n"/>
      <c r="AS38" s="106" t="n"/>
      <c r="AT38" s="107" t="n"/>
      <c r="AU38" s="106" t="n"/>
      <c r="AV38" s="107" t="n"/>
      <c r="AW38" s="106" t="n"/>
      <c r="AX38" s="107" t="n"/>
      <c r="AY38" s="106" t="n"/>
      <c r="AZ38" s="107" t="n"/>
      <c r="BA38" s="106" t="n"/>
      <c r="BB38" s="107" t="n"/>
      <c r="BC38" s="106" t="n"/>
      <c r="BD38" s="107" t="n"/>
      <c r="BE38" s="185" t="n"/>
      <c r="BF38" s="109" t="n"/>
      <c r="BG38" s="110" t="n"/>
      <c r="BH38" s="109" t="n"/>
      <c r="BI38" s="110" t="n"/>
      <c r="BJ38" s="109" t="n"/>
      <c r="BK38" s="110" t="n"/>
      <c r="BL38" s="109" t="n"/>
      <c r="BM38" s="110" t="n"/>
      <c r="BN38" s="109" t="n"/>
      <c r="BO38" s="110" t="n"/>
      <c r="BP38" s="109" t="n"/>
      <c r="BQ38" s="110" t="n"/>
      <c r="BR38" s="109" t="n"/>
      <c r="BS38" s="110" t="n"/>
      <c r="BT38" s="109" t="n"/>
      <c r="BU38" s="110" t="n"/>
      <c r="BV38" s="186" t="n"/>
      <c r="BW38" s="112" t="n"/>
      <c r="BX38" s="113" t="n"/>
      <c r="BY38" s="112" t="n"/>
      <c r="BZ38" s="113" t="n"/>
      <c r="CA38" s="112" t="n"/>
      <c r="CB38" s="113" t="n"/>
      <c r="CC38" s="112" t="n"/>
      <c r="CD38" s="113" t="n"/>
      <c r="CE38" s="112" t="n"/>
      <c r="CF38" s="113" t="n"/>
      <c r="CG38" s="112" t="n"/>
      <c r="CH38" s="113" t="n"/>
      <c r="CI38" s="112" t="n"/>
      <c r="CJ38" s="113" t="n"/>
      <c r="CK38" s="112" t="n"/>
      <c r="CL38" s="113" t="n"/>
      <c r="CM38" s="187" t="n"/>
      <c r="CN38" s="115" t="n"/>
      <c r="CO38" s="116" t="n"/>
      <c r="CP38" s="115" t="n"/>
      <c r="CQ38" s="116" t="n"/>
      <c r="CR38" s="115" t="n"/>
      <c r="CS38" s="116" t="n"/>
      <c r="CT38" s="115" t="n"/>
      <c r="CU38" s="116" t="n"/>
      <c r="CV38" s="115" t="n"/>
      <c r="CW38" s="116" t="n"/>
      <c r="CX38" s="115" t="n"/>
      <c r="CY38" s="116" t="n"/>
      <c r="CZ38" s="115" t="n"/>
      <c r="DA38" s="116" t="n"/>
      <c r="DB38" s="115" t="n"/>
      <c r="DC38" s="116" t="n"/>
      <c r="DD38" s="188" t="n"/>
      <c r="DE38" s="118" t="n"/>
      <c r="DF38" s="119" t="n"/>
      <c r="DG38" s="118" t="n"/>
      <c r="DH38" s="119" t="n"/>
      <c r="DI38" s="118" t="n"/>
      <c r="DJ38" s="119" t="n"/>
      <c r="DK38" s="118" t="n"/>
      <c r="DL38" s="119" t="n"/>
      <c r="DM38" s="118" t="n"/>
      <c r="DN38" s="119" t="n"/>
      <c r="DO38" s="118" t="n"/>
      <c r="DP38" s="119" t="n"/>
      <c r="DQ38" s="118" t="n"/>
      <c r="DR38" s="119" t="n"/>
      <c r="DS38" s="118" t="n"/>
      <c r="DT38" s="119" t="n"/>
      <c r="DU38" s="189" t="n"/>
      <c r="DV38" s="121" t="n"/>
      <c r="DW38" s="122" t="n"/>
      <c r="DX38" s="121" t="n"/>
      <c r="DY38" s="122" t="n"/>
      <c r="DZ38" s="121" t="n"/>
      <c r="EA38" s="122" t="n"/>
      <c r="EB38" s="121" t="n"/>
      <c r="EC38" s="122" t="n"/>
      <c r="ED38" s="121" t="n"/>
      <c r="EE38" s="122" t="n"/>
      <c r="EF38" s="121" t="n"/>
      <c r="EG38" s="122" t="n"/>
      <c r="EH38" s="121" t="n"/>
      <c r="EI38" s="122" t="n"/>
      <c r="EJ38" s="121" t="n"/>
      <c r="EK38" s="122" t="n"/>
      <c r="EL38" s="190" t="n"/>
      <c r="EM38" s="124" t="n"/>
      <c r="EN38" s="125" t="n"/>
      <c r="EO38" s="124" t="n"/>
      <c r="EP38" s="125" t="n"/>
      <c r="EQ38" s="124" t="n"/>
      <c r="ER38" s="125" t="n"/>
      <c r="ES38" s="124" t="n"/>
      <c r="ET38" s="125" t="n"/>
      <c r="EU38" s="124" t="n"/>
      <c r="EV38" s="125" t="n"/>
      <c r="EW38" s="124" t="n"/>
      <c r="EX38" s="125" t="n"/>
      <c r="EY38" s="124" t="n"/>
      <c r="EZ38" s="125" t="n"/>
      <c r="FA38" s="124" t="n"/>
      <c r="FB38" s="125" t="n"/>
      <c r="FC38" s="191" t="n"/>
      <c r="FD38" s="127" t="n"/>
      <c r="FE38" s="128" t="n"/>
      <c r="FF38" s="127" t="n"/>
      <c r="FG38" s="128" t="n"/>
      <c r="FH38" s="127" t="n"/>
      <c r="FI38" s="128" t="n"/>
      <c r="FJ38" s="127" t="n"/>
      <c r="FK38" s="128" t="n"/>
      <c r="FL38" s="127" t="n"/>
      <c r="FM38" s="128" t="n"/>
      <c r="FN38" s="127" t="n"/>
      <c r="FO38" s="128" t="n"/>
      <c r="FP38" s="127" t="n"/>
      <c r="FQ38" s="128" t="n"/>
      <c r="FR38" s="127" t="n"/>
      <c r="FS38" s="128" t="n"/>
      <c r="FT38" s="192" t="n"/>
      <c r="FU38" s="130" t="n"/>
      <c r="FV38" s="131" t="n"/>
      <c r="FW38" s="130" t="n"/>
      <c r="FX38" s="131" t="n"/>
      <c r="FY38" s="130" t="n"/>
      <c r="FZ38" s="131" t="n"/>
      <c r="GA38" s="130" t="n"/>
      <c r="GB38" s="131" t="n"/>
      <c r="GC38" s="130" t="n"/>
      <c r="GD38" s="131" t="n"/>
      <c r="GE38" s="130" t="n"/>
      <c r="GF38" s="131" t="n"/>
      <c r="GG38" s="130" t="n"/>
      <c r="GH38" s="131" t="n"/>
      <c r="GI38" s="130" t="n"/>
      <c r="GJ38" s="131" t="n"/>
      <c r="GK38" s="193" t="n"/>
      <c r="GL38" s="133" t="n"/>
      <c r="GM38" s="134" t="n"/>
      <c r="GN38" s="133" t="n"/>
      <c r="GO38" s="134" t="n"/>
      <c r="GP38" s="133" t="n"/>
      <c r="GQ38" s="134" t="n"/>
      <c r="GR38" s="133" t="n"/>
      <c r="GS38" s="134" t="n"/>
      <c r="GT38" s="133" t="n"/>
      <c r="GU38" s="134" t="n"/>
      <c r="GV38" s="133" t="n"/>
      <c r="GW38" s="134" t="n"/>
      <c r="GX38" s="133" t="n"/>
      <c r="GY38" s="134" t="n"/>
      <c r="GZ38" s="133" t="n"/>
      <c r="HA38" s="134" t="n"/>
      <c r="HB38" s="194" t="n"/>
      <c r="HC38">
        <f>SUMIFS($G38:$HB38,$G$46:$HB$46,"&gt;="&amp;$HD$1,$G$46:$HB$46,"&lt;="&amp;$HD$2,$G$29:$HB$29,"&lt;&gt;ملاحظات",$G$28:$HB$28,"&gt;0")</f>
        <v>0</v>
      </c>
      <c r="HD38">
        <f>SUMIFS($G$28:$HB$28,$G$46:$HB$46,"&gt;="&amp;$HD$1,$G$46:$HB$46,"&lt;="&amp;$HD$2,$G$29:$HB$29,"&lt;&gt;ملاحظات",$G38:$HB38,"&gt;=0")</f>
        <v>0</v>
      </c>
    </row>
    <row r="39" ht="22.5" customHeight="1">
      <c r="A39" s="36" t="n">
        <v>10</v>
      </c>
      <c r="B39" s="181" t="str">
        <f>IF($B14="","",$B14)</f>
        <v/>
      </c>
      <c r="C39" s="136" t="str">
        <f>IF(OR($B39="",$HD39=0),"",ROUND($HC39,2)&amp;" / "&amp;$HD39)</f>
        <v/>
      </c>
      <c r="D39" s="182" t="str">
        <f>IF(OR($B39="",$HD39=0),"",$HC39/$HD39)</f>
        <v/>
      </c>
      <c r="E39" s="98" t="str">
        <f>IF($D39="","",RANK($D39,$D$30:$D$44))</f>
        <v/>
      </c>
      <c r="F39" s="99" t="str">
        <f>IF($D39="","",IF($D39&gt;=0.85,"ممتاز",IF($D39&gt;=0.75,"جيد جداً",IF($D39&gt;=0.65,"جيد",IF($D39&gt;=0.5,"مقبول","ضعيف")))))</f>
        <v/>
      </c>
      <c r="G39" s="100" t="n"/>
      <c r="H39" s="101" t="n"/>
      <c r="I39" s="100" t="n"/>
      <c r="J39" s="101" t="n"/>
      <c r="K39" s="100" t="n"/>
      <c r="L39" s="101" t="n"/>
      <c r="M39" s="100" t="n"/>
      <c r="N39" s="101" t="n"/>
      <c r="O39" s="100" t="n"/>
      <c r="P39" s="101" t="n"/>
      <c r="Q39" s="100" t="n"/>
      <c r="R39" s="101" t="n"/>
      <c r="S39" s="100" t="n"/>
      <c r="T39" s="101" t="n"/>
      <c r="U39" s="100" t="n"/>
      <c r="V39" s="101" t="n"/>
      <c r="W39" s="183" t="n"/>
      <c r="X39" s="103" t="n"/>
      <c r="Y39" s="104" t="n"/>
      <c r="Z39" s="103" t="n"/>
      <c r="AA39" s="104" t="n"/>
      <c r="AB39" s="103" t="n"/>
      <c r="AC39" s="104" t="n"/>
      <c r="AD39" s="103" t="n"/>
      <c r="AE39" s="104" t="n"/>
      <c r="AF39" s="103" t="n"/>
      <c r="AG39" s="104" t="n"/>
      <c r="AH39" s="103" t="n"/>
      <c r="AI39" s="104" t="n"/>
      <c r="AJ39" s="103" t="n"/>
      <c r="AK39" s="104" t="n"/>
      <c r="AL39" s="103" t="n"/>
      <c r="AM39" s="104" t="n"/>
      <c r="AN39" s="184" t="n"/>
      <c r="AO39" s="106" t="n"/>
      <c r="AP39" s="107" t="n"/>
      <c r="AQ39" s="106" t="n"/>
      <c r="AR39" s="107" t="n"/>
      <c r="AS39" s="106" t="n"/>
      <c r="AT39" s="107" t="n"/>
      <c r="AU39" s="106" t="n"/>
      <c r="AV39" s="107" t="n"/>
      <c r="AW39" s="106" t="n"/>
      <c r="AX39" s="107" t="n"/>
      <c r="AY39" s="106" t="n"/>
      <c r="AZ39" s="107" t="n"/>
      <c r="BA39" s="106" t="n"/>
      <c r="BB39" s="107" t="n"/>
      <c r="BC39" s="106" t="n"/>
      <c r="BD39" s="107" t="n"/>
      <c r="BE39" s="185" t="n"/>
      <c r="BF39" s="109" t="n"/>
      <c r="BG39" s="110" t="n"/>
      <c r="BH39" s="109" t="n"/>
      <c r="BI39" s="110" t="n"/>
      <c r="BJ39" s="109" t="n"/>
      <c r="BK39" s="110" t="n"/>
      <c r="BL39" s="109" t="n"/>
      <c r="BM39" s="110" t="n"/>
      <c r="BN39" s="109" t="n"/>
      <c r="BO39" s="110" t="n"/>
      <c r="BP39" s="109" t="n"/>
      <c r="BQ39" s="110" t="n"/>
      <c r="BR39" s="109" t="n"/>
      <c r="BS39" s="110" t="n"/>
      <c r="BT39" s="109" t="n"/>
      <c r="BU39" s="110" t="n"/>
      <c r="BV39" s="186" t="n"/>
      <c r="BW39" s="112" t="n"/>
      <c r="BX39" s="113" t="n"/>
      <c r="BY39" s="112" t="n"/>
      <c r="BZ39" s="113" t="n"/>
      <c r="CA39" s="112" t="n"/>
      <c r="CB39" s="113" t="n"/>
      <c r="CC39" s="112" t="n"/>
      <c r="CD39" s="113" t="n"/>
      <c r="CE39" s="112" t="n"/>
      <c r="CF39" s="113" t="n"/>
      <c r="CG39" s="112" t="n"/>
      <c r="CH39" s="113" t="n"/>
      <c r="CI39" s="112" t="n"/>
      <c r="CJ39" s="113" t="n"/>
      <c r="CK39" s="112" t="n"/>
      <c r="CL39" s="113" t="n"/>
      <c r="CM39" s="187" t="n"/>
      <c r="CN39" s="115" t="n"/>
      <c r="CO39" s="116" t="n"/>
      <c r="CP39" s="115" t="n"/>
      <c r="CQ39" s="116" t="n"/>
      <c r="CR39" s="115" t="n"/>
      <c r="CS39" s="116" t="n"/>
      <c r="CT39" s="115" t="n"/>
      <c r="CU39" s="116" t="n"/>
      <c r="CV39" s="115" t="n"/>
      <c r="CW39" s="116" t="n"/>
      <c r="CX39" s="115" t="n"/>
      <c r="CY39" s="116" t="n"/>
      <c r="CZ39" s="115" t="n"/>
      <c r="DA39" s="116" t="n"/>
      <c r="DB39" s="115" t="n"/>
      <c r="DC39" s="116" t="n"/>
      <c r="DD39" s="188" t="n"/>
      <c r="DE39" s="118" t="n"/>
      <c r="DF39" s="119" t="n"/>
      <c r="DG39" s="118" t="n"/>
      <c r="DH39" s="119" t="n"/>
      <c r="DI39" s="118" t="n"/>
      <c r="DJ39" s="119" t="n"/>
      <c r="DK39" s="118" t="n"/>
      <c r="DL39" s="119" t="n"/>
      <c r="DM39" s="118" t="n"/>
      <c r="DN39" s="119" t="n"/>
      <c r="DO39" s="118" t="n"/>
      <c r="DP39" s="119" t="n"/>
      <c r="DQ39" s="118" t="n"/>
      <c r="DR39" s="119" t="n"/>
      <c r="DS39" s="118" t="n"/>
      <c r="DT39" s="119" t="n"/>
      <c r="DU39" s="189" t="n"/>
      <c r="DV39" s="121" t="n"/>
      <c r="DW39" s="122" t="n"/>
      <c r="DX39" s="121" t="n"/>
      <c r="DY39" s="122" t="n"/>
      <c r="DZ39" s="121" t="n"/>
      <c r="EA39" s="122" t="n"/>
      <c r="EB39" s="121" t="n"/>
      <c r="EC39" s="122" t="n"/>
      <c r="ED39" s="121" t="n"/>
      <c r="EE39" s="122" t="n"/>
      <c r="EF39" s="121" t="n"/>
      <c r="EG39" s="122" t="n"/>
      <c r="EH39" s="121" t="n"/>
      <c r="EI39" s="122" t="n"/>
      <c r="EJ39" s="121" t="n"/>
      <c r="EK39" s="122" t="n"/>
      <c r="EL39" s="190" t="n"/>
      <c r="EM39" s="124" t="n"/>
      <c r="EN39" s="125" t="n"/>
      <c r="EO39" s="124" t="n"/>
      <c r="EP39" s="125" t="n"/>
      <c r="EQ39" s="124" t="n"/>
      <c r="ER39" s="125" t="n"/>
      <c r="ES39" s="124" t="n"/>
      <c r="ET39" s="125" t="n"/>
      <c r="EU39" s="124" t="n"/>
      <c r="EV39" s="125" t="n"/>
      <c r="EW39" s="124" t="n"/>
      <c r="EX39" s="125" t="n"/>
      <c r="EY39" s="124" t="n"/>
      <c r="EZ39" s="125" t="n"/>
      <c r="FA39" s="124" t="n"/>
      <c r="FB39" s="125" t="n"/>
      <c r="FC39" s="191" t="n"/>
      <c r="FD39" s="127" t="n"/>
      <c r="FE39" s="128" t="n"/>
      <c r="FF39" s="127" t="n"/>
      <c r="FG39" s="128" t="n"/>
      <c r="FH39" s="127" t="n"/>
      <c r="FI39" s="128" t="n"/>
      <c r="FJ39" s="127" t="n"/>
      <c r="FK39" s="128" t="n"/>
      <c r="FL39" s="127" t="n"/>
      <c r="FM39" s="128" t="n"/>
      <c r="FN39" s="127" t="n"/>
      <c r="FO39" s="128" t="n"/>
      <c r="FP39" s="127" t="n"/>
      <c r="FQ39" s="128" t="n"/>
      <c r="FR39" s="127" t="n"/>
      <c r="FS39" s="128" t="n"/>
      <c r="FT39" s="192" t="n"/>
      <c r="FU39" s="130" t="n"/>
      <c r="FV39" s="131" t="n"/>
      <c r="FW39" s="130" t="n"/>
      <c r="FX39" s="131" t="n"/>
      <c r="FY39" s="130" t="n"/>
      <c r="FZ39" s="131" t="n"/>
      <c r="GA39" s="130" t="n"/>
      <c r="GB39" s="131" t="n"/>
      <c r="GC39" s="130" t="n"/>
      <c r="GD39" s="131" t="n"/>
      <c r="GE39" s="130" t="n"/>
      <c r="GF39" s="131" t="n"/>
      <c r="GG39" s="130" t="n"/>
      <c r="GH39" s="131" t="n"/>
      <c r="GI39" s="130" t="n"/>
      <c r="GJ39" s="131" t="n"/>
      <c r="GK39" s="193" t="n"/>
      <c r="GL39" s="133" t="n"/>
      <c r="GM39" s="134" t="n"/>
      <c r="GN39" s="133" t="n"/>
      <c r="GO39" s="134" t="n"/>
      <c r="GP39" s="133" t="n"/>
      <c r="GQ39" s="134" t="n"/>
      <c r="GR39" s="133" t="n"/>
      <c r="GS39" s="134" t="n"/>
      <c r="GT39" s="133" t="n"/>
      <c r="GU39" s="134" t="n"/>
      <c r="GV39" s="133" t="n"/>
      <c r="GW39" s="134" t="n"/>
      <c r="GX39" s="133" t="n"/>
      <c r="GY39" s="134" t="n"/>
      <c r="GZ39" s="133" t="n"/>
      <c r="HA39" s="134" t="n"/>
      <c r="HB39" s="194" t="n"/>
      <c r="HC39">
        <f>SUMIFS($G39:$HB39,$G$46:$HB$46,"&gt;="&amp;$HD$1,$G$46:$HB$46,"&lt;="&amp;$HD$2,$G$29:$HB$29,"&lt;&gt;ملاحظات",$G$28:$HB$28,"&gt;0")</f>
        <v>0</v>
      </c>
      <c r="HD39">
        <f>SUMIFS($G$28:$HB$28,$G$46:$HB$46,"&gt;="&amp;$HD$1,$G$46:$HB$46,"&lt;="&amp;$HD$2,$G$29:$HB$29,"&lt;&gt;ملاحظات",$G39:$HB39,"&gt;=0")</f>
        <v>0</v>
      </c>
    </row>
    <row r="40" ht="22.5" customHeight="1">
      <c r="A40" s="36" t="n">
        <v>11</v>
      </c>
      <c r="B40" s="181" t="str">
        <f>IF($B15="","",$B15)</f>
        <v/>
      </c>
      <c r="C40" s="136" t="str">
        <f>IF(OR($B40="",$HD40=0),"",ROUND($HC40,2)&amp;" / "&amp;$HD40)</f>
        <v/>
      </c>
      <c r="D40" s="182" t="str">
        <f>IF(OR($B40="",$HD40=0),"",$HC40/$HD40)</f>
        <v/>
      </c>
      <c r="E40" s="98" t="str">
        <f>IF($D40="","",RANK($D40,$D$30:$D$44))</f>
        <v/>
      </c>
      <c r="F40" s="99" t="str">
        <f>IF($D40="","",IF($D40&gt;=0.85,"ممتاز",IF($D40&gt;=0.75,"جيد جداً",IF($D40&gt;=0.65,"جيد",IF($D40&gt;=0.5,"مقبول","ضعيف")))))</f>
        <v/>
      </c>
      <c r="G40" s="100" t="n"/>
      <c r="H40" s="101" t="n"/>
      <c r="I40" s="100" t="n"/>
      <c r="J40" s="101" t="n"/>
      <c r="K40" s="100" t="n"/>
      <c r="L40" s="101" t="n"/>
      <c r="M40" s="100" t="n"/>
      <c r="N40" s="101" t="n"/>
      <c r="O40" s="100" t="n"/>
      <c r="P40" s="101" t="n"/>
      <c r="Q40" s="100" t="n"/>
      <c r="R40" s="101" t="n"/>
      <c r="S40" s="100" t="n"/>
      <c r="T40" s="101" t="n"/>
      <c r="U40" s="100" t="n"/>
      <c r="V40" s="101" t="n"/>
      <c r="W40" s="183" t="n"/>
      <c r="X40" s="103" t="n"/>
      <c r="Y40" s="104" t="n"/>
      <c r="Z40" s="103" t="n"/>
      <c r="AA40" s="104" t="n"/>
      <c r="AB40" s="103" t="n"/>
      <c r="AC40" s="104" t="n"/>
      <c r="AD40" s="103" t="n"/>
      <c r="AE40" s="104" t="n"/>
      <c r="AF40" s="103" t="n"/>
      <c r="AG40" s="104" t="n"/>
      <c r="AH40" s="103" t="n"/>
      <c r="AI40" s="104" t="n"/>
      <c r="AJ40" s="103" t="n"/>
      <c r="AK40" s="104" t="n"/>
      <c r="AL40" s="103" t="n"/>
      <c r="AM40" s="104" t="n"/>
      <c r="AN40" s="184" t="n"/>
      <c r="AO40" s="106" t="n"/>
      <c r="AP40" s="107" t="n"/>
      <c r="AQ40" s="106" t="n"/>
      <c r="AR40" s="107" t="n"/>
      <c r="AS40" s="106" t="n"/>
      <c r="AT40" s="107" t="n"/>
      <c r="AU40" s="106" t="n"/>
      <c r="AV40" s="107" t="n"/>
      <c r="AW40" s="106" t="n"/>
      <c r="AX40" s="107" t="n"/>
      <c r="AY40" s="106" t="n"/>
      <c r="AZ40" s="107" t="n"/>
      <c r="BA40" s="106" t="n"/>
      <c r="BB40" s="107" t="n"/>
      <c r="BC40" s="106" t="n"/>
      <c r="BD40" s="107" t="n"/>
      <c r="BE40" s="185" t="n"/>
      <c r="BF40" s="109" t="n"/>
      <c r="BG40" s="110" t="n"/>
      <c r="BH40" s="109" t="n"/>
      <c r="BI40" s="110" t="n"/>
      <c r="BJ40" s="109" t="n"/>
      <c r="BK40" s="110" t="n"/>
      <c r="BL40" s="109" t="n"/>
      <c r="BM40" s="110" t="n"/>
      <c r="BN40" s="109" t="n"/>
      <c r="BO40" s="110" t="n"/>
      <c r="BP40" s="109" t="n"/>
      <c r="BQ40" s="110" t="n"/>
      <c r="BR40" s="109" t="n"/>
      <c r="BS40" s="110" t="n"/>
      <c r="BT40" s="109" t="n"/>
      <c r="BU40" s="110" t="n"/>
      <c r="BV40" s="186" t="n"/>
      <c r="BW40" s="112" t="n"/>
      <c r="BX40" s="113" t="n"/>
      <c r="BY40" s="112" t="n"/>
      <c r="BZ40" s="113" t="n"/>
      <c r="CA40" s="112" t="n"/>
      <c r="CB40" s="113" t="n"/>
      <c r="CC40" s="112" t="n"/>
      <c r="CD40" s="113" t="n"/>
      <c r="CE40" s="112" t="n"/>
      <c r="CF40" s="113" t="n"/>
      <c r="CG40" s="112" t="n"/>
      <c r="CH40" s="113" t="n"/>
      <c r="CI40" s="112" t="n"/>
      <c r="CJ40" s="113" t="n"/>
      <c r="CK40" s="112" t="n"/>
      <c r="CL40" s="113" t="n"/>
      <c r="CM40" s="187" t="n"/>
      <c r="CN40" s="115" t="n"/>
      <c r="CO40" s="116" t="n"/>
      <c r="CP40" s="115" t="n"/>
      <c r="CQ40" s="116" t="n"/>
      <c r="CR40" s="115" t="n"/>
      <c r="CS40" s="116" t="n"/>
      <c r="CT40" s="115" t="n"/>
      <c r="CU40" s="116" t="n"/>
      <c r="CV40" s="115" t="n"/>
      <c r="CW40" s="116" t="n"/>
      <c r="CX40" s="115" t="n"/>
      <c r="CY40" s="116" t="n"/>
      <c r="CZ40" s="115" t="n"/>
      <c r="DA40" s="116" t="n"/>
      <c r="DB40" s="115" t="n"/>
      <c r="DC40" s="116" t="n"/>
      <c r="DD40" s="188" t="n"/>
      <c r="DE40" s="118" t="n"/>
      <c r="DF40" s="119" t="n"/>
      <c r="DG40" s="118" t="n"/>
      <c r="DH40" s="119" t="n"/>
      <c r="DI40" s="118" t="n"/>
      <c r="DJ40" s="119" t="n"/>
      <c r="DK40" s="118" t="n"/>
      <c r="DL40" s="119" t="n"/>
      <c r="DM40" s="118" t="n"/>
      <c r="DN40" s="119" t="n"/>
      <c r="DO40" s="118" t="n"/>
      <c r="DP40" s="119" t="n"/>
      <c r="DQ40" s="118" t="n"/>
      <c r="DR40" s="119" t="n"/>
      <c r="DS40" s="118" t="n"/>
      <c r="DT40" s="119" t="n"/>
      <c r="DU40" s="189" t="n"/>
      <c r="DV40" s="121" t="n"/>
      <c r="DW40" s="122" t="n"/>
      <c r="DX40" s="121" t="n"/>
      <c r="DY40" s="122" t="n"/>
      <c r="DZ40" s="121" t="n"/>
      <c r="EA40" s="122" t="n"/>
      <c r="EB40" s="121" t="n"/>
      <c r="EC40" s="122" t="n"/>
      <c r="ED40" s="121" t="n"/>
      <c r="EE40" s="122" t="n"/>
      <c r="EF40" s="121" t="n"/>
      <c r="EG40" s="122" t="n"/>
      <c r="EH40" s="121" t="n"/>
      <c r="EI40" s="122" t="n"/>
      <c r="EJ40" s="121" t="n"/>
      <c r="EK40" s="122" t="n"/>
      <c r="EL40" s="190" t="n"/>
      <c r="EM40" s="124" t="n"/>
      <c r="EN40" s="125" t="n"/>
      <c r="EO40" s="124" t="n"/>
      <c r="EP40" s="125" t="n"/>
      <c r="EQ40" s="124" t="n"/>
      <c r="ER40" s="125" t="n"/>
      <c r="ES40" s="124" t="n"/>
      <c r="ET40" s="125" t="n"/>
      <c r="EU40" s="124" t="n"/>
      <c r="EV40" s="125" t="n"/>
      <c r="EW40" s="124" t="n"/>
      <c r="EX40" s="125" t="n"/>
      <c r="EY40" s="124" t="n"/>
      <c r="EZ40" s="125" t="n"/>
      <c r="FA40" s="124" t="n"/>
      <c r="FB40" s="125" t="n"/>
      <c r="FC40" s="191" t="n"/>
      <c r="FD40" s="127" t="n"/>
      <c r="FE40" s="128" t="n"/>
      <c r="FF40" s="127" t="n"/>
      <c r="FG40" s="128" t="n"/>
      <c r="FH40" s="127" t="n"/>
      <c r="FI40" s="128" t="n"/>
      <c r="FJ40" s="127" t="n"/>
      <c r="FK40" s="128" t="n"/>
      <c r="FL40" s="127" t="n"/>
      <c r="FM40" s="128" t="n"/>
      <c r="FN40" s="127" t="n"/>
      <c r="FO40" s="128" t="n"/>
      <c r="FP40" s="127" t="n"/>
      <c r="FQ40" s="128" t="n"/>
      <c r="FR40" s="127" t="n"/>
      <c r="FS40" s="128" t="n"/>
      <c r="FT40" s="192" t="n"/>
      <c r="FU40" s="130" t="n"/>
      <c r="FV40" s="131" t="n"/>
      <c r="FW40" s="130" t="n"/>
      <c r="FX40" s="131" t="n"/>
      <c r="FY40" s="130" t="n"/>
      <c r="FZ40" s="131" t="n"/>
      <c r="GA40" s="130" t="n"/>
      <c r="GB40" s="131" t="n"/>
      <c r="GC40" s="130" t="n"/>
      <c r="GD40" s="131" t="n"/>
      <c r="GE40" s="130" t="n"/>
      <c r="GF40" s="131" t="n"/>
      <c r="GG40" s="130" t="n"/>
      <c r="GH40" s="131" t="n"/>
      <c r="GI40" s="130" t="n"/>
      <c r="GJ40" s="131" t="n"/>
      <c r="GK40" s="193" t="n"/>
      <c r="GL40" s="133" t="n"/>
      <c r="GM40" s="134" t="n"/>
      <c r="GN40" s="133" t="n"/>
      <c r="GO40" s="134" t="n"/>
      <c r="GP40" s="133" t="n"/>
      <c r="GQ40" s="134" t="n"/>
      <c r="GR40" s="133" t="n"/>
      <c r="GS40" s="134" t="n"/>
      <c r="GT40" s="133" t="n"/>
      <c r="GU40" s="134" t="n"/>
      <c r="GV40" s="133" t="n"/>
      <c r="GW40" s="134" t="n"/>
      <c r="GX40" s="133" t="n"/>
      <c r="GY40" s="134" t="n"/>
      <c r="GZ40" s="133" t="n"/>
      <c r="HA40" s="134" t="n"/>
      <c r="HB40" s="194" t="n"/>
      <c r="HC40">
        <f>SUMIFS($G40:$HB40,$G$46:$HB$46,"&gt;="&amp;$HD$1,$G$46:$HB$46,"&lt;="&amp;$HD$2,$G$29:$HB$29,"&lt;&gt;ملاحظات",$G$28:$HB$28,"&gt;0")</f>
        <v>0</v>
      </c>
      <c r="HD40">
        <f>SUMIFS($G$28:$HB$28,$G$46:$HB$46,"&gt;="&amp;$HD$1,$G$46:$HB$46,"&lt;="&amp;$HD$2,$G$29:$HB$29,"&lt;&gt;ملاحظات",$G40:$HB40,"&gt;=0")</f>
        <v>0</v>
      </c>
    </row>
    <row r="41" ht="22.5" customHeight="1">
      <c r="A41" s="36" t="n">
        <v>12</v>
      </c>
      <c r="B41" s="181" t="str">
        <f>IF($B16="","",$B16)</f>
        <v/>
      </c>
      <c r="C41" s="136" t="str">
        <f>IF(OR($B41="",$HD41=0),"",ROUND($HC41,2)&amp;" / "&amp;$HD41)</f>
        <v/>
      </c>
      <c r="D41" s="182" t="str">
        <f>IF(OR($B41="",$HD41=0),"",$HC41/$HD41)</f>
        <v/>
      </c>
      <c r="E41" s="98" t="str">
        <f>IF($D41="","",RANK($D41,$D$30:$D$44))</f>
        <v/>
      </c>
      <c r="F41" s="99" t="str">
        <f>IF($D41="","",IF($D41&gt;=0.85,"ممتاز",IF($D41&gt;=0.75,"جيد جداً",IF($D41&gt;=0.65,"جيد",IF($D41&gt;=0.5,"مقبول","ضعيف")))))</f>
        <v/>
      </c>
      <c r="G41" s="100" t="n"/>
      <c r="H41" s="101" t="n"/>
      <c r="I41" s="100" t="n"/>
      <c r="J41" s="101" t="n"/>
      <c r="K41" s="100" t="n"/>
      <c r="L41" s="101" t="n"/>
      <c r="M41" s="100" t="n"/>
      <c r="N41" s="101" t="n"/>
      <c r="O41" s="100" t="n"/>
      <c r="P41" s="101" t="n"/>
      <c r="Q41" s="100" t="n"/>
      <c r="R41" s="101" t="n"/>
      <c r="S41" s="100" t="n"/>
      <c r="T41" s="101" t="n"/>
      <c r="U41" s="100" t="n"/>
      <c r="V41" s="101" t="n"/>
      <c r="W41" s="183" t="n"/>
      <c r="X41" s="103" t="n"/>
      <c r="Y41" s="104" t="n"/>
      <c r="Z41" s="103" t="n"/>
      <c r="AA41" s="104" t="n"/>
      <c r="AB41" s="103" t="n"/>
      <c r="AC41" s="104" t="n"/>
      <c r="AD41" s="103" t="n"/>
      <c r="AE41" s="104" t="n"/>
      <c r="AF41" s="103" t="n"/>
      <c r="AG41" s="104" t="n"/>
      <c r="AH41" s="103" t="n"/>
      <c r="AI41" s="104" t="n"/>
      <c r="AJ41" s="103" t="n"/>
      <c r="AK41" s="104" t="n"/>
      <c r="AL41" s="103" t="n"/>
      <c r="AM41" s="104" t="n"/>
      <c r="AN41" s="184" t="n"/>
      <c r="AO41" s="106" t="n"/>
      <c r="AP41" s="107" t="n"/>
      <c r="AQ41" s="106" t="n"/>
      <c r="AR41" s="107" t="n"/>
      <c r="AS41" s="106" t="n"/>
      <c r="AT41" s="107" t="n"/>
      <c r="AU41" s="106" t="n"/>
      <c r="AV41" s="107" t="n"/>
      <c r="AW41" s="106" t="n"/>
      <c r="AX41" s="107" t="n"/>
      <c r="AY41" s="106" t="n"/>
      <c r="AZ41" s="107" t="n"/>
      <c r="BA41" s="106" t="n"/>
      <c r="BB41" s="107" t="n"/>
      <c r="BC41" s="106" t="n"/>
      <c r="BD41" s="107" t="n"/>
      <c r="BE41" s="185" t="n"/>
      <c r="BF41" s="109" t="n"/>
      <c r="BG41" s="110" t="n"/>
      <c r="BH41" s="109" t="n"/>
      <c r="BI41" s="110" t="n"/>
      <c r="BJ41" s="109" t="n"/>
      <c r="BK41" s="110" t="n"/>
      <c r="BL41" s="109" t="n"/>
      <c r="BM41" s="110" t="n"/>
      <c r="BN41" s="109" t="n"/>
      <c r="BO41" s="110" t="n"/>
      <c r="BP41" s="109" t="n"/>
      <c r="BQ41" s="110" t="n"/>
      <c r="BR41" s="109" t="n"/>
      <c r="BS41" s="110" t="n"/>
      <c r="BT41" s="109" t="n"/>
      <c r="BU41" s="110" t="n"/>
      <c r="BV41" s="186" t="n"/>
      <c r="BW41" s="112" t="n"/>
      <c r="BX41" s="113" t="n"/>
      <c r="BY41" s="112" t="n"/>
      <c r="BZ41" s="113" t="n"/>
      <c r="CA41" s="112" t="n"/>
      <c r="CB41" s="113" t="n"/>
      <c r="CC41" s="112" t="n"/>
      <c r="CD41" s="113" t="n"/>
      <c r="CE41" s="112" t="n"/>
      <c r="CF41" s="113" t="n"/>
      <c r="CG41" s="112" t="n"/>
      <c r="CH41" s="113" t="n"/>
      <c r="CI41" s="112" t="n"/>
      <c r="CJ41" s="113" t="n"/>
      <c r="CK41" s="112" t="n"/>
      <c r="CL41" s="113" t="n"/>
      <c r="CM41" s="187" t="n"/>
      <c r="CN41" s="115" t="n"/>
      <c r="CO41" s="116" t="n"/>
      <c r="CP41" s="115" t="n"/>
      <c r="CQ41" s="116" t="n"/>
      <c r="CR41" s="115" t="n"/>
      <c r="CS41" s="116" t="n"/>
      <c r="CT41" s="115" t="n"/>
      <c r="CU41" s="116" t="n"/>
      <c r="CV41" s="115" t="n"/>
      <c r="CW41" s="116" t="n"/>
      <c r="CX41" s="115" t="n"/>
      <c r="CY41" s="116" t="n"/>
      <c r="CZ41" s="115" t="n"/>
      <c r="DA41" s="116" t="n"/>
      <c r="DB41" s="115" t="n"/>
      <c r="DC41" s="116" t="n"/>
      <c r="DD41" s="188" t="n"/>
      <c r="DE41" s="118" t="n"/>
      <c r="DF41" s="119" t="n"/>
      <c r="DG41" s="118" t="n"/>
      <c r="DH41" s="119" t="n"/>
      <c r="DI41" s="118" t="n"/>
      <c r="DJ41" s="119" t="n"/>
      <c r="DK41" s="118" t="n"/>
      <c r="DL41" s="119" t="n"/>
      <c r="DM41" s="118" t="n"/>
      <c r="DN41" s="119" t="n"/>
      <c r="DO41" s="118" t="n"/>
      <c r="DP41" s="119" t="n"/>
      <c r="DQ41" s="118" t="n"/>
      <c r="DR41" s="119" t="n"/>
      <c r="DS41" s="118" t="n"/>
      <c r="DT41" s="119" t="n"/>
      <c r="DU41" s="189" t="n"/>
      <c r="DV41" s="121" t="n"/>
      <c r="DW41" s="122" t="n"/>
      <c r="DX41" s="121" t="n"/>
      <c r="DY41" s="122" t="n"/>
      <c r="DZ41" s="121" t="n"/>
      <c r="EA41" s="122" t="n"/>
      <c r="EB41" s="121" t="n"/>
      <c r="EC41" s="122" t="n"/>
      <c r="ED41" s="121" t="n"/>
      <c r="EE41" s="122" t="n"/>
      <c r="EF41" s="121" t="n"/>
      <c r="EG41" s="122" t="n"/>
      <c r="EH41" s="121" t="n"/>
      <c r="EI41" s="122" t="n"/>
      <c r="EJ41" s="121" t="n"/>
      <c r="EK41" s="122" t="n"/>
      <c r="EL41" s="190" t="n"/>
      <c r="EM41" s="124" t="n"/>
      <c r="EN41" s="125" t="n"/>
      <c r="EO41" s="124" t="n"/>
      <c r="EP41" s="125" t="n"/>
      <c r="EQ41" s="124" t="n"/>
      <c r="ER41" s="125" t="n"/>
      <c r="ES41" s="124" t="n"/>
      <c r="ET41" s="125" t="n"/>
      <c r="EU41" s="124" t="n"/>
      <c r="EV41" s="125" t="n"/>
      <c r="EW41" s="124" t="n"/>
      <c r="EX41" s="125" t="n"/>
      <c r="EY41" s="124" t="n"/>
      <c r="EZ41" s="125" t="n"/>
      <c r="FA41" s="124" t="n"/>
      <c r="FB41" s="125" t="n"/>
      <c r="FC41" s="191" t="n"/>
      <c r="FD41" s="127" t="n"/>
      <c r="FE41" s="128" t="n"/>
      <c r="FF41" s="127" t="n"/>
      <c r="FG41" s="128" t="n"/>
      <c r="FH41" s="127" t="n"/>
      <c r="FI41" s="128" t="n"/>
      <c r="FJ41" s="127" t="n"/>
      <c r="FK41" s="128" t="n"/>
      <c r="FL41" s="127" t="n"/>
      <c r="FM41" s="128" t="n"/>
      <c r="FN41" s="127" t="n"/>
      <c r="FO41" s="128" t="n"/>
      <c r="FP41" s="127" t="n"/>
      <c r="FQ41" s="128" t="n"/>
      <c r="FR41" s="127" t="n"/>
      <c r="FS41" s="128" t="n"/>
      <c r="FT41" s="192" t="n"/>
      <c r="FU41" s="130" t="n"/>
      <c r="FV41" s="131" t="n"/>
      <c r="FW41" s="130" t="n"/>
      <c r="FX41" s="131" t="n"/>
      <c r="FY41" s="130" t="n"/>
      <c r="FZ41" s="131" t="n"/>
      <c r="GA41" s="130" t="n"/>
      <c r="GB41" s="131" t="n"/>
      <c r="GC41" s="130" t="n"/>
      <c r="GD41" s="131" t="n"/>
      <c r="GE41" s="130" t="n"/>
      <c r="GF41" s="131" t="n"/>
      <c r="GG41" s="130" t="n"/>
      <c r="GH41" s="131" t="n"/>
      <c r="GI41" s="130" t="n"/>
      <c r="GJ41" s="131" t="n"/>
      <c r="GK41" s="193" t="n"/>
      <c r="GL41" s="133" t="n"/>
      <c r="GM41" s="134" t="n"/>
      <c r="GN41" s="133" t="n"/>
      <c r="GO41" s="134" t="n"/>
      <c r="GP41" s="133" t="n"/>
      <c r="GQ41" s="134" t="n"/>
      <c r="GR41" s="133" t="n"/>
      <c r="GS41" s="134" t="n"/>
      <c r="GT41" s="133" t="n"/>
      <c r="GU41" s="134" t="n"/>
      <c r="GV41" s="133" t="n"/>
      <c r="GW41" s="134" t="n"/>
      <c r="GX41" s="133" t="n"/>
      <c r="GY41" s="134" t="n"/>
      <c r="GZ41" s="133" t="n"/>
      <c r="HA41" s="134" t="n"/>
      <c r="HB41" s="194" t="n"/>
      <c r="HC41">
        <f>SUMIFS($G41:$HB41,$G$46:$HB$46,"&gt;="&amp;$HD$1,$G$46:$HB$46,"&lt;="&amp;$HD$2,$G$29:$HB$29,"&lt;&gt;ملاحظات",$G$28:$HB$28,"&gt;0")</f>
        <v>0</v>
      </c>
      <c r="HD41">
        <f>SUMIFS($G$28:$HB$28,$G$46:$HB$46,"&gt;="&amp;$HD$1,$G$46:$HB$46,"&lt;="&amp;$HD$2,$G$29:$HB$29,"&lt;&gt;ملاحظات",$G41:$HB41,"&gt;=0")</f>
        <v>0</v>
      </c>
    </row>
    <row r="42" ht="22.5" customHeight="1">
      <c r="A42" s="36" t="n">
        <v>13</v>
      </c>
      <c r="B42" s="181" t="str">
        <f>IF($B17="","",$B17)</f>
        <v/>
      </c>
      <c r="C42" s="136" t="str">
        <f>IF(OR($B42="",$HD42=0),"",ROUND($HC42,2)&amp;" / "&amp;$HD42)</f>
        <v/>
      </c>
      <c r="D42" s="182" t="str">
        <f>IF(OR($B42="",$HD42=0),"",$HC42/$HD42)</f>
        <v/>
      </c>
      <c r="E42" s="98" t="str">
        <f>IF($D42="","",RANK($D42,$D$30:$D$44))</f>
        <v/>
      </c>
      <c r="F42" s="99" t="str">
        <f>IF($D42="","",IF($D42&gt;=0.85,"ممتاز",IF($D42&gt;=0.75,"جيد جداً",IF($D42&gt;=0.65,"جيد",IF($D42&gt;=0.5,"مقبول","ضعيف")))))</f>
        <v/>
      </c>
      <c r="G42" s="100" t="n"/>
      <c r="H42" s="101" t="n"/>
      <c r="I42" s="100" t="n"/>
      <c r="J42" s="101" t="n"/>
      <c r="K42" s="100" t="n"/>
      <c r="L42" s="101" t="n"/>
      <c r="M42" s="100" t="n"/>
      <c r="N42" s="101" t="n"/>
      <c r="O42" s="100" t="n"/>
      <c r="P42" s="101" t="n"/>
      <c r="Q42" s="100" t="n"/>
      <c r="R42" s="101" t="n"/>
      <c r="S42" s="100" t="n"/>
      <c r="T42" s="101" t="n"/>
      <c r="U42" s="100" t="n"/>
      <c r="V42" s="101" t="n"/>
      <c r="W42" s="183" t="n"/>
      <c r="X42" s="103" t="n"/>
      <c r="Y42" s="104" t="n"/>
      <c r="Z42" s="103" t="n"/>
      <c r="AA42" s="104" t="n"/>
      <c r="AB42" s="103" t="n"/>
      <c r="AC42" s="104" t="n"/>
      <c r="AD42" s="103" t="n"/>
      <c r="AE42" s="104" t="n"/>
      <c r="AF42" s="103" t="n"/>
      <c r="AG42" s="104" t="n"/>
      <c r="AH42" s="103" t="n"/>
      <c r="AI42" s="104" t="n"/>
      <c r="AJ42" s="103" t="n"/>
      <c r="AK42" s="104" t="n"/>
      <c r="AL42" s="103" t="n"/>
      <c r="AM42" s="104" t="n"/>
      <c r="AN42" s="184" t="n"/>
      <c r="AO42" s="106" t="n"/>
      <c r="AP42" s="107" t="n"/>
      <c r="AQ42" s="106" t="n"/>
      <c r="AR42" s="107" t="n"/>
      <c r="AS42" s="106" t="n"/>
      <c r="AT42" s="107" t="n"/>
      <c r="AU42" s="106" t="n"/>
      <c r="AV42" s="107" t="n"/>
      <c r="AW42" s="106" t="n"/>
      <c r="AX42" s="107" t="n"/>
      <c r="AY42" s="106" t="n"/>
      <c r="AZ42" s="107" t="n"/>
      <c r="BA42" s="106" t="n"/>
      <c r="BB42" s="107" t="n"/>
      <c r="BC42" s="106" t="n"/>
      <c r="BD42" s="107" t="n"/>
      <c r="BE42" s="185" t="n"/>
      <c r="BF42" s="109" t="n"/>
      <c r="BG42" s="110" t="n"/>
      <c r="BH42" s="109" t="n"/>
      <c r="BI42" s="110" t="n"/>
      <c r="BJ42" s="109" t="n"/>
      <c r="BK42" s="110" t="n"/>
      <c r="BL42" s="109" t="n"/>
      <c r="BM42" s="110" t="n"/>
      <c r="BN42" s="109" t="n"/>
      <c r="BO42" s="110" t="n"/>
      <c r="BP42" s="109" t="n"/>
      <c r="BQ42" s="110" t="n"/>
      <c r="BR42" s="109" t="n"/>
      <c r="BS42" s="110" t="n"/>
      <c r="BT42" s="109" t="n"/>
      <c r="BU42" s="110" t="n"/>
      <c r="BV42" s="186" t="n"/>
      <c r="BW42" s="112" t="n"/>
      <c r="BX42" s="113" t="n"/>
      <c r="BY42" s="112" t="n"/>
      <c r="BZ42" s="113" t="n"/>
      <c r="CA42" s="112" t="n"/>
      <c r="CB42" s="113" t="n"/>
      <c r="CC42" s="112" t="n"/>
      <c r="CD42" s="113" t="n"/>
      <c r="CE42" s="112" t="n"/>
      <c r="CF42" s="113" t="n"/>
      <c r="CG42" s="112" t="n"/>
      <c r="CH42" s="113" t="n"/>
      <c r="CI42" s="112" t="n"/>
      <c r="CJ42" s="113" t="n"/>
      <c r="CK42" s="112" t="n"/>
      <c r="CL42" s="113" t="n"/>
      <c r="CM42" s="187" t="n"/>
      <c r="CN42" s="115" t="n"/>
      <c r="CO42" s="116" t="n"/>
      <c r="CP42" s="115" t="n"/>
      <c r="CQ42" s="116" t="n"/>
      <c r="CR42" s="115" t="n"/>
      <c r="CS42" s="116" t="n"/>
      <c r="CT42" s="115" t="n"/>
      <c r="CU42" s="116" t="n"/>
      <c r="CV42" s="115" t="n"/>
      <c r="CW42" s="116" t="n"/>
      <c r="CX42" s="115" t="n"/>
      <c r="CY42" s="116" t="n"/>
      <c r="CZ42" s="115" t="n"/>
      <c r="DA42" s="116" t="n"/>
      <c r="DB42" s="115" t="n"/>
      <c r="DC42" s="116" t="n"/>
      <c r="DD42" s="188" t="n"/>
      <c r="DE42" s="118" t="n"/>
      <c r="DF42" s="119" t="n"/>
      <c r="DG42" s="118" t="n"/>
      <c r="DH42" s="119" t="n"/>
      <c r="DI42" s="118" t="n"/>
      <c r="DJ42" s="119" t="n"/>
      <c r="DK42" s="118" t="n"/>
      <c r="DL42" s="119" t="n"/>
      <c r="DM42" s="118" t="n"/>
      <c r="DN42" s="119" t="n"/>
      <c r="DO42" s="118" t="n"/>
      <c r="DP42" s="119" t="n"/>
      <c r="DQ42" s="118" t="n"/>
      <c r="DR42" s="119" t="n"/>
      <c r="DS42" s="118" t="n"/>
      <c r="DT42" s="119" t="n"/>
      <c r="DU42" s="189" t="n"/>
      <c r="DV42" s="121" t="n"/>
      <c r="DW42" s="122" t="n"/>
      <c r="DX42" s="121" t="n"/>
      <c r="DY42" s="122" t="n"/>
      <c r="DZ42" s="121" t="n"/>
      <c r="EA42" s="122" t="n"/>
      <c r="EB42" s="121" t="n"/>
      <c r="EC42" s="122" t="n"/>
      <c r="ED42" s="121" t="n"/>
      <c r="EE42" s="122" t="n"/>
      <c r="EF42" s="121" t="n"/>
      <c r="EG42" s="122" t="n"/>
      <c r="EH42" s="121" t="n"/>
      <c r="EI42" s="122" t="n"/>
      <c r="EJ42" s="121" t="n"/>
      <c r="EK42" s="122" t="n"/>
      <c r="EL42" s="190" t="n"/>
      <c r="EM42" s="124" t="n"/>
      <c r="EN42" s="125" t="n"/>
      <c r="EO42" s="124" t="n"/>
      <c r="EP42" s="125" t="n"/>
      <c r="EQ42" s="124" t="n"/>
      <c r="ER42" s="125" t="n"/>
      <c r="ES42" s="124" t="n"/>
      <c r="ET42" s="125" t="n"/>
      <c r="EU42" s="124" t="n"/>
      <c r="EV42" s="125" t="n"/>
      <c r="EW42" s="124" t="n"/>
      <c r="EX42" s="125" t="n"/>
      <c r="EY42" s="124" t="n"/>
      <c r="EZ42" s="125" t="n"/>
      <c r="FA42" s="124" t="n"/>
      <c r="FB42" s="125" t="n"/>
      <c r="FC42" s="191" t="n"/>
      <c r="FD42" s="127" t="n"/>
      <c r="FE42" s="128" t="n"/>
      <c r="FF42" s="127" t="n"/>
      <c r="FG42" s="128" t="n"/>
      <c r="FH42" s="127" t="n"/>
      <c r="FI42" s="128" t="n"/>
      <c r="FJ42" s="127" t="n"/>
      <c r="FK42" s="128" t="n"/>
      <c r="FL42" s="127" t="n"/>
      <c r="FM42" s="128" t="n"/>
      <c r="FN42" s="127" t="n"/>
      <c r="FO42" s="128" t="n"/>
      <c r="FP42" s="127" t="n"/>
      <c r="FQ42" s="128" t="n"/>
      <c r="FR42" s="127" t="n"/>
      <c r="FS42" s="128" t="n"/>
      <c r="FT42" s="192" t="n"/>
      <c r="FU42" s="130" t="n"/>
      <c r="FV42" s="131" t="n"/>
      <c r="FW42" s="130" t="n"/>
      <c r="FX42" s="131" t="n"/>
      <c r="FY42" s="130" t="n"/>
      <c r="FZ42" s="131" t="n"/>
      <c r="GA42" s="130" t="n"/>
      <c r="GB42" s="131" t="n"/>
      <c r="GC42" s="130" t="n"/>
      <c r="GD42" s="131" t="n"/>
      <c r="GE42" s="130" t="n"/>
      <c r="GF42" s="131" t="n"/>
      <c r="GG42" s="130" t="n"/>
      <c r="GH42" s="131" t="n"/>
      <c r="GI42" s="130" t="n"/>
      <c r="GJ42" s="131" t="n"/>
      <c r="GK42" s="193" t="n"/>
      <c r="GL42" s="133" t="n"/>
      <c r="GM42" s="134" t="n"/>
      <c r="GN42" s="133" t="n"/>
      <c r="GO42" s="134" t="n"/>
      <c r="GP42" s="133" t="n"/>
      <c r="GQ42" s="134" t="n"/>
      <c r="GR42" s="133" t="n"/>
      <c r="GS42" s="134" t="n"/>
      <c r="GT42" s="133" t="n"/>
      <c r="GU42" s="134" t="n"/>
      <c r="GV42" s="133" t="n"/>
      <c r="GW42" s="134" t="n"/>
      <c r="GX42" s="133" t="n"/>
      <c r="GY42" s="134" t="n"/>
      <c r="GZ42" s="133" t="n"/>
      <c r="HA42" s="134" t="n"/>
      <c r="HB42" s="194" t="n"/>
      <c r="HC42">
        <f>SUMIFS($G42:$HB42,$G$46:$HB$46,"&gt;="&amp;$HD$1,$G$46:$HB$46,"&lt;="&amp;$HD$2,$G$29:$HB$29,"&lt;&gt;ملاحظات",$G$28:$HB$28,"&gt;0")</f>
        <v>0</v>
      </c>
      <c r="HD42">
        <f>SUMIFS($G$28:$HB$28,$G$46:$HB$46,"&gt;="&amp;$HD$1,$G$46:$HB$46,"&lt;="&amp;$HD$2,$G$29:$HB$29,"&lt;&gt;ملاحظات",$G42:$HB42,"&gt;=0")</f>
        <v>0</v>
      </c>
    </row>
    <row r="43" ht="22.5" customHeight="1">
      <c r="A43" s="36" t="n">
        <v>14</v>
      </c>
      <c r="B43" s="181" t="str">
        <f>IF($B18="","",$B18)</f>
        <v/>
      </c>
      <c r="C43" s="136" t="str">
        <f>IF(OR($B43="",$HD43=0),"",ROUND($HC43,2)&amp;" / "&amp;$HD43)</f>
        <v/>
      </c>
      <c r="D43" s="182" t="str">
        <f>IF(OR($B43="",$HD43=0),"",$HC43/$HD43)</f>
        <v/>
      </c>
      <c r="E43" s="98" t="str">
        <f>IF($D43="","",RANK($D43,$D$30:$D$44))</f>
        <v/>
      </c>
      <c r="F43" s="99" t="str">
        <f>IF($D43="","",IF($D43&gt;=0.85,"ممتاز",IF($D43&gt;=0.75,"جيد جداً",IF($D43&gt;=0.65,"جيد",IF($D43&gt;=0.5,"مقبول","ضعيف")))))</f>
        <v/>
      </c>
      <c r="G43" s="100" t="n"/>
      <c r="H43" s="101" t="n"/>
      <c r="I43" s="100" t="n"/>
      <c r="J43" s="101" t="n"/>
      <c r="K43" s="100" t="n"/>
      <c r="L43" s="101" t="n"/>
      <c r="M43" s="100" t="n"/>
      <c r="N43" s="101" t="n"/>
      <c r="O43" s="100" t="n"/>
      <c r="P43" s="101" t="n"/>
      <c r="Q43" s="100" t="n"/>
      <c r="R43" s="101" t="n"/>
      <c r="S43" s="100" t="n"/>
      <c r="T43" s="101" t="n"/>
      <c r="U43" s="100" t="n"/>
      <c r="V43" s="101" t="n"/>
      <c r="W43" s="183" t="n"/>
      <c r="X43" s="103" t="n"/>
      <c r="Y43" s="104" t="n"/>
      <c r="Z43" s="103" t="n"/>
      <c r="AA43" s="104" t="n"/>
      <c r="AB43" s="103" t="n"/>
      <c r="AC43" s="104" t="n"/>
      <c r="AD43" s="103" t="n"/>
      <c r="AE43" s="104" t="n"/>
      <c r="AF43" s="103" t="n"/>
      <c r="AG43" s="104" t="n"/>
      <c r="AH43" s="103" t="n"/>
      <c r="AI43" s="104" t="n"/>
      <c r="AJ43" s="103" t="n"/>
      <c r="AK43" s="104" t="n"/>
      <c r="AL43" s="103" t="n"/>
      <c r="AM43" s="104" t="n"/>
      <c r="AN43" s="184" t="n"/>
      <c r="AO43" s="106" t="n"/>
      <c r="AP43" s="107" t="n"/>
      <c r="AQ43" s="106" t="n"/>
      <c r="AR43" s="107" t="n"/>
      <c r="AS43" s="106" t="n"/>
      <c r="AT43" s="107" t="n"/>
      <c r="AU43" s="106" t="n"/>
      <c r="AV43" s="107" t="n"/>
      <c r="AW43" s="106" t="n"/>
      <c r="AX43" s="107" t="n"/>
      <c r="AY43" s="106" t="n"/>
      <c r="AZ43" s="107" t="n"/>
      <c r="BA43" s="106" t="n"/>
      <c r="BB43" s="107" t="n"/>
      <c r="BC43" s="106" t="n"/>
      <c r="BD43" s="107" t="n"/>
      <c r="BE43" s="185" t="n"/>
      <c r="BF43" s="109" t="n"/>
      <c r="BG43" s="110" t="n"/>
      <c r="BH43" s="109" t="n"/>
      <c r="BI43" s="110" t="n"/>
      <c r="BJ43" s="109" t="n"/>
      <c r="BK43" s="110" t="n"/>
      <c r="BL43" s="109" t="n"/>
      <c r="BM43" s="110" t="n"/>
      <c r="BN43" s="109" t="n"/>
      <c r="BO43" s="110" t="n"/>
      <c r="BP43" s="109" t="n"/>
      <c r="BQ43" s="110" t="n"/>
      <c r="BR43" s="109" t="n"/>
      <c r="BS43" s="110" t="n"/>
      <c r="BT43" s="109" t="n"/>
      <c r="BU43" s="110" t="n"/>
      <c r="BV43" s="186" t="n"/>
      <c r="BW43" s="112" t="n"/>
      <c r="BX43" s="113" t="n"/>
      <c r="BY43" s="112" t="n"/>
      <c r="BZ43" s="113" t="n"/>
      <c r="CA43" s="112" t="n"/>
      <c r="CB43" s="113" t="n"/>
      <c r="CC43" s="112" t="n"/>
      <c r="CD43" s="113" t="n"/>
      <c r="CE43" s="112" t="n"/>
      <c r="CF43" s="113" t="n"/>
      <c r="CG43" s="112" t="n"/>
      <c r="CH43" s="113" t="n"/>
      <c r="CI43" s="112" t="n"/>
      <c r="CJ43" s="113" t="n"/>
      <c r="CK43" s="112" t="n"/>
      <c r="CL43" s="113" t="n"/>
      <c r="CM43" s="187" t="n"/>
      <c r="CN43" s="115" t="n"/>
      <c r="CO43" s="116" t="n"/>
      <c r="CP43" s="115" t="n"/>
      <c r="CQ43" s="116" t="n"/>
      <c r="CR43" s="115" t="n"/>
      <c r="CS43" s="116" t="n"/>
      <c r="CT43" s="115" t="n"/>
      <c r="CU43" s="116" t="n"/>
      <c r="CV43" s="115" t="n"/>
      <c r="CW43" s="116" t="n"/>
      <c r="CX43" s="115" t="n"/>
      <c r="CY43" s="116" t="n"/>
      <c r="CZ43" s="115" t="n"/>
      <c r="DA43" s="116" t="n"/>
      <c r="DB43" s="115" t="n"/>
      <c r="DC43" s="116" t="n"/>
      <c r="DD43" s="188" t="n"/>
      <c r="DE43" s="118" t="n"/>
      <c r="DF43" s="119" t="n"/>
      <c r="DG43" s="118" t="n"/>
      <c r="DH43" s="119" t="n"/>
      <c r="DI43" s="118" t="n"/>
      <c r="DJ43" s="119" t="n"/>
      <c r="DK43" s="118" t="n"/>
      <c r="DL43" s="119" t="n"/>
      <c r="DM43" s="118" t="n"/>
      <c r="DN43" s="119" t="n"/>
      <c r="DO43" s="118" t="n"/>
      <c r="DP43" s="119" t="n"/>
      <c r="DQ43" s="118" t="n"/>
      <c r="DR43" s="119" t="n"/>
      <c r="DS43" s="118" t="n"/>
      <c r="DT43" s="119" t="n"/>
      <c r="DU43" s="189" t="n"/>
      <c r="DV43" s="121" t="n"/>
      <c r="DW43" s="122" t="n"/>
      <c r="DX43" s="121" t="n"/>
      <c r="DY43" s="122" t="n"/>
      <c r="DZ43" s="121" t="n"/>
      <c r="EA43" s="122" t="n"/>
      <c r="EB43" s="121" t="n"/>
      <c r="EC43" s="122" t="n"/>
      <c r="ED43" s="121" t="n"/>
      <c r="EE43" s="122" t="n"/>
      <c r="EF43" s="121" t="n"/>
      <c r="EG43" s="122" t="n"/>
      <c r="EH43" s="121" t="n"/>
      <c r="EI43" s="122" t="n"/>
      <c r="EJ43" s="121" t="n"/>
      <c r="EK43" s="122" t="n"/>
      <c r="EL43" s="190" t="n"/>
      <c r="EM43" s="124" t="n"/>
      <c r="EN43" s="125" t="n"/>
      <c r="EO43" s="124" t="n"/>
      <c r="EP43" s="125" t="n"/>
      <c r="EQ43" s="124" t="n"/>
      <c r="ER43" s="125" t="n"/>
      <c r="ES43" s="124" t="n"/>
      <c r="ET43" s="125" t="n"/>
      <c r="EU43" s="124" t="n"/>
      <c r="EV43" s="125" t="n"/>
      <c r="EW43" s="124" t="n"/>
      <c r="EX43" s="125" t="n"/>
      <c r="EY43" s="124" t="n"/>
      <c r="EZ43" s="125" t="n"/>
      <c r="FA43" s="124" t="n"/>
      <c r="FB43" s="125" t="n"/>
      <c r="FC43" s="191" t="n"/>
      <c r="FD43" s="127" t="n"/>
      <c r="FE43" s="128" t="n"/>
      <c r="FF43" s="127" t="n"/>
      <c r="FG43" s="128" t="n"/>
      <c r="FH43" s="127" t="n"/>
      <c r="FI43" s="128" t="n"/>
      <c r="FJ43" s="127" t="n"/>
      <c r="FK43" s="128" t="n"/>
      <c r="FL43" s="127" t="n"/>
      <c r="FM43" s="128" t="n"/>
      <c r="FN43" s="127" t="n"/>
      <c r="FO43" s="128" t="n"/>
      <c r="FP43" s="127" t="n"/>
      <c r="FQ43" s="128" t="n"/>
      <c r="FR43" s="127" t="n"/>
      <c r="FS43" s="128" t="n"/>
      <c r="FT43" s="192" t="n"/>
      <c r="FU43" s="130" t="n"/>
      <c r="FV43" s="131" t="n"/>
      <c r="FW43" s="130" t="n"/>
      <c r="FX43" s="131" t="n"/>
      <c r="FY43" s="130" t="n"/>
      <c r="FZ43" s="131" t="n"/>
      <c r="GA43" s="130" t="n"/>
      <c r="GB43" s="131" t="n"/>
      <c r="GC43" s="130" t="n"/>
      <c r="GD43" s="131" t="n"/>
      <c r="GE43" s="130" t="n"/>
      <c r="GF43" s="131" t="n"/>
      <c r="GG43" s="130" t="n"/>
      <c r="GH43" s="131" t="n"/>
      <c r="GI43" s="130" t="n"/>
      <c r="GJ43" s="131" t="n"/>
      <c r="GK43" s="193" t="n"/>
      <c r="GL43" s="133" t="n"/>
      <c r="GM43" s="134" t="n"/>
      <c r="GN43" s="133" t="n"/>
      <c r="GO43" s="134" t="n"/>
      <c r="GP43" s="133" t="n"/>
      <c r="GQ43" s="134" t="n"/>
      <c r="GR43" s="133" t="n"/>
      <c r="GS43" s="134" t="n"/>
      <c r="GT43" s="133" t="n"/>
      <c r="GU43" s="134" t="n"/>
      <c r="GV43" s="133" t="n"/>
      <c r="GW43" s="134" t="n"/>
      <c r="GX43" s="133" t="n"/>
      <c r="GY43" s="134" t="n"/>
      <c r="GZ43" s="133" t="n"/>
      <c r="HA43" s="134" t="n"/>
      <c r="HB43" s="194" t="n"/>
      <c r="HC43">
        <f>SUMIFS($G43:$HB43,$G$46:$HB$46,"&gt;="&amp;$HD$1,$G$46:$HB$46,"&lt;="&amp;$HD$2,$G$29:$HB$29,"&lt;&gt;ملاحظات",$G$28:$HB$28,"&gt;0")</f>
        <v>0</v>
      </c>
      <c r="HD43">
        <f>SUMIFS($G$28:$HB$28,$G$46:$HB$46,"&gt;="&amp;$HD$1,$G$46:$HB$46,"&lt;="&amp;$HD$2,$G$29:$HB$29,"&lt;&gt;ملاحظات",$G43:$HB43,"&gt;=0")</f>
        <v>0</v>
      </c>
    </row>
    <row r="44" ht="22.5" customHeight="1">
      <c r="A44" s="36" t="n">
        <v>15</v>
      </c>
      <c r="B44" s="181" t="str">
        <f>IF($B19="","",$B19)</f>
        <v/>
      </c>
      <c r="C44" s="136" t="str">
        <f>IF(OR($B44="",$HD44=0),"",ROUND($HC44,2)&amp;" / "&amp;$HD44)</f>
        <v/>
      </c>
      <c r="D44" s="182" t="str">
        <f>IF(OR($B44="",$HD44=0),"",$HC44/$HD44)</f>
        <v/>
      </c>
      <c r="E44" s="98" t="str">
        <f>IF($D44="","",RANK($D44,$D$30:$D$44))</f>
        <v/>
      </c>
      <c r="F44" s="99" t="str">
        <f>IF($D44="","",IF($D44&gt;=0.85,"ممتاز",IF($D44&gt;=0.75,"جيد جداً",IF($D44&gt;=0.65,"جيد",IF($D44&gt;=0.5,"مقبول","ضعيف")))))</f>
        <v/>
      </c>
      <c r="G44" s="100" t="n"/>
      <c r="H44" s="101" t="n"/>
      <c r="I44" s="100" t="n"/>
      <c r="J44" s="101" t="n"/>
      <c r="K44" s="100" t="n"/>
      <c r="L44" s="101" t="n"/>
      <c r="M44" s="100" t="n"/>
      <c r="N44" s="101" t="n"/>
      <c r="O44" s="100" t="n"/>
      <c r="P44" s="101" t="n"/>
      <c r="Q44" s="100" t="n"/>
      <c r="R44" s="101" t="n"/>
      <c r="S44" s="100" t="n"/>
      <c r="T44" s="101" t="n"/>
      <c r="U44" s="100" t="n"/>
      <c r="V44" s="101" t="n"/>
      <c r="W44" s="183" t="n"/>
      <c r="X44" s="103" t="n"/>
      <c r="Y44" s="104" t="n"/>
      <c r="Z44" s="103" t="n"/>
      <c r="AA44" s="104" t="n"/>
      <c r="AB44" s="103" t="n"/>
      <c r="AC44" s="104" t="n"/>
      <c r="AD44" s="103" t="n"/>
      <c r="AE44" s="104" t="n"/>
      <c r="AF44" s="103" t="n"/>
      <c r="AG44" s="104" t="n"/>
      <c r="AH44" s="103" t="n"/>
      <c r="AI44" s="104" t="n"/>
      <c r="AJ44" s="103" t="n"/>
      <c r="AK44" s="104" t="n"/>
      <c r="AL44" s="103" t="n"/>
      <c r="AM44" s="104" t="n"/>
      <c r="AN44" s="184" t="n"/>
      <c r="AO44" s="106" t="n"/>
      <c r="AP44" s="107" t="n"/>
      <c r="AQ44" s="106" t="n"/>
      <c r="AR44" s="107" t="n"/>
      <c r="AS44" s="106" t="n"/>
      <c r="AT44" s="107" t="n"/>
      <c r="AU44" s="106" t="n"/>
      <c r="AV44" s="107" t="n"/>
      <c r="AW44" s="106" t="n"/>
      <c r="AX44" s="107" t="n"/>
      <c r="AY44" s="106" t="n"/>
      <c r="AZ44" s="107" t="n"/>
      <c r="BA44" s="106" t="n"/>
      <c r="BB44" s="107" t="n"/>
      <c r="BC44" s="106" t="n"/>
      <c r="BD44" s="107" t="n"/>
      <c r="BE44" s="185" t="n"/>
      <c r="BF44" s="109" t="n"/>
      <c r="BG44" s="110" t="n"/>
      <c r="BH44" s="109" t="n"/>
      <c r="BI44" s="110" t="n"/>
      <c r="BJ44" s="109" t="n"/>
      <c r="BK44" s="110" t="n"/>
      <c r="BL44" s="109" t="n"/>
      <c r="BM44" s="110" t="n"/>
      <c r="BN44" s="109" t="n"/>
      <c r="BO44" s="110" t="n"/>
      <c r="BP44" s="109" t="n"/>
      <c r="BQ44" s="110" t="n"/>
      <c r="BR44" s="109" t="n"/>
      <c r="BS44" s="110" t="n"/>
      <c r="BT44" s="109" t="n"/>
      <c r="BU44" s="110" t="n"/>
      <c r="BV44" s="186" t="n"/>
      <c r="BW44" s="112" t="n"/>
      <c r="BX44" s="113" t="n"/>
      <c r="BY44" s="112" t="n"/>
      <c r="BZ44" s="113" t="n"/>
      <c r="CA44" s="112" t="n"/>
      <c r="CB44" s="113" t="n"/>
      <c r="CC44" s="112" t="n"/>
      <c r="CD44" s="113" t="n"/>
      <c r="CE44" s="112" t="n"/>
      <c r="CF44" s="113" t="n"/>
      <c r="CG44" s="112" t="n"/>
      <c r="CH44" s="113" t="n"/>
      <c r="CI44" s="112" t="n"/>
      <c r="CJ44" s="113" t="n"/>
      <c r="CK44" s="112" t="n"/>
      <c r="CL44" s="113" t="n"/>
      <c r="CM44" s="187" t="n"/>
      <c r="CN44" s="115" t="n"/>
      <c r="CO44" s="116" t="n"/>
      <c r="CP44" s="115" t="n"/>
      <c r="CQ44" s="116" t="n"/>
      <c r="CR44" s="115" t="n"/>
      <c r="CS44" s="116" t="n"/>
      <c r="CT44" s="115" t="n"/>
      <c r="CU44" s="116" t="n"/>
      <c r="CV44" s="115" t="n"/>
      <c r="CW44" s="116" t="n"/>
      <c r="CX44" s="115" t="n"/>
      <c r="CY44" s="116" t="n"/>
      <c r="CZ44" s="115" t="n"/>
      <c r="DA44" s="116" t="n"/>
      <c r="DB44" s="115" t="n"/>
      <c r="DC44" s="116" t="n"/>
      <c r="DD44" s="188" t="n"/>
      <c r="DE44" s="118" t="n"/>
      <c r="DF44" s="119" t="n"/>
      <c r="DG44" s="118" t="n"/>
      <c r="DH44" s="119" t="n"/>
      <c r="DI44" s="118" t="n"/>
      <c r="DJ44" s="119" t="n"/>
      <c r="DK44" s="118" t="n"/>
      <c r="DL44" s="119" t="n"/>
      <c r="DM44" s="118" t="n"/>
      <c r="DN44" s="119" t="n"/>
      <c r="DO44" s="118" t="n"/>
      <c r="DP44" s="119" t="n"/>
      <c r="DQ44" s="118" t="n"/>
      <c r="DR44" s="119" t="n"/>
      <c r="DS44" s="118" t="n"/>
      <c r="DT44" s="119" t="n"/>
      <c r="DU44" s="189" t="n"/>
      <c r="DV44" s="121" t="n"/>
      <c r="DW44" s="122" t="n"/>
      <c r="DX44" s="121" t="n"/>
      <c r="DY44" s="122" t="n"/>
      <c r="DZ44" s="121" t="n"/>
      <c r="EA44" s="122" t="n"/>
      <c r="EB44" s="121" t="n"/>
      <c r="EC44" s="122" t="n"/>
      <c r="ED44" s="121" t="n"/>
      <c r="EE44" s="122" t="n"/>
      <c r="EF44" s="121" t="n"/>
      <c r="EG44" s="122" t="n"/>
      <c r="EH44" s="121" t="n"/>
      <c r="EI44" s="122" t="n"/>
      <c r="EJ44" s="121" t="n"/>
      <c r="EK44" s="122" t="n"/>
      <c r="EL44" s="190" t="n"/>
      <c r="EM44" s="124" t="n"/>
      <c r="EN44" s="125" t="n"/>
      <c r="EO44" s="124" t="n"/>
      <c r="EP44" s="125" t="n"/>
      <c r="EQ44" s="124" t="n"/>
      <c r="ER44" s="125" t="n"/>
      <c r="ES44" s="124" t="n"/>
      <c r="ET44" s="125" t="n"/>
      <c r="EU44" s="124" t="n"/>
      <c r="EV44" s="125" t="n"/>
      <c r="EW44" s="124" t="n"/>
      <c r="EX44" s="125" t="n"/>
      <c r="EY44" s="124" t="n"/>
      <c r="EZ44" s="125" t="n"/>
      <c r="FA44" s="124" t="n"/>
      <c r="FB44" s="125" t="n"/>
      <c r="FC44" s="191" t="n"/>
      <c r="FD44" s="127" t="n"/>
      <c r="FE44" s="128" t="n"/>
      <c r="FF44" s="127" t="n"/>
      <c r="FG44" s="128" t="n"/>
      <c r="FH44" s="127" t="n"/>
      <c r="FI44" s="128" t="n"/>
      <c r="FJ44" s="127" t="n"/>
      <c r="FK44" s="128" t="n"/>
      <c r="FL44" s="127" t="n"/>
      <c r="FM44" s="128" t="n"/>
      <c r="FN44" s="127" t="n"/>
      <c r="FO44" s="128" t="n"/>
      <c r="FP44" s="127" t="n"/>
      <c r="FQ44" s="128" t="n"/>
      <c r="FR44" s="127" t="n"/>
      <c r="FS44" s="128" t="n"/>
      <c r="FT44" s="192" t="n"/>
      <c r="FU44" s="130" t="n"/>
      <c r="FV44" s="131" t="n"/>
      <c r="FW44" s="130" t="n"/>
      <c r="FX44" s="131" t="n"/>
      <c r="FY44" s="130" t="n"/>
      <c r="FZ44" s="131" t="n"/>
      <c r="GA44" s="130" t="n"/>
      <c r="GB44" s="131" t="n"/>
      <c r="GC44" s="130" t="n"/>
      <c r="GD44" s="131" t="n"/>
      <c r="GE44" s="130" t="n"/>
      <c r="GF44" s="131" t="n"/>
      <c r="GG44" s="130" t="n"/>
      <c r="GH44" s="131" t="n"/>
      <c r="GI44" s="130" t="n"/>
      <c r="GJ44" s="131" t="n"/>
      <c r="GK44" s="193" t="n"/>
      <c r="GL44" s="133" t="n"/>
      <c r="GM44" s="134" t="n"/>
      <c r="GN44" s="133" t="n"/>
      <c r="GO44" s="134" t="n"/>
      <c r="GP44" s="133" t="n"/>
      <c r="GQ44" s="134" t="n"/>
      <c r="GR44" s="133" t="n"/>
      <c r="GS44" s="134" t="n"/>
      <c r="GT44" s="133" t="n"/>
      <c r="GU44" s="134" t="n"/>
      <c r="GV44" s="133" t="n"/>
      <c r="GW44" s="134" t="n"/>
      <c r="GX44" s="133" t="n"/>
      <c r="GY44" s="134" t="n"/>
      <c r="GZ44" s="133" t="n"/>
      <c r="HA44" s="134" t="n"/>
      <c r="HB44" s="194" t="n"/>
      <c r="HC44">
        <f>SUMIFS($G44:$HB44,$G$46:$HB$46,"&gt;="&amp;$HD$1,$G$46:$HB$46,"&lt;="&amp;$HD$2,$G$29:$HB$29,"&lt;&gt;ملاحظات",$G$28:$HB$28,"&gt;0")</f>
        <v>0</v>
      </c>
      <c r="HD44">
        <f>SUMIFS($G$28:$HB$28,$G$46:$HB$46,"&gt;="&amp;$HD$1,$G$46:$HB$46,"&lt;="&amp;$HD$2,$G$29:$HB$29,"&lt;&gt;ملاحظات",$G44:$HB44,"&gt;=0")</f>
        <v>0</v>
      </c>
    </row>
    <row r="45" ht="7.5" customHeight="1"/>
    <row r="46" hidden="1">
      <c r="G46" t="n">
        <v>1</v>
      </c>
      <c r="H46" t="n">
        <v>1</v>
      </c>
      <c r="I46" t="n">
        <v>1</v>
      </c>
      <c r="J46" t="n">
        <v>1</v>
      </c>
      <c r="K46" t="n">
        <v>1</v>
      </c>
      <c r="L46" t="n">
        <v>1</v>
      </c>
      <c r="M46" t="n">
        <v>1</v>
      </c>
      <c r="N46" t="n">
        <v>1</v>
      </c>
      <c r="O46" t="n">
        <v>1</v>
      </c>
      <c r="P46" t="n">
        <v>1</v>
      </c>
      <c r="Q46" t="n">
        <v>1</v>
      </c>
      <c r="R46" t="n">
        <v>1</v>
      </c>
      <c r="S46" t="n">
        <v>1</v>
      </c>
      <c r="T46" t="n">
        <v>1</v>
      </c>
      <c r="U46" t="n">
        <v>1</v>
      </c>
      <c r="V46" t="n">
        <v>1</v>
      </c>
      <c r="W46" t="n">
        <v>1</v>
      </c>
      <c r="X46" t="n">
        <v>2</v>
      </c>
      <c r="Y46" t="n">
        <v>2</v>
      </c>
      <c r="Z46" t="n">
        <v>2</v>
      </c>
      <c r="AA46" t="n">
        <v>2</v>
      </c>
      <c r="AB46" t="n">
        <v>2</v>
      </c>
      <c r="AC46" t="n">
        <v>2</v>
      </c>
      <c r="AD46" t="n">
        <v>2</v>
      </c>
      <c r="AE46" t="n">
        <v>2</v>
      </c>
      <c r="AF46" t="n">
        <v>2</v>
      </c>
      <c r="AG46" t="n">
        <v>2</v>
      </c>
      <c r="AH46" t="n">
        <v>2</v>
      </c>
      <c r="AI46" t="n">
        <v>2</v>
      </c>
      <c r="AJ46" t="n">
        <v>2</v>
      </c>
      <c r="AK46" t="n">
        <v>2</v>
      </c>
      <c r="AL46" t="n">
        <v>2</v>
      </c>
      <c r="AM46" t="n">
        <v>2</v>
      </c>
      <c r="AN46" t="n">
        <v>2</v>
      </c>
      <c r="AO46" t="n">
        <v>3</v>
      </c>
      <c r="AP46" t="n">
        <v>3</v>
      </c>
      <c r="AQ46" t="n">
        <v>3</v>
      </c>
      <c r="AR46" t="n">
        <v>3</v>
      </c>
      <c r="AS46" t="n">
        <v>3</v>
      </c>
      <c r="AT46" t="n">
        <v>3</v>
      </c>
      <c r="AU46" t="n">
        <v>3</v>
      </c>
      <c r="AV46" t="n">
        <v>3</v>
      </c>
      <c r="AW46" t="n">
        <v>3</v>
      </c>
      <c r="AX46" t="n">
        <v>3</v>
      </c>
      <c r="AY46" t="n">
        <v>3</v>
      </c>
      <c r="AZ46" t="n">
        <v>3</v>
      </c>
      <c r="BA46" t="n">
        <v>3</v>
      </c>
      <c r="BB46" t="n">
        <v>3</v>
      </c>
      <c r="BC46" t="n">
        <v>3</v>
      </c>
      <c r="BD46" t="n">
        <v>3</v>
      </c>
      <c r="BE46" t="n">
        <v>3</v>
      </c>
      <c r="BF46" t="n">
        <v>4</v>
      </c>
      <c r="BG46" t="n">
        <v>4</v>
      </c>
      <c r="BH46" t="n">
        <v>4</v>
      </c>
      <c r="BI46" t="n">
        <v>4</v>
      </c>
      <c r="BJ46" t="n">
        <v>4</v>
      </c>
      <c r="BK46" t="n">
        <v>4</v>
      </c>
      <c r="BL46" t="n">
        <v>4</v>
      </c>
      <c r="BM46" t="n">
        <v>4</v>
      </c>
      <c r="BN46" t="n">
        <v>4</v>
      </c>
      <c r="BO46" t="n">
        <v>4</v>
      </c>
      <c r="BP46" t="n">
        <v>4</v>
      </c>
      <c r="BQ46" t="n">
        <v>4</v>
      </c>
      <c r="BR46" t="n">
        <v>4</v>
      </c>
      <c r="BS46" t="n">
        <v>4</v>
      </c>
      <c r="BT46" t="n">
        <v>4</v>
      </c>
      <c r="BU46" t="n">
        <v>4</v>
      </c>
      <c r="BV46" t="n">
        <v>4</v>
      </c>
      <c r="BW46" t="n">
        <v>5</v>
      </c>
      <c r="BX46" t="n">
        <v>5</v>
      </c>
      <c r="BY46" t="n">
        <v>5</v>
      </c>
      <c r="BZ46" t="n">
        <v>5</v>
      </c>
      <c r="CA46" t="n">
        <v>5</v>
      </c>
      <c r="CB46" t="n">
        <v>5</v>
      </c>
      <c r="CC46" t="n">
        <v>5</v>
      </c>
      <c r="CD46" t="n">
        <v>5</v>
      </c>
      <c r="CE46" t="n">
        <v>5</v>
      </c>
      <c r="CF46" t="n">
        <v>5</v>
      </c>
      <c r="CG46" t="n">
        <v>5</v>
      </c>
      <c r="CH46" t="n">
        <v>5</v>
      </c>
      <c r="CI46" t="n">
        <v>5</v>
      </c>
      <c r="CJ46" t="n">
        <v>5</v>
      </c>
      <c r="CK46" t="n">
        <v>5</v>
      </c>
      <c r="CL46" t="n">
        <v>5</v>
      </c>
      <c r="CM46" t="n">
        <v>5</v>
      </c>
      <c r="CN46" t="n">
        <v>6</v>
      </c>
      <c r="CO46" t="n">
        <v>6</v>
      </c>
      <c r="CP46" t="n">
        <v>6</v>
      </c>
      <c r="CQ46" t="n">
        <v>6</v>
      </c>
      <c r="CR46" t="n">
        <v>6</v>
      </c>
      <c r="CS46" t="n">
        <v>6</v>
      </c>
      <c r="CT46" t="n">
        <v>6</v>
      </c>
      <c r="CU46" t="n">
        <v>6</v>
      </c>
      <c r="CV46" t="n">
        <v>6</v>
      </c>
      <c r="CW46" t="n">
        <v>6</v>
      </c>
      <c r="CX46" t="n">
        <v>6</v>
      </c>
      <c r="CY46" t="n">
        <v>6</v>
      </c>
      <c r="CZ46" t="n">
        <v>6</v>
      </c>
      <c r="DA46" t="n">
        <v>6</v>
      </c>
      <c r="DB46" t="n">
        <v>6</v>
      </c>
      <c r="DC46" t="n">
        <v>6</v>
      </c>
      <c r="DD46" t="n">
        <v>6</v>
      </c>
      <c r="DE46" t="n">
        <v>7</v>
      </c>
      <c r="DF46" t="n">
        <v>7</v>
      </c>
      <c r="DG46" t="n">
        <v>7</v>
      </c>
      <c r="DH46" t="n">
        <v>7</v>
      </c>
      <c r="DI46" t="n">
        <v>7</v>
      </c>
      <c r="DJ46" t="n">
        <v>7</v>
      </c>
      <c r="DK46" t="n">
        <v>7</v>
      </c>
      <c r="DL46" t="n">
        <v>7</v>
      </c>
      <c r="DM46" t="n">
        <v>7</v>
      </c>
      <c r="DN46" t="n">
        <v>7</v>
      </c>
      <c r="DO46" t="n">
        <v>7</v>
      </c>
      <c r="DP46" t="n">
        <v>7</v>
      </c>
      <c r="DQ46" t="n">
        <v>7</v>
      </c>
      <c r="DR46" t="n">
        <v>7</v>
      </c>
      <c r="DS46" t="n">
        <v>7</v>
      </c>
      <c r="DT46" t="n">
        <v>7</v>
      </c>
      <c r="DU46" t="n">
        <v>7</v>
      </c>
      <c r="DV46" t="n">
        <v>8</v>
      </c>
      <c r="DW46" t="n">
        <v>8</v>
      </c>
      <c r="DX46" t="n">
        <v>8</v>
      </c>
      <c r="DY46" t="n">
        <v>8</v>
      </c>
      <c r="DZ46" t="n">
        <v>8</v>
      </c>
      <c r="EA46" t="n">
        <v>8</v>
      </c>
      <c r="EB46" t="n">
        <v>8</v>
      </c>
      <c r="EC46" t="n">
        <v>8</v>
      </c>
      <c r="ED46" t="n">
        <v>8</v>
      </c>
      <c r="EE46" t="n">
        <v>8</v>
      </c>
      <c r="EF46" t="n">
        <v>8</v>
      </c>
      <c r="EG46" t="n">
        <v>8</v>
      </c>
      <c r="EH46" t="n">
        <v>8</v>
      </c>
      <c r="EI46" t="n">
        <v>8</v>
      </c>
      <c r="EJ46" t="n">
        <v>8</v>
      </c>
      <c r="EK46" t="n">
        <v>8</v>
      </c>
      <c r="EL46" t="n">
        <v>8</v>
      </c>
      <c r="EM46" t="n">
        <v>9</v>
      </c>
      <c r="EN46" t="n">
        <v>9</v>
      </c>
      <c r="EO46" t="n">
        <v>9</v>
      </c>
      <c r="EP46" t="n">
        <v>9</v>
      </c>
      <c r="EQ46" t="n">
        <v>9</v>
      </c>
      <c r="ER46" t="n">
        <v>9</v>
      </c>
      <c r="ES46" t="n">
        <v>9</v>
      </c>
      <c r="ET46" t="n">
        <v>9</v>
      </c>
      <c r="EU46" t="n">
        <v>9</v>
      </c>
      <c r="EV46" t="n">
        <v>9</v>
      </c>
      <c r="EW46" t="n">
        <v>9</v>
      </c>
      <c r="EX46" t="n">
        <v>9</v>
      </c>
      <c r="EY46" t="n">
        <v>9</v>
      </c>
      <c r="EZ46" t="n">
        <v>9</v>
      </c>
      <c r="FA46" t="n">
        <v>9</v>
      </c>
      <c r="FB46" t="n">
        <v>9</v>
      </c>
      <c r="FC46" t="n">
        <v>9</v>
      </c>
      <c r="FD46" t="n">
        <v>10</v>
      </c>
      <c r="FE46" t="n">
        <v>10</v>
      </c>
      <c r="FF46" t="n">
        <v>10</v>
      </c>
      <c r="FG46" t="n">
        <v>10</v>
      </c>
      <c r="FH46" t="n">
        <v>10</v>
      </c>
      <c r="FI46" t="n">
        <v>10</v>
      </c>
      <c r="FJ46" t="n">
        <v>10</v>
      </c>
      <c r="FK46" t="n">
        <v>10</v>
      </c>
      <c r="FL46" t="n">
        <v>10</v>
      </c>
      <c r="FM46" t="n">
        <v>10</v>
      </c>
      <c r="FN46" t="n">
        <v>10</v>
      </c>
      <c r="FO46" t="n">
        <v>10</v>
      </c>
      <c r="FP46" t="n">
        <v>10</v>
      </c>
      <c r="FQ46" t="n">
        <v>10</v>
      </c>
      <c r="FR46" t="n">
        <v>10</v>
      </c>
      <c r="FS46" t="n">
        <v>10</v>
      </c>
      <c r="FT46" t="n">
        <v>10</v>
      </c>
      <c r="FU46" t="n">
        <v>11</v>
      </c>
      <c r="FV46" t="n">
        <v>11</v>
      </c>
      <c r="FW46" t="n">
        <v>11</v>
      </c>
      <c r="FX46" t="n">
        <v>11</v>
      </c>
      <c r="FY46" t="n">
        <v>11</v>
      </c>
      <c r="FZ46" t="n">
        <v>11</v>
      </c>
      <c r="GA46" t="n">
        <v>11</v>
      </c>
      <c r="GB46" t="n">
        <v>11</v>
      </c>
      <c r="GC46" t="n">
        <v>11</v>
      </c>
      <c r="GD46" t="n">
        <v>11</v>
      </c>
      <c r="GE46" t="n">
        <v>11</v>
      </c>
      <c r="GF46" t="n">
        <v>11</v>
      </c>
      <c r="GG46" t="n">
        <v>11</v>
      </c>
      <c r="GH46" t="n">
        <v>11</v>
      </c>
      <c r="GI46" t="n">
        <v>11</v>
      </c>
      <c r="GJ46" t="n">
        <v>11</v>
      </c>
      <c r="GK46" t="n">
        <v>11</v>
      </c>
      <c r="GL46" t="n">
        <v>12</v>
      </c>
      <c r="GM46" t="n">
        <v>12</v>
      </c>
      <c r="GN46" t="n">
        <v>12</v>
      </c>
      <c r="GO46" t="n">
        <v>12</v>
      </c>
      <c r="GP46" t="n">
        <v>12</v>
      </c>
      <c r="GQ46" t="n">
        <v>12</v>
      </c>
      <c r="GR46" t="n">
        <v>12</v>
      </c>
      <c r="GS46" t="n">
        <v>12</v>
      </c>
      <c r="GT46" t="n">
        <v>12</v>
      </c>
      <c r="GU46" t="n">
        <v>12</v>
      </c>
      <c r="GV46" t="n">
        <v>12</v>
      </c>
      <c r="GW46" t="n">
        <v>12</v>
      </c>
      <c r="GX46" t="n">
        <v>12</v>
      </c>
      <c r="GY46" t="n">
        <v>12</v>
      </c>
      <c r="GZ46" t="n">
        <v>12</v>
      </c>
      <c r="HA46" t="n">
        <v>12</v>
      </c>
      <c r="HB46" t="n">
        <v>12</v>
      </c>
    </row>
    <row r="47" hidden="1">
      <c r="G47" t="n">
        <v>1</v>
      </c>
      <c r="H47" t="n">
        <v>1</v>
      </c>
      <c r="I47" t="n">
        <v>2</v>
      </c>
      <c r="J47" t="n">
        <v>2</v>
      </c>
      <c r="K47" t="n">
        <v>3</v>
      </c>
      <c r="L47" t="n">
        <v>3</v>
      </c>
      <c r="M47" t="n">
        <v>4</v>
      </c>
      <c r="N47" t="n">
        <v>4</v>
      </c>
      <c r="O47" t="n">
        <v>5</v>
      </c>
      <c r="P47" t="n">
        <v>5</v>
      </c>
      <c r="Q47" t="n">
        <v>6</v>
      </c>
      <c r="R47" t="n">
        <v>6</v>
      </c>
      <c r="S47" t="n">
        <v>7</v>
      </c>
      <c r="T47" t="n">
        <v>7</v>
      </c>
      <c r="U47" t="n">
        <v>8</v>
      </c>
      <c r="V47" t="n">
        <v>8</v>
      </c>
      <c r="W47" t="n">
        <v>0</v>
      </c>
      <c r="X47" t="n">
        <v>9</v>
      </c>
      <c r="Y47" t="n">
        <v>9</v>
      </c>
      <c r="Z47" t="n">
        <v>10</v>
      </c>
      <c r="AA47" t="n">
        <v>10</v>
      </c>
      <c r="AB47" t="n">
        <v>11</v>
      </c>
      <c r="AC47" t="n">
        <v>11</v>
      </c>
      <c r="AD47" t="n">
        <v>12</v>
      </c>
      <c r="AE47" t="n">
        <v>12</v>
      </c>
      <c r="AF47" t="n">
        <v>13</v>
      </c>
      <c r="AG47" t="n">
        <v>13</v>
      </c>
      <c r="AH47" t="n">
        <v>14</v>
      </c>
      <c r="AI47" t="n">
        <v>14</v>
      </c>
      <c r="AJ47" t="n">
        <v>15</v>
      </c>
      <c r="AK47" t="n">
        <v>15</v>
      </c>
      <c r="AL47" t="n">
        <v>16</v>
      </c>
      <c r="AM47" t="n">
        <v>16</v>
      </c>
      <c r="AN47" t="n">
        <v>0</v>
      </c>
      <c r="AO47" t="n">
        <v>17</v>
      </c>
      <c r="AP47" t="n">
        <v>17</v>
      </c>
      <c r="AQ47" t="n">
        <v>18</v>
      </c>
      <c r="AR47" t="n">
        <v>18</v>
      </c>
      <c r="AS47" t="n">
        <v>19</v>
      </c>
      <c r="AT47" t="n">
        <v>19</v>
      </c>
      <c r="AU47" t="n">
        <v>20</v>
      </c>
      <c r="AV47" t="n">
        <v>20</v>
      </c>
      <c r="AW47" t="n">
        <v>21</v>
      </c>
      <c r="AX47" t="n">
        <v>21</v>
      </c>
      <c r="AY47" t="n">
        <v>22</v>
      </c>
      <c r="AZ47" t="n">
        <v>22</v>
      </c>
      <c r="BA47" t="n">
        <v>23</v>
      </c>
      <c r="BB47" t="n">
        <v>23</v>
      </c>
      <c r="BC47" t="n">
        <v>24</v>
      </c>
      <c r="BD47" t="n">
        <v>24</v>
      </c>
      <c r="BE47" t="n">
        <v>0</v>
      </c>
      <c r="BF47" t="n">
        <v>25</v>
      </c>
      <c r="BG47" t="n">
        <v>25</v>
      </c>
      <c r="BH47" t="n">
        <v>26</v>
      </c>
      <c r="BI47" t="n">
        <v>26</v>
      </c>
      <c r="BJ47" t="n">
        <v>27</v>
      </c>
      <c r="BK47" t="n">
        <v>27</v>
      </c>
      <c r="BL47" t="n">
        <v>28</v>
      </c>
      <c r="BM47" t="n">
        <v>28</v>
      </c>
      <c r="BN47" t="n">
        <v>29</v>
      </c>
      <c r="BO47" t="n">
        <v>29</v>
      </c>
      <c r="BP47" t="n">
        <v>30</v>
      </c>
      <c r="BQ47" t="n">
        <v>30</v>
      </c>
      <c r="BR47" t="n">
        <v>31</v>
      </c>
      <c r="BS47" t="n">
        <v>31</v>
      </c>
      <c r="BT47" t="n">
        <v>32</v>
      </c>
      <c r="BU47" t="n">
        <v>32</v>
      </c>
      <c r="BV47" t="n">
        <v>0</v>
      </c>
      <c r="BW47" t="n">
        <v>33</v>
      </c>
      <c r="BX47" t="n">
        <v>33</v>
      </c>
      <c r="BY47" t="n">
        <v>34</v>
      </c>
      <c r="BZ47" t="n">
        <v>34</v>
      </c>
      <c r="CA47" t="n">
        <v>35</v>
      </c>
      <c r="CB47" t="n">
        <v>35</v>
      </c>
      <c r="CC47" t="n">
        <v>36</v>
      </c>
      <c r="CD47" t="n">
        <v>36</v>
      </c>
      <c r="CE47" t="n">
        <v>37</v>
      </c>
      <c r="CF47" t="n">
        <v>37</v>
      </c>
      <c r="CG47" t="n">
        <v>38</v>
      </c>
      <c r="CH47" t="n">
        <v>38</v>
      </c>
      <c r="CI47" t="n">
        <v>39</v>
      </c>
      <c r="CJ47" t="n">
        <v>39</v>
      </c>
      <c r="CK47" t="n">
        <v>40</v>
      </c>
      <c r="CL47" t="n">
        <v>40</v>
      </c>
      <c r="CM47" t="n">
        <v>0</v>
      </c>
      <c r="CN47" t="n">
        <v>41</v>
      </c>
      <c r="CO47" t="n">
        <v>41</v>
      </c>
      <c r="CP47" t="n">
        <v>42</v>
      </c>
      <c r="CQ47" t="n">
        <v>42</v>
      </c>
      <c r="CR47" t="n">
        <v>43</v>
      </c>
      <c r="CS47" t="n">
        <v>43</v>
      </c>
      <c r="CT47" t="n">
        <v>44</v>
      </c>
      <c r="CU47" t="n">
        <v>44</v>
      </c>
      <c r="CV47" t="n">
        <v>45</v>
      </c>
      <c r="CW47" t="n">
        <v>45</v>
      </c>
      <c r="CX47" t="n">
        <v>46</v>
      </c>
      <c r="CY47" t="n">
        <v>46</v>
      </c>
      <c r="CZ47" t="n">
        <v>47</v>
      </c>
      <c r="DA47" t="n">
        <v>47</v>
      </c>
      <c r="DB47" t="n">
        <v>48</v>
      </c>
      <c r="DC47" t="n">
        <v>48</v>
      </c>
      <c r="DD47" t="n">
        <v>0</v>
      </c>
      <c r="DE47" t="n">
        <v>49</v>
      </c>
      <c r="DF47" t="n">
        <v>49</v>
      </c>
      <c r="DG47" t="n">
        <v>50</v>
      </c>
      <c r="DH47" t="n">
        <v>50</v>
      </c>
      <c r="DI47" t="n">
        <v>51</v>
      </c>
      <c r="DJ47" t="n">
        <v>51</v>
      </c>
      <c r="DK47" t="n">
        <v>52</v>
      </c>
      <c r="DL47" t="n">
        <v>52</v>
      </c>
      <c r="DM47" t="n">
        <v>53</v>
      </c>
      <c r="DN47" t="n">
        <v>53</v>
      </c>
      <c r="DO47" t="n">
        <v>54</v>
      </c>
      <c r="DP47" t="n">
        <v>54</v>
      </c>
      <c r="DQ47" t="n">
        <v>55</v>
      </c>
      <c r="DR47" t="n">
        <v>55</v>
      </c>
      <c r="DS47" t="n">
        <v>56</v>
      </c>
      <c r="DT47" t="n">
        <v>56</v>
      </c>
      <c r="DU47" t="n">
        <v>0</v>
      </c>
      <c r="DV47" t="n">
        <v>57</v>
      </c>
      <c r="DW47" t="n">
        <v>57</v>
      </c>
      <c r="DX47" t="n">
        <v>58</v>
      </c>
      <c r="DY47" t="n">
        <v>58</v>
      </c>
      <c r="DZ47" t="n">
        <v>59</v>
      </c>
      <c r="EA47" t="n">
        <v>59</v>
      </c>
      <c r="EB47" t="n">
        <v>60</v>
      </c>
      <c r="EC47" t="n">
        <v>60</v>
      </c>
      <c r="ED47" t="n">
        <v>61</v>
      </c>
      <c r="EE47" t="n">
        <v>61</v>
      </c>
      <c r="EF47" t="n">
        <v>62</v>
      </c>
      <c r="EG47" t="n">
        <v>62</v>
      </c>
      <c r="EH47" t="n">
        <v>63</v>
      </c>
      <c r="EI47" t="n">
        <v>63</v>
      </c>
      <c r="EJ47" t="n">
        <v>64</v>
      </c>
      <c r="EK47" t="n">
        <v>64</v>
      </c>
      <c r="EL47" t="n">
        <v>0</v>
      </c>
      <c r="EM47" t="n">
        <v>65</v>
      </c>
      <c r="EN47" t="n">
        <v>65</v>
      </c>
      <c r="EO47" t="n">
        <v>66</v>
      </c>
      <c r="EP47" t="n">
        <v>66</v>
      </c>
      <c r="EQ47" t="n">
        <v>67</v>
      </c>
      <c r="ER47" t="n">
        <v>67</v>
      </c>
      <c r="ES47" t="n">
        <v>68</v>
      </c>
      <c r="ET47" t="n">
        <v>68</v>
      </c>
      <c r="EU47" t="n">
        <v>69</v>
      </c>
      <c r="EV47" t="n">
        <v>69</v>
      </c>
      <c r="EW47" t="n">
        <v>70</v>
      </c>
      <c r="EX47" t="n">
        <v>70</v>
      </c>
      <c r="EY47" t="n">
        <v>71</v>
      </c>
      <c r="EZ47" t="n">
        <v>71</v>
      </c>
      <c r="FA47" t="n">
        <v>72</v>
      </c>
      <c r="FB47" t="n">
        <v>72</v>
      </c>
      <c r="FC47" t="n">
        <v>0</v>
      </c>
      <c r="FD47" t="n">
        <v>73</v>
      </c>
      <c r="FE47" t="n">
        <v>73</v>
      </c>
      <c r="FF47" t="n">
        <v>74</v>
      </c>
      <c r="FG47" t="n">
        <v>74</v>
      </c>
      <c r="FH47" t="n">
        <v>75</v>
      </c>
      <c r="FI47" t="n">
        <v>75</v>
      </c>
      <c r="FJ47" t="n">
        <v>76</v>
      </c>
      <c r="FK47" t="n">
        <v>76</v>
      </c>
      <c r="FL47" t="n">
        <v>77</v>
      </c>
      <c r="FM47" t="n">
        <v>77</v>
      </c>
      <c r="FN47" t="n">
        <v>78</v>
      </c>
      <c r="FO47" t="n">
        <v>78</v>
      </c>
      <c r="FP47" t="n">
        <v>79</v>
      </c>
      <c r="FQ47" t="n">
        <v>79</v>
      </c>
      <c r="FR47" t="n">
        <v>80</v>
      </c>
      <c r="FS47" t="n">
        <v>80</v>
      </c>
      <c r="FT47" t="n">
        <v>0</v>
      </c>
      <c r="FU47" t="n">
        <v>81</v>
      </c>
      <c r="FV47" t="n">
        <v>81</v>
      </c>
      <c r="FW47" t="n">
        <v>82</v>
      </c>
      <c r="FX47" t="n">
        <v>82</v>
      </c>
      <c r="FY47" t="n">
        <v>83</v>
      </c>
      <c r="FZ47" t="n">
        <v>83</v>
      </c>
      <c r="GA47" t="n">
        <v>84</v>
      </c>
      <c r="GB47" t="n">
        <v>84</v>
      </c>
      <c r="GC47" t="n">
        <v>85</v>
      </c>
      <c r="GD47" t="n">
        <v>85</v>
      </c>
      <c r="GE47" t="n">
        <v>86</v>
      </c>
      <c r="GF47" t="n">
        <v>86</v>
      </c>
      <c r="GG47" t="n">
        <v>87</v>
      </c>
      <c r="GH47" t="n">
        <v>87</v>
      </c>
      <c r="GI47" t="n">
        <v>88</v>
      </c>
      <c r="GJ47" t="n">
        <v>88</v>
      </c>
      <c r="GK47" t="n">
        <v>0</v>
      </c>
      <c r="GL47" t="n">
        <v>89</v>
      </c>
      <c r="GM47" t="n">
        <v>89</v>
      </c>
      <c r="GN47" t="n">
        <v>90</v>
      </c>
      <c r="GO47" t="n">
        <v>90</v>
      </c>
      <c r="GP47" t="n">
        <v>91</v>
      </c>
      <c r="GQ47" t="n">
        <v>91</v>
      </c>
      <c r="GR47" t="n">
        <v>92</v>
      </c>
      <c r="GS47" t="n">
        <v>92</v>
      </c>
      <c r="GT47" t="n">
        <v>93</v>
      </c>
      <c r="GU47" t="n">
        <v>93</v>
      </c>
      <c r="GV47" t="n">
        <v>94</v>
      </c>
      <c r="GW47" t="n">
        <v>94</v>
      </c>
      <c r="GX47" t="n">
        <v>95</v>
      </c>
      <c r="GY47" t="n">
        <v>95</v>
      </c>
      <c r="GZ47" t="n">
        <v>96</v>
      </c>
      <c r="HA47" t="n">
        <v>96</v>
      </c>
      <c r="HB47" t="n">
        <v>0</v>
      </c>
    </row>
  </sheetData>
  <mergeCells count="340">
    <mergeCell ref="BW1:CM1"/>
    <mergeCell ref="X2:Y2"/>
    <mergeCell ref="FY2:FZ2"/>
    <mergeCell ref="FU1:GK1"/>
    <mergeCell ref="DV2:DW2"/>
    <mergeCell ref="CZ27:DA27"/>
    <mergeCell ref="DB27:DC27"/>
    <mergeCell ref="BH2:BI2"/>
    <mergeCell ref="BJ2:BK2"/>
    <mergeCell ref="EB3:EC3"/>
    <mergeCell ref="ED3:EE3"/>
    <mergeCell ref="FD2:FE2"/>
    <mergeCell ref="FF2:FG2"/>
    <mergeCell ref="AQ2:AR2"/>
    <mergeCell ref="AS2:AT2"/>
    <mergeCell ref="O27:P27"/>
    <mergeCell ref="GL3:GM3"/>
    <mergeCell ref="Q27:R27"/>
    <mergeCell ref="FN3:FO3"/>
    <mergeCell ref="CM27:CM28"/>
    <mergeCell ref="GR2:GS2"/>
    <mergeCell ref="A28:B28"/>
    <mergeCell ref="CC2:CD2"/>
    <mergeCell ref="CE2:CF2"/>
    <mergeCell ref="EW3:EX3"/>
    <mergeCell ref="GA2:GB2"/>
    <mergeCell ref="DI3:DJ3"/>
    <mergeCell ref="GL1:HB1"/>
    <mergeCell ref="AJ27:AK27"/>
    <mergeCell ref="DO2:DP2"/>
    <mergeCell ref="AL27:AM27"/>
    <mergeCell ref="DQ2:DR2"/>
    <mergeCell ref="GI3:GJ3"/>
    <mergeCell ref="CX2:CY2"/>
    <mergeCell ref="EM3:EN3"/>
    <mergeCell ref="CZ2:DA2"/>
    <mergeCell ref="X3:Y3"/>
    <mergeCell ref="Z3:AA3"/>
    <mergeCell ref="AF2:AG2"/>
    <mergeCell ref="EJ2:EK2"/>
    <mergeCell ref="FY3:FZ3"/>
    <mergeCell ref="BJ3:BK3"/>
    <mergeCell ref="BL3:BM3"/>
    <mergeCell ref="EM1:FC1"/>
    <mergeCell ref="X1:AN1"/>
    <mergeCell ref="HB27:HB28"/>
    <mergeCell ref="FF3:FG3"/>
    <mergeCell ref="FP3:FQ3"/>
    <mergeCell ref="FH3:FI3"/>
    <mergeCell ref="BA2:BB2"/>
    <mergeCell ref="BC27:BD27"/>
    <mergeCell ref="BC2:BD2"/>
    <mergeCell ref="A1:B1"/>
    <mergeCell ref="GR3:GS3"/>
    <mergeCell ref="GT3:GU3"/>
    <mergeCell ref="M2:N2"/>
    <mergeCell ref="CE3:CF3"/>
    <mergeCell ref="CG3:CH3"/>
    <mergeCell ref="CK2:CL2"/>
    <mergeCell ref="C20:F20"/>
    <mergeCell ref="FC27:FC28"/>
    <mergeCell ref="DQ3:DR3"/>
    <mergeCell ref="DS3:DT3"/>
    <mergeCell ref="AN27:AN28"/>
    <mergeCell ref="DK3:DL3"/>
    <mergeCell ref="C22:F22"/>
    <mergeCell ref="AH2:AI2"/>
    <mergeCell ref="FF27:FG27"/>
    <mergeCell ref="AF3:AG3"/>
    <mergeCell ref="A24:B24"/>
    <mergeCell ref="AH3:AI3"/>
    <mergeCell ref="BW27:BX27"/>
    <mergeCell ref="C27:E27"/>
    <mergeCell ref="BR3:BS3"/>
    <mergeCell ref="FN27:FO27"/>
    <mergeCell ref="BA3:BB3"/>
    <mergeCell ref="DG27:DH27"/>
    <mergeCell ref="BC3:BD3"/>
    <mergeCell ref="FT2:FT3"/>
    <mergeCell ref="DI27:DJ27"/>
    <mergeCell ref="M3:N3"/>
    <mergeCell ref="CP27:CQ27"/>
    <mergeCell ref="FC2:FC3"/>
    <mergeCell ref="FU2:FV2"/>
    <mergeCell ref="CR27:CS27"/>
    <mergeCell ref="AF27:AG27"/>
    <mergeCell ref="X27:Y27"/>
    <mergeCell ref="GI27:GJ27"/>
    <mergeCell ref="EB27:EC27"/>
    <mergeCell ref="ED27:EE27"/>
    <mergeCell ref="CN2:CO2"/>
    <mergeCell ref="FP27:FQ27"/>
    <mergeCell ref="BA27:BB27"/>
    <mergeCell ref="BE2:BE3"/>
    <mergeCell ref="BT3:BU3"/>
    <mergeCell ref="K2:L2"/>
    <mergeCell ref="EW27:EX27"/>
    <mergeCell ref="EY27:EZ27"/>
    <mergeCell ref="DG2:DH2"/>
    <mergeCell ref="FH27:FI27"/>
    <mergeCell ref="DI2:DJ2"/>
    <mergeCell ref="EJ27:EK27"/>
    <mergeCell ref="CE27:CF27"/>
    <mergeCell ref="AU2:AV2"/>
    <mergeCell ref="AQ27:AR27"/>
    <mergeCell ref="ES2:ET2"/>
    <mergeCell ref="GT27:GU27"/>
    <mergeCell ref="EU2:EV2"/>
    <mergeCell ref="EM27:EN27"/>
    <mergeCell ref="Z27:AA27"/>
    <mergeCell ref="FW3:FX3"/>
    <mergeCell ref="GC2:GD2"/>
    <mergeCell ref="DO27:DP27"/>
    <mergeCell ref="BP2:BQ2"/>
    <mergeCell ref="BJ27:BK27"/>
    <mergeCell ref="BL27:BM27"/>
    <mergeCell ref="FL2:FM2"/>
    <mergeCell ref="FN2:FO2"/>
    <mergeCell ref="FP2:FQ2"/>
    <mergeCell ref="CN3:CO3"/>
    <mergeCell ref="CP3:CQ3"/>
    <mergeCell ref="DX2:DY2"/>
    <mergeCell ref="DZ2:EA2"/>
    <mergeCell ref="CV27:CW27"/>
    <mergeCell ref="CX27:CY27"/>
    <mergeCell ref="GX2:GY2"/>
    <mergeCell ref="GZ2:HA2"/>
    <mergeCell ref="DX3:DY3"/>
    <mergeCell ref="DZ3:EA3"/>
    <mergeCell ref="CG27:CH27"/>
    <mergeCell ref="K3:L3"/>
    <mergeCell ref="CN1:DD1"/>
    <mergeCell ref="A2:B3"/>
    <mergeCell ref="AO2:AP2"/>
    <mergeCell ref="DQ27:DR27"/>
    <mergeCell ref="AW3:AX3"/>
    <mergeCell ref="AO3:AP3"/>
    <mergeCell ref="AQ3:AR3"/>
    <mergeCell ref="BY2:BZ2"/>
    <mergeCell ref="CA2:CB2"/>
    <mergeCell ref="ES3:ET3"/>
    <mergeCell ref="EU3:EV3"/>
    <mergeCell ref="GE2:GF2"/>
    <mergeCell ref="FW2:FX2"/>
    <mergeCell ref="A23:B23"/>
    <mergeCell ref="AH27:AI27"/>
    <mergeCell ref="AO1:BE1"/>
    <mergeCell ref="GE3:GF3"/>
    <mergeCell ref="GG3:GH3"/>
    <mergeCell ref="DD27:DD28"/>
    <mergeCell ref="CT2:CU2"/>
    <mergeCell ref="CV2:CW2"/>
    <mergeCell ref="C24:F25"/>
    <mergeCell ref="CV3:CW3"/>
    <mergeCell ref="CX3:CY3"/>
    <mergeCell ref="EF2:EG2"/>
    <mergeCell ref="EH2:EI2"/>
    <mergeCell ref="GZ3:HA3"/>
    <mergeCell ref="BF3:BG3"/>
    <mergeCell ref="S2:T2"/>
    <mergeCell ref="BH3:BI3"/>
    <mergeCell ref="U2:V2"/>
    <mergeCell ref="HB2:HB3"/>
    <mergeCell ref="GR27:GS27"/>
    <mergeCell ref="FD3:FE3"/>
    <mergeCell ref="BE27:BE28"/>
    <mergeCell ref="U3:V3"/>
    <mergeCell ref="AY2:AZ2"/>
    <mergeCell ref="FA2:FB2"/>
    <mergeCell ref="CA3:CB3"/>
    <mergeCell ref="CC3:CD3"/>
    <mergeCell ref="FW27:FX27"/>
    <mergeCell ref="FA3:FB3"/>
    <mergeCell ref="CT27:CU27"/>
    <mergeCell ref="DM3:DN3"/>
    <mergeCell ref="DO3:DP3"/>
    <mergeCell ref="BR2:BS2"/>
    <mergeCell ref="FD27:FE27"/>
    <mergeCell ref="W2:W3"/>
    <mergeCell ref="FT27:FT28"/>
    <mergeCell ref="DU2:DU3"/>
    <mergeCell ref="EH3:EI3"/>
    <mergeCell ref="EJ3:EK3"/>
    <mergeCell ref="FY27:FZ27"/>
    <mergeCell ref="FR3:FS3"/>
    <mergeCell ref="AY3:AZ3"/>
    <mergeCell ref="DE27:DF27"/>
    <mergeCell ref="ES27:ET27"/>
    <mergeCell ref="C28:F28"/>
    <mergeCell ref="CN27:CO27"/>
    <mergeCell ref="GE27:GF27"/>
    <mergeCell ref="GG27:GH27"/>
    <mergeCell ref="DX27:DY27"/>
    <mergeCell ref="GK2:GK3"/>
    <mergeCell ref="DZ27:EA27"/>
    <mergeCell ref="K27:L27"/>
    <mergeCell ref="M27:N27"/>
    <mergeCell ref="GL2:GM2"/>
    <mergeCell ref="GN2:GO2"/>
    <mergeCell ref="FL27:FM27"/>
    <mergeCell ref="AW27:AX27"/>
    <mergeCell ref="AO27:AP27"/>
    <mergeCell ref="AY27:AZ27"/>
    <mergeCell ref="BF1:BV1"/>
    <mergeCell ref="GZ27:HA27"/>
    <mergeCell ref="GN3:GO3"/>
    <mergeCell ref="G2:H2"/>
    <mergeCell ref="GP3:GQ3"/>
    <mergeCell ref="I2:J2"/>
    <mergeCell ref="EU27:EV27"/>
    <mergeCell ref="FD1:FT1"/>
    <mergeCell ref="DE2:DF2"/>
    <mergeCell ref="CK27:CL27"/>
    <mergeCell ref="GT2:GU2"/>
    <mergeCell ref="BR27:BS27"/>
    <mergeCell ref="BV2:BV3"/>
    <mergeCell ref="EM2:EN2"/>
    <mergeCell ref="BT27:BU27"/>
    <mergeCell ref="EO2:EP2"/>
    <mergeCell ref="EQ2:ER2"/>
    <mergeCell ref="Z2:AA2"/>
    <mergeCell ref="AB2:AC2"/>
    <mergeCell ref="AD2:AE2"/>
    <mergeCell ref="FU3:FV3"/>
    <mergeCell ref="FA27:FB27"/>
    <mergeCell ref="BL2:BM2"/>
    <mergeCell ref="BN2:BO2"/>
    <mergeCell ref="BF2:BG2"/>
    <mergeCell ref="BH27:BI27"/>
    <mergeCell ref="FH2:FI2"/>
    <mergeCell ref="FJ2:FK2"/>
    <mergeCell ref="AW2:AX2"/>
    <mergeCell ref="S27:T27"/>
    <mergeCell ref="U27:V27"/>
    <mergeCell ref="GV2:GW2"/>
    <mergeCell ref="CG2:CH2"/>
    <mergeCell ref="DV3:DW3"/>
    <mergeCell ref="CI2:CJ2"/>
    <mergeCell ref="CA27:CB27"/>
    <mergeCell ref="CC27:CD27"/>
    <mergeCell ref="G3:H3"/>
    <mergeCell ref="I3:J3"/>
    <mergeCell ref="DE3:DF3"/>
    <mergeCell ref="DS2:DT2"/>
    <mergeCell ref="DK2:DL2"/>
    <mergeCell ref="DM2:DN2"/>
    <mergeCell ref="AS3:AT3"/>
    <mergeCell ref="AU3:AV3"/>
    <mergeCell ref="DV1:EL1"/>
    <mergeCell ref="G1:W1"/>
    <mergeCell ref="GK27:GK28"/>
    <mergeCell ref="EO3:EP3"/>
    <mergeCell ref="DB2:DC2"/>
    <mergeCell ref="EQ3:ER3"/>
    <mergeCell ref="AB3:AC3"/>
    <mergeCell ref="AD3:AE3"/>
    <mergeCell ref="DE1:DU1"/>
    <mergeCell ref="AJ2:AK2"/>
    <mergeCell ref="AL2:AM2"/>
    <mergeCell ref="GA3:GB3"/>
    <mergeCell ref="GC3:GD3"/>
    <mergeCell ref="EH27:EI27"/>
    <mergeCell ref="BN3:BO3"/>
    <mergeCell ref="BP3:BQ3"/>
    <mergeCell ref="CR2:CS2"/>
    <mergeCell ref="FJ3:FK3"/>
    <mergeCell ref="FL3:FM3"/>
    <mergeCell ref="A27:B27"/>
    <mergeCell ref="FR2:FS2"/>
    <mergeCell ref="EL27:EL28"/>
    <mergeCell ref="CZ3:DA3"/>
    <mergeCell ref="CR3:CS3"/>
    <mergeCell ref="DB3:DC3"/>
    <mergeCell ref="W27:W28"/>
    <mergeCell ref="CT3:CU3"/>
    <mergeCell ref="ED2:EE2"/>
    <mergeCell ref="A22:B22"/>
    <mergeCell ref="GV3:GW3"/>
    <mergeCell ref="O2:P2"/>
    <mergeCell ref="GX3:GY3"/>
    <mergeCell ref="Q2:R2"/>
    <mergeCell ref="DU27:DU28"/>
    <mergeCell ref="GL27:GM27"/>
    <mergeCell ref="CI3:CJ3"/>
    <mergeCell ref="GN27:GO27"/>
    <mergeCell ref="C1:F3"/>
    <mergeCell ref="CK3:CL3"/>
    <mergeCell ref="O3:P3"/>
    <mergeCell ref="Q3:R3"/>
    <mergeCell ref="EW2:EX2"/>
    <mergeCell ref="EY2:EZ2"/>
    <mergeCell ref="BF27:BG27"/>
    <mergeCell ref="BY3:BZ3"/>
    <mergeCell ref="EY3:EZ3"/>
    <mergeCell ref="BV27:BV28"/>
    <mergeCell ref="AJ3:AK3"/>
    <mergeCell ref="AL3:AM3"/>
    <mergeCell ref="BT2:BU2"/>
    <mergeCell ref="GP27:GQ27"/>
    <mergeCell ref="BY27:BZ27"/>
    <mergeCell ref="EL2:EL3"/>
    <mergeCell ref="FR27:FS27"/>
    <mergeCell ref="FJ27:FK27"/>
    <mergeCell ref="DK27:DL27"/>
    <mergeCell ref="DM27:DN27"/>
    <mergeCell ref="EF3:EG3"/>
    <mergeCell ref="S3:T3"/>
    <mergeCell ref="FU27:FV27"/>
    <mergeCell ref="CM2:CM3"/>
    <mergeCell ref="AN2:AN3"/>
    <mergeCell ref="AB27:AC27"/>
    <mergeCell ref="AD27:AE27"/>
    <mergeCell ref="EF27:EG27"/>
    <mergeCell ref="EO27:EP27"/>
    <mergeCell ref="CP2:CQ2"/>
    <mergeCell ref="GA27:GB27"/>
    <mergeCell ref="EB2:EC2"/>
    <mergeCell ref="GC27:GD27"/>
    <mergeCell ref="C23:F23"/>
    <mergeCell ref="DV27:DW27"/>
    <mergeCell ref="G27:H27"/>
    <mergeCell ref="I27:J27"/>
    <mergeCell ref="A25:B25"/>
    <mergeCell ref="CI27:CJ27"/>
    <mergeCell ref="BW2:BX2"/>
    <mergeCell ref="DD2:DD3"/>
    <mergeCell ref="AS27:AT27"/>
    <mergeCell ref="AU27:AV27"/>
    <mergeCell ref="GV27:GW27"/>
    <mergeCell ref="GX27:GY27"/>
    <mergeCell ref="EQ27:ER27"/>
    <mergeCell ref="BW3:BX3"/>
    <mergeCell ref="A20:B20"/>
    <mergeCell ref="GG2:GH2"/>
    <mergeCell ref="GI2:GJ2"/>
    <mergeCell ref="DS27:DT27"/>
    <mergeCell ref="DG3:DH3"/>
    <mergeCell ref="GP2:GQ2"/>
    <mergeCell ref="BN27:BO27"/>
    <mergeCell ref="BP27:BQ27"/>
  </mergeCells>
  <conditionalFormatting sqref="G5:HB19">
    <cfRule type="expression" priority="1" dxfId="1">
      <formula>AND($B5&lt;&gt;"",G$4="ح",G$20&gt;0,N(G5)=0)</formula>
    </cfRule>
  </conditionalFormatting>
  <conditionalFormatting sqref="W5:W19">
    <cfRule type="expression" priority="2" dxfId="2">
      <formula>AND($B5&lt;&gt;"",N($W5)=0,SUMPRODUCT(--$G5:$V5)&gt;0)</formula>
    </cfRule>
  </conditionalFormatting>
  <conditionalFormatting sqref="AN5:AN19">
    <cfRule type="expression" priority="3" dxfId="2">
      <formula>AND($B5&lt;&gt;"",N($AN5)=0,SUMPRODUCT(--$X5:$AM5)&gt;0)</formula>
    </cfRule>
  </conditionalFormatting>
  <conditionalFormatting sqref="BE5:BE19">
    <cfRule type="expression" priority="4" dxfId="2">
      <formula>AND($B5&lt;&gt;"",N($BE5)=0,SUMPRODUCT(--$AO5:$BD5)&gt;0)</formula>
    </cfRule>
  </conditionalFormatting>
  <conditionalFormatting sqref="BV5:BV19">
    <cfRule type="expression" priority="5" dxfId="2">
      <formula>AND($B5&lt;&gt;"",N($BV5)=0,SUMPRODUCT(--$BF5:$BU5)&gt;0)</formula>
    </cfRule>
  </conditionalFormatting>
  <conditionalFormatting sqref="CM5:CM19">
    <cfRule type="expression" priority="6" dxfId="2">
      <formula>AND($B5&lt;&gt;"",N($CM5)=0,SUMPRODUCT(--$BW5:$CL5)&gt;0)</formula>
    </cfRule>
  </conditionalFormatting>
  <conditionalFormatting sqref="DD5:DD19">
    <cfRule type="expression" priority="7" dxfId="2">
      <formula>AND($B5&lt;&gt;"",N($DD5)=0,SUMPRODUCT(--$CN5:$DC5)&gt;0)</formula>
    </cfRule>
  </conditionalFormatting>
  <conditionalFormatting sqref="DU5:DU19">
    <cfRule type="expression" priority="8" dxfId="2">
      <formula>AND($B5&lt;&gt;"",N($DU5)=0,SUMPRODUCT(--$DE5:$DT5)&gt;0)</formula>
    </cfRule>
  </conditionalFormatting>
  <conditionalFormatting sqref="EL5:EL19">
    <cfRule type="expression" priority="9" dxfId="2">
      <formula>AND($B5&lt;&gt;"",N($EL5)=0,SUMPRODUCT(--$DV5:$EK5)&gt;0)</formula>
    </cfRule>
  </conditionalFormatting>
  <conditionalFormatting sqref="FC5:FC19">
    <cfRule type="expression" priority="10" dxfId="2">
      <formula>AND($B5&lt;&gt;"",N($FC5)=0,SUMPRODUCT(--$EM5:$FB5)&gt;0)</formula>
    </cfRule>
  </conditionalFormatting>
  <conditionalFormatting sqref="FT5:FT19">
    <cfRule type="expression" priority="11" dxfId="2">
      <formula>AND($B5&lt;&gt;"",N($FT5)=0,SUMPRODUCT(--$FD5:$FS5)&gt;0)</formula>
    </cfRule>
  </conditionalFormatting>
  <conditionalFormatting sqref="GK5:GK19">
    <cfRule type="expression" priority="12" dxfId="2">
      <formula>AND($B5&lt;&gt;"",N($GK5)=0,SUMPRODUCT(--$FU5:$GJ5)&gt;0)</formula>
    </cfRule>
  </conditionalFormatting>
  <conditionalFormatting sqref="HB5:HB19">
    <cfRule type="expression" priority="13" dxfId="2">
      <formula>AND($B5&lt;&gt;"",N($HB5)=0,SUMPRODUCT(--$GL5:$HA5)&gt;0)</formula>
    </cfRule>
  </conditionalFormatting>
  <conditionalFormatting sqref="G3:HB3">
    <cfRule type="expression" priority="14" dxfId="0">
      <formula>AND(G3&lt;&gt;"",G3=TODAY())</formula>
    </cfRule>
  </conditionalFormatting>
  <conditionalFormatting sqref="D5:D19">
    <cfRule type="expression" priority="15" dxfId="1">
      <formula>AND(ISNUMBER(D5),D5&gt;=$HG$1)</formula>
    </cfRule>
  </conditionalFormatting>
  <conditionalFormatting sqref="E5:E19">
    <cfRule type="expression" priority="16" dxfId="0">
      <formula>AND(ISNUMBER(E5),E5&gt;=2)</formula>
    </cfRule>
  </conditionalFormatting>
  <conditionalFormatting sqref="F5:F19">
    <cfRule type="expression" priority="17" dxfId="2">
      <formula>AND(F5&lt;&gt;"",F5&lt;&gt;"تمام",F5&lt;&gt;"-")</formula>
    </cfRule>
  </conditionalFormatting>
  <conditionalFormatting sqref="G30:HB44">
    <cfRule type="expression" priority="18" dxfId="1">
      <formula>AND(G$29&lt;&gt;"ملاحظات",ISNUMBER(G30),ISNUMBER(G$28),G30&gt;G$28)</formula>
    </cfRule>
    <cfRule type="expression" priority="19" dxfId="3">
      <formula>AND(G$29&lt;&gt;"ملاحظات",ISNUMBER(G30),ISNUMBER(G$28),G30&lt;G$28/2)</formula>
    </cfRule>
  </conditionalFormatting>
  <conditionalFormatting sqref="E30:E44">
    <cfRule type="expression" priority="20" dxfId="0">
      <formula>AND(ISNUMBER(E30),E30&lt;=3)</formula>
    </cfRule>
  </conditionalFormatting>
  <conditionalFormatting sqref="G28:HB28">
    <cfRule type="expression" priority="21" dxfId="2">
      <formula>AND(G$29&lt;&gt;"ملاحظات",NOT(ISNUMBER(G28)),COUNT(G$30:G$44)&gt;0)</formula>
    </cfRule>
  </conditionalFormatting>
  <dataValidations count="4">
    <dataValidation sqref="G27 I27 K27 M27 O27 Q27 S27 U27 X27 Z27 AB27 AD27 AF27 AH27 AJ27 AL27 AO27 AQ27 AS27 AU27 AW27 AY27 BA27 BC27 BF27 BH27 BJ27 BL27 BN27 BP27 BR27 BT27 BW27 BY27 CA27 CC27 CE27 CG27 CI27 CK27 CN27 CP27 CR27 CT27 CV27 CX27 CZ27 DB27 DE27 DG27 DI27 DK27 DM27 DO27 DQ27 DS27 DV27 DX27 DZ27 EB27 ED27 EF27 EH27 EJ27 EM27 EO27 EQ27 ES27 EU27 EW27 EY27 FA27 FD27 FF27 FH27 FJ27 FL27 FN27 FP27 FR27 FU27 FW27 FY27 GA27 GC27 GE27 GG27 GI27 GL27 GN27 GP27 GR27 GT27 GV27 GX27 GZ27" showDropDown="0" showInputMessage="0" showErrorMessage="1" allowBlank="1" type="list" errorStyle="warning">
      <formula1>"وحدة,شهر"</formula1>
    </dataValidation>
    <dataValidation sqref="F27" showDropDown="0" showInputMessage="0" showErrorMessage="1" allowBlank="0" type="list">
      <formula1>'حسابات'!$F$2:$F$14</formula1>
    </dataValidation>
    <dataValidation sqref="G28:V28 G30:V44 X28:AM28 X30:AM44 AO28:BD28 AO30:BD44 BF28:BU28 BF30:BU44 BW28:CL28 BW30:CL44 CN28:DC28 CN30:DC44 DE28:DT28 DE30:DT44 DV28:EK28 DV30:EK44 EM28:FB28 EM30:FB44 FD28:FS28 FD30:FS44 FU28:GJ28 FU30:GJ44 GL28:HA28 GL30:HA44" showDropDown="0" showInputMessage="0" showErrorMessage="1" allowBlank="1" errorTitle="الدرجة" error="اكتبي رقم بس، بالشكل ده: 8 أو 8.5" type="decimal" operator="between">
      <formula1>0</formula1>
      <formula2>1000</formula2>
    </dataValidation>
    <dataValidation sqref="G3:V3 X3:AM3 AO3:BD3 BF3:BU3 BW3:CL3 CN3:DC3 DE3:DT3 DV3:EK3 EM3:FB3 FD3:FS3 FU3:GJ3 GL3:HA3" showDropDown="0" showInputMessage="0" showErrorMessage="1" allowBlank="1" errorTitle="التاريخ" error="اكتبي التاريخ كده: 5/10" type="date" operator="greaterThan">
      <formula1>40000</formula1>
    </dataValidation>
  </dataValidations>
  <pageMargins left="0.75" right="0.75" top="1" bottom="1" header="0.5" footer="0.5"/>
</worksheet>
</file>

<file path=xl/worksheets/sheet5.xml><?xml version="1.0" encoding="utf-8"?>
<worksheet xmlns="http://schemas.openxmlformats.org/spreadsheetml/2006/main">
  <sheetPr>
    <tabColor rgb="00A9DEF9"/>
    <outlinePr summaryBelow="1" summaryRight="1"/>
    <pageSetUpPr/>
  </sheetPr>
  <dimension ref="A1:HG47"/>
  <sheetViews>
    <sheetView showGridLines="0" rightToLeft="1" workbookViewId="0">
      <pane xSplit="2" ySplit="3" topLeftCell="C4" activePane="bottomRight" state="frozen"/>
      <selection pane="topRight"/>
      <selection pane="bottomLeft"/>
      <selection pane="bottomRight" activeCell="A1" sqref="A1"/>
    </sheetView>
  </sheetViews>
  <sheetFormatPr baseColWidth="8" defaultRowHeight="15"/>
  <cols>
    <col width="3.57" customWidth="1" min="1" max="1"/>
    <col width="19.29" customWidth="1" min="2" max="2"/>
    <col width="14.71" customWidth="1" min="3" max="3"/>
    <col width="5.86" customWidth="1" min="4" max="4"/>
    <col width="5.86" customWidth="1" min="5" max="5"/>
    <col width="10.71" customWidth="1" min="6" max="6"/>
    <col outlineLevel="1" width="5" customWidth="1" min="7" max="7"/>
    <col outlineLevel="1" width="5" customWidth="1" min="8" max="8"/>
    <col outlineLevel="1" width="5" customWidth="1" min="9" max="9"/>
    <col outlineLevel="1" width="5" customWidth="1" min="10" max="10"/>
    <col outlineLevel="1" width="5" customWidth="1" min="11" max="11"/>
    <col outlineLevel="1" width="5" customWidth="1" min="12" max="12"/>
    <col outlineLevel="1" width="5" customWidth="1" min="13" max="13"/>
    <col outlineLevel="1" width="5" customWidth="1" min="14" max="14"/>
    <col outlineLevel="1" width="5" customWidth="1" min="15" max="15"/>
    <col outlineLevel="1" width="5" customWidth="1" min="16" max="16"/>
    <col outlineLevel="1" width="5" customWidth="1" min="17" max="17"/>
    <col outlineLevel="1" width="5" customWidth="1" min="18" max="18"/>
    <col outlineLevel="1" width="5" customWidth="1" min="19" max="19"/>
    <col outlineLevel="1" width="5" customWidth="1" min="20" max="20"/>
    <col outlineLevel="1" width="5" customWidth="1" min="21" max="21"/>
    <col outlineLevel="1" width="5" customWidth="1" min="22" max="22"/>
    <col width="14.14" customWidth="1" min="23" max="23"/>
    <col outlineLevel="1" width="5" customWidth="1" min="24" max="24"/>
    <col outlineLevel="1" width="5" customWidth="1" min="25" max="25"/>
    <col outlineLevel="1" width="5" customWidth="1" min="26" max="26"/>
    <col outlineLevel="1" width="5" customWidth="1" min="27" max="27"/>
    <col outlineLevel="1" width="5" customWidth="1" min="28" max="28"/>
    <col outlineLevel="1" width="5" customWidth="1" min="29" max="29"/>
    <col outlineLevel="1" width="5" customWidth="1" min="30" max="30"/>
    <col outlineLevel="1" width="5" customWidth="1" min="31" max="31"/>
    <col outlineLevel="1" width="5" customWidth="1" min="32" max="32"/>
    <col outlineLevel="1" width="5" customWidth="1" min="33" max="33"/>
    <col outlineLevel="1" width="5" customWidth="1" min="34" max="34"/>
    <col outlineLevel="1" width="5" customWidth="1" min="35" max="35"/>
    <col outlineLevel="1" width="5" customWidth="1" min="36" max="36"/>
    <col outlineLevel="1" width="5" customWidth="1" min="37" max="37"/>
    <col outlineLevel="1" width="5" customWidth="1" min="38" max="38"/>
    <col outlineLevel="1" width="5" customWidth="1" min="39" max="39"/>
    <col width="14.14" customWidth="1" min="40" max="40"/>
    <col outlineLevel="1" width="5" customWidth="1" min="41" max="41"/>
    <col outlineLevel="1" width="5" customWidth="1" min="42" max="42"/>
    <col outlineLevel="1" width="5" customWidth="1" min="43" max="43"/>
    <col outlineLevel="1" width="5" customWidth="1" min="44" max="44"/>
    <col outlineLevel="1" width="5" customWidth="1" min="45" max="45"/>
    <col outlineLevel="1" width="5" customWidth="1" min="46" max="46"/>
    <col outlineLevel="1" width="5" customWidth="1" min="47" max="47"/>
    <col outlineLevel="1" width="5" customWidth="1" min="48" max="48"/>
    <col outlineLevel="1" width="5" customWidth="1" min="49" max="49"/>
    <col outlineLevel="1" width="5" customWidth="1" min="50" max="50"/>
    <col outlineLevel="1" width="5" customWidth="1" min="51" max="51"/>
    <col outlineLevel="1" width="5" customWidth="1" min="52" max="52"/>
    <col outlineLevel="1" width="5" customWidth="1" min="53" max="53"/>
    <col outlineLevel="1" width="5" customWidth="1" min="54" max="54"/>
    <col outlineLevel="1" width="5" customWidth="1" min="55" max="55"/>
    <col outlineLevel="1" width="5" customWidth="1" min="56" max="56"/>
    <col width="14.14" customWidth="1" min="57" max="57"/>
    <col outlineLevel="1" width="5" customWidth="1" min="58" max="58"/>
    <col outlineLevel="1" width="5" customWidth="1" min="59" max="59"/>
    <col outlineLevel="1" width="5" customWidth="1" min="60" max="60"/>
    <col outlineLevel="1" width="5" customWidth="1" min="61" max="61"/>
    <col outlineLevel="1" width="5" customWidth="1" min="62" max="62"/>
    <col outlineLevel="1" width="5" customWidth="1" min="63" max="63"/>
    <col outlineLevel="1" width="5" customWidth="1" min="64" max="64"/>
    <col outlineLevel="1" width="5" customWidth="1" min="65" max="65"/>
    <col outlineLevel="1" width="5" customWidth="1" min="66" max="66"/>
    <col outlineLevel="1" width="5" customWidth="1" min="67" max="67"/>
    <col outlineLevel="1" width="5" customWidth="1" min="68" max="68"/>
    <col outlineLevel="1" width="5" customWidth="1" min="69" max="69"/>
    <col outlineLevel="1" width="5" customWidth="1" min="70" max="70"/>
    <col outlineLevel="1" width="5" customWidth="1" min="71" max="71"/>
    <col outlineLevel="1" width="5" customWidth="1" min="72" max="72"/>
    <col outlineLevel="1" width="5" customWidth="1" min="73" max="73"/>
    <col width="14.14" customWidth="1" min="74" max="74"/>
    <col outlineLevel="1" width="5" customWidth="1" min="75" max="75"/>
    <col outlineLevel="1" width="5" customWidth="1" min="76" max="76"/>
    <col outlineLevel="1" width="5" customWidth="1" min="77" max="77"/>
    <col outlineLevel="1" width="5" customWidth="1" min="78" max="78"/>
    <col outlineLevel="1" width="5" customWidth="1" min="79" max="79"/>
    <col outlineLevel="1" width="5" customWidth="1" min="80" max="80"/>
    <col outlineLevel="1" width="5" customWidth="1" min="81" max="81"/>
    <col outlineLevel="1" width="5" customWidth="1" min="82" max="82"/>
    <col outlineLevel="1" width="5" customWidth="1" min="83" max="83"/>
    <col outlineLevel="1" width="5" customWidth="1" min="84" max="84"/>
    <col outlineLevel="1" width="5" customWidth="1" min="85" max="85"/>
    <col outlineLevel="1" width="5" customWidth="1" min="86" max="86"/>
    <col outlineLevel="1" width="5" customWidth="1" min="87" max="87"/>
    <col outlineLevel="1" width="5" customWidth="1" min="88" max="88"/>
    <col outlineLevel="1" width="5" customWidth="1" min="89" max="89"/>
    <col outlineLevel="1" width="5" customWidth="1" min="90" max="90"/>
    <col width="14.14" customWidth="1" min="91" max="91"/>
    <col outlineLevel="1" width="5" customWidth="1" min="92" max="92"/>
    <col outlineLevel="1" width="5" customWidth="1" min="93" max="93"/>
    <col outlineLevel="1" width="5" customWidth="1" min="94" max="94"/>
    <col outlineLevel="1" width="5" customWidth="1" min="95" max="95"/>
    <col outlineLevel="1" width="5" customWidth="1" min="96" max="96"/>
    <col outlineLevel="1" width="5" customWidth="1" min="97" max="97"/>
    <col outlineLevel="1" width="5" customWidth="1" min="98" max="98"/>
    <col outlineLevel="1" width="5" customWidth="1" min="99" max="99"/>
    <col outlineLevel="1" width="5" customWidth="1" min="100" max="100"/>
    <col outlineLevel="1" width="5" customWidth="1" min="101" max="101"/>
    <col outlineLevel="1" width="5" customWidth="1" min="102" max="102"/>
    <col outlineLevel="1" width="5" customWidth="1" min="103" max="103"/>
    <col outlineLevel="1" width="5" customWidth="1" min="104" max="104"/>
    <col outlineLevel="1" width="5" customWidth="1" min="105" max="105"/>
    <col outlineLevel="1" width="5" customWidth="1" min="106" max="106"/>
    <col outlineLevel="1" width="5" customWidth="1" min="107" max="107"/>
    <col width="14.14" customWidth="1" min="108" max="108"/>
    <col outlineLevel="1" width="5" customWidth="1" min="109" max="109"/>
    <col outlineLevel="1" width="5" customWidth="1" min="110" max="110"/>
    <col outlineLevel="1" width="5" customWidth="1" min="111" max="111"/>
    <col outlineLevel="1" width="5" customWidth="1" min="112" max="112"/>
    <col outlineLevel="1" width="5" customWidth="1" min="113" max="113"/>
    <col outlineLevel="1" width="5" customWidth="1" min="114" max="114"/>
    <col outlineLevel="1" width="5" customWidth="1" min="115" max="115"/>
    <col outlineLevel="1" width="5" customWidth="1" min="116" max="116"/>
    <col outlineLevel="1" width="5" customWidth="1" min="117" max="117"/>
    <col outlineLevel="1" width="5" customWidth="1" min="118" max="118"/>
    <col outlineLevel="1" width="5" customWidth="1" min="119" max="119"/>
    <col outlineLevel="1" width="5" customWidth="1" min="120" max="120"/>
    <col outlineLevel="1" width="5" customWidth="1" min="121" max="121"/>
    <col outlineLevel="1" width="5" customWidth="1" min="122" max="122"/>
    <col outlineLevel="1" width="5" customWidth="1" min="123" max="123"/>
    <col outlineLevel="1" width="5" customWidth="1" min="124" max="124"/>
    <col width="14.14" customWidth="1" min="125" max="125"/>
    <col outlineLevel="1" width="5" customWidth="1" min="126" max="126"/>
    <col outlineLevel="1" width="5" customWidth="1" min="127" max="127"/>
    <col outlineLevel="1" width="5" customWidth="1" min="128" max="128"/>
    <col outlineLevel="1" width="5" customWidth="1" min="129" max="129"/>
    <col outlineLevel="1" width="5" customWidth="1" min="130" max="130"/>
    <col outlineLevel="1" width="5" customWidth="1" min="131" max="131"/>
    <col outlineLevel="1" width="5" customWidth="1" min="132" max="132"/>
    <col outlineLevel="1" width="5" customWidth="1" min="133" max="133"/>
    <col outlineLevel="1" width="5" customWidth="1" min="134" max="134"/>
    <col outlineLevel="1" width="5" customWidth="1" min="135" max="135"/>
    <col outlineLevel="1" width="5" customWidth="1" min="136" max="136"/>
    <col outlineLevel="1" width="5" customWidth="1" min="137" max="137"/>
    <col outlineLevel="1" width="5" customWidth="1" min="138" max="138"/>
    <col outlineLevel="1" width="5" customWidth="1" min="139" max="139"/>
    <col outlineLevel="1" width="5" customWidth="1" min="140" max="140"/>
    <col outlineLevel="1" width="5" customWidth="1" min="141" max="141"/>
    <col width="14.14" customWidth="1" min="142" max="142"/>
    <col outlineLevel="1" width="5" customWidth="1" min="143" max="143"/>
    <col outlineLevel="1" width="5" customWidth="1" min="144" max="144"/>
    <col outlineLevel="1" width="5" customWidth="1" min="145" max="145"/>
    <col outlineLevel="1" width="5" customWidth="1" min="146" max="146"/>
    <col outlineLevel="1" width="5" customWidth="1" min="147" max="147"/>
    <col outlineLevel="1" width="5" customWidth="1" min="148" max="148"/>
    <col outlineLevel="1" width="5" customWidth="1" min="149" max="149"/>
    <col outlineLevel="1" width="5" customWidth="1" min="150" max="150"/>
    <col outlineLevel="1" width="5" customWidth="1" min="151" max="151"/>
    <col outlineLevel="1" width="5" customWidth="1" min="152" max="152"/>
    <col outlineLevel="1" width="5" customWidth="1" min="153" max="153"/>
    <col outlineLevel="1" width="5" customWidth="1" min="154" max="154"/>
    <col outlineLevel="1" width="5" customWidth="1" min="155" max="155"/>
    <col outlineLevel="1" width="5" customWidth="1" min="156" max="156"/>
    <col outlineLevel="1" width="5" customWidth="1" min="157" max="157"/>
    <col outlineLevel="1" width="5" customWidth="1" min="158" max="158"/>
    <col width="14.14" customWidth="1" min="159" max="159"/>
    <col outlineLevel="1" width="5" customWidth="1" min="160" max="160"/>
    <col outlineLevel="1" width="5" customWidth="1" min="161" max="161"/>
    <col outlineLevel="1" width="5" customWidth="1" min="162" max="162"/>
    <col outlineLevel="1" width="5" customWidth="1" min="163" max="163"/>
    <col outlineLevel="1" width="5" customWidth="1" min="164" max="164"/>
    <col outlineLevel="1" width="5" customWidth="1" min="165" max="165"/>
    <col outlineLevel="1" width="5" customWidth="1" min="166" max="166"/>
    <col outlineLevel="1" width="5" customWidth="1" min="167" max="167"/>
    <col outlineLevel="1" width="5" customWidth="1" min="168" max="168"/>
    <col outlineLevel="1" width="5" customWidth="1" min="169" max="169"/>
    <col outlineLevel="1" width="5" customWidth="1" min="170" max="170"/>
    <col outlineLevel="1" width="5" customWidth="1" min="171" max="171"/>
    <col outlineLevel="1" width="5" customWidth="1" min="172" max="172"/>
    <col outlineLevel="1" width="5" customWidth="1" min="173" max="173"/>
    <col outlineLevel="1" width="5" customWidth="1" min="174" max="174"/>
    <col outlineLevel="1" width="5" customWidth="1" min="175" max="175"/>
    <col width="14.14" customWidth="1" min="176" max="176"/>
    <col outlineLevel="1" width="5" customWidth="1" min="177" max="177"/>
    <col outlineLevel="1" width="5" customWidth="1" min="178" max="178"/>
    <col outlineLevel="1" width="5" customWidth="1" min="179" max="179"/>
    <col outlineLevel="1" width="5" customWidth="1" min="180" max="180"/>
    <col outlineLevel="1" width="5" customWidth="1" min="181" max="181"/>
    <col outlineLevel="1" width="5" customWidth="1" min="182" max="182"/>
    <col outlineLevel="1" width="5" customWidth="1" min="183" max="183"/>
    <col outlineLevel="1" width="5" customWidth="1" min="184" max="184"/>
    <col outlineLevel="1" width="5" customWidth="1" min="185" max="185"/>
    <col outlineLevel="1" width="5" customWidth="1" min="186" max="186"/>
    <col outlineLevel="1" width="5" customWidth="1" min="187" max="187"/>
    <col outlineLevel="1" width="5" customWidth="1" min="188" max="188"/>
    <col outlineLevel="1" width="5" customWidth="1" min="189" max="189"/>
    <col outlineLevel="1" width="5" customWidth="1" min="190" max="190"/>
    <col outlineLevel="1" width="5" customWidth="1" min="191" max="191"/>
    <col outlineLevel="1" width="5" customWidth="1" min="192" max="192"/>
    <col width="14.14" customWidth="1" min="193" max="193"/>
    <col outlineLevel="1" width="5" customWidth="1" min="194" max="194"/>
    <col outlineLevel="1" width="5" customWidth="1" min="195" max="195"/>
    <col outlineLevel="1" width="5" customWidth="1" min="196" max="196"/>
    <col outlineLevel="1" width="5" customWidth="1" min="197" max="197"/>
    <col outlineLevel="1" width="5" customWidth="1" min="198" max="198"/>
    <col outlineLevel="1" width="5" customWidth="1" min="199" max="199"/>
    <col outlineLevel="1" width="5" customWidth="1" min="200" max="200"/>
    <col outlineLevel="1" width="5" customWidth="1" min="201" max="201"/>
    <col outlineLevel="1" width="5" customWidth="1" min="202" max="202"/>
    <col outlineLevel="1" width="5" customWidth="1" min="203" max="203"/>
    <col outlineLevel="1" width="5" customWidth="1" min="204" max="204"/>
    <col outlineLevel="1" width="5" customWidth="1" min="205" max="205"/>
    <col outlineLevel="1" width="5" customWidth="1" min="206" max="206"/>
    <col outlineLevel="1" width="5" customWidth="1" min="207" max="207"/>
    <col outlineLevel="1" width="5" customWidth="1" min="208" max="208"/>
    <col outlineLevel="1" width="5" customWidth="1" min="209" max="209"/>
    <col width="14.14" customWidth="1" min="210" max="210"/>
    <col hidden="1" width="7.86" customWidth="1" min="211" max="211"/>
    <col hidden="1" width="7.86" customWidth="1" min="212" max="212"/>
    <col hidden="1" width="7.86" customWidth="1" min="213" max="213"/>
    <col hidden="1" width="7.86" customWidth="1" min="214" max="214"/>
    <col hidden="1" width="7.86" customWidth="1" min="215" max="215"/>
  </cols>
  <sheetData>
    <row r="1" ht="24" customHeight="1">
      <c r="A1" s="40" t="inlineStr">
        <is>
          <t>مجموعة 3</t>
        </is>
      </c>
      <c r="B1" s="4" t="n"/>
      <c r="C1" s="41" t="str">
        <f>"عدد الطلاب: "&amp;$HE$1&amp;CHAR(10)&amp;"الغياب والواجب الناقص: في آخر 8 حصص"</f>
        <v>عدد الطلاب: 0
الغياب والواجب الناقص: في آخر 8 حصص</v>
      </c>
      <c r="D1" s="42" t="n"/>
      <c r="E1" s="42" t="n"/>
      <c r="F1" s="43" t="n"/>
      <c r="G1" s="44" t="inlineStr">
        <is>
          <t>الشهر 1</t>
        </is>
      </c>
      <c r="H1" s="13" t="n"/>
      <c r="I1" s="13" t="n"/>
      <c r="J1" s="13" t="n"/>
      <c r="K1" s="13" t="n"/>
      <c r="L1" s="13" t="n"/>
      <c r="M1" s="13" t="n"/>
      <c r="N1" s="13" t="n"/>
      <c r="O1" s="13" t="n"/>
      <c r="P1" s="13" t="n"/>
      <c r="Q1" s="13" t="n"/>
      <c r="R1" s="13" t="n"/>
      <c r="S1" s="13" t="n"/>
      <c r="T1" s="13" t="n"/>
      <c r="U1" s="13" t="n"/>
      <c r="V1" s="13" t="n"/>
      <c r="W1" s="4" t="n"/>
      <c r="X1" s="45" t="inlineStr">
        <is>
          <t>الشهر 2</t>
        </is>
      </c>
      <c r="Y1" s="13" t="n"/>
      <c r="Z1" s="13" t="n"/>
      <c r="AA1" s="13" t="n"/>
      <c r="AB1" s="13" t="n"/>
      <c r="AC1" s="13" t="n"/>
      <c r="AD1" s="13" t="n"/>
      <c r="AE1" s="13" t="n"/>
      <c r="AF1" s="13" t="n"/>
      <c r="AG1" s="13" t="n"/>
      <c r="AH1" s="13" t="n"/>
      <c r="AI1" s="13" t="n"/>
      <c r="AJ1" s="13" t="n"/>
      <c r="AK1" s="13" t="n"/>
      <c r="AL1" s="13" t="n"/>
      <c r="AM1" s="13" t="n"/>
      <c r="AN1" s="4" t="n"/>
      <c r="AO1" s="46" t="inlineStr">
        <is>
          <t>الشهر 3</t>
        </is>
      </c>
      <c r="AP1" s="13" t="n"/>
      <c r="AQ1" s="13" t="n"/>
      <c r="AR1" s="13" t="n"/>
      <c r="AS1" s="13" t="n"/>
      <c r="AT1" s="13" t="n"/>
      <c r="AU1" s="13" t="n"/>
      <c r="AV1" s="13" t="n"/>
      <c r="AW1" s="13" t="n"/>
      <c r="AX1" s="13" t="n"/>
      <c r="AY1" s="13" t="n"/>
      <c r="AZ1" s="13" t="n"/>
      <c r="BA1" s="13" t="n"/>
      <c r="BB1" s="13" t="n"/>
      <c r="BC1" s="13" t="n"/>
      <c r="BD1" s="13" t="n"/>
      <c r="BE1" s="4" t="n"/>
      <c r="BF1" s="47" t="inlineStr">
        <is>
          <t>الشهر 4</t>
        </is>
      </c>
      <c r="BG1" s="13" t="n"/>
      <c r="BH1" s="13" t="n"/>
      <c r="BI1" s="13" t="n"/>
      <c r="BJ1" s="13" t="n"/>
      <c r="BK1" s="13" t="n"/>
      <c r="BL1" s="13" t="n"/>
      <c r="BM1" s="13" t="n"/>
      <c r="BN1" s="13" t="n"/>
      <c r="BO1" s="13" t="n"/>
      <c r="BP1" s="13" t="n"/>
      <c r="BQ1" s="13" t="n"/>
      <c r="BR1" s="13" t="n"/>
      <c r="BS1" s="13" t="n"/>
      <c r="BT1" s="13" t="n"/>
      <c r="BU1" s="13" t="n"/>
      <c r="BV1" s="4" t="n"/>
      <c r="BW1" s="48" t="inlineStr">
        <is>
          <t>الشهر 5</t>
        </is>
      </c>
      <c r="BX1" s="13" t="n"/>
      <c r="BY1" s="13" t="n"/>
      <c r="BZ1" s="13" t="n"/>
      <c r="CA1" s="13" t="n"/>
      <c r="CB1" s="13" t="n"/>
      <c r="CC1" s="13" t="n"/>
      <c r="CD1" s="13" t="n"/>
      <c r="CE1" s="13" t="n"/>
      <c r="CF1" s="13" t="n"/>
      <c r="CG1" s="13" t="n"/>
      <c r="CH1" s="13" t="n"/>
      <c r="CI1" s="13" t="n"/>
      <c r="CJ1" s="13" t="n"/>
      <c r="CK1" s="13" t="n"/>
      <c r="CL1" s="13" t="n"/>
      <c r="CM1" s="4" t="n"/>
      <c r="CN1" s="49" t="inlineStr">
        <is>
          <t>الشهر 6</t>
        </is>
      </c>
      <c r="CO1" s="13" t="n"/>
      <c r="CP1" s="13" t="n"/>
      <c r="CQ1" s="13" t="n"/>
      <c r="CR1" s="13" t="n"/>
      <c r="CS1" s="13" t="n"/>
      <c r="CT1" s="13" t="n"/>
      <c r="CU1" s="13" t="n"/>
      <c r="CV1" s="13" t="n"/>
      <c r="CW1" s="13" t="n"/>
      <c r="CX1" s="13" t="n"/>
      <c r="CY1" s="13" t="n"/>
      <c r="CZ1" s="13" t="n"/>
      <c r="DA1" s="13" t="n"/>
      <c r="DB1" s="13" t="n"/>
      <c r="DC1" s="13" t="n"/>
      <c r="DD1" s="4" t="n"/>
      <c r="DE1" s="50" t="inlineStr">
        <is>
          <t>الشهر 7</t>
        </is>
      </c>
      <c r="DF1" s="13" t="n"/>
      <c r="DG1" s="13" t="n"/>
      <c r="DH1" s="13" t="n"/>
      <c r="DI1" s="13" t="n"/>
      <c r="DJ1" s="13" t="n"/>
      <c r="DK1" s="13" t="n"/>
      <c r="DL1" s="13" t="n"/>
      <c r="DM1" s="13" t="n"/>
      <c r="DN1" s="13" t="n"/>
      <c r="DO1" s="13" t="n"/>
      <c r="DP1" s="13" t="n"/>
      <c r="DQ1" s="13" t="n"/>
      <c r="DR1" s="13" t="n"/>
      <c r="DS1" s="13" t="n"/>
      <c r="DT1" s="13" t="n"/>
      <c r="DU1" s="4" t="n"/>
      <c r="DV1" s="51" t="inlineStr">
        <is>
          <t>الشهر 8</t>
        </is>
      </c>
      <c r="DW1" s="13" t="n"/>
      <c r="DX1" s="13" t="n"/>
      <c r="DY1" s="13" t="n"/>
      <c r="DZ1" s="13" t="n"/>
      <c r="EA1" s="13" t="n"/>
      <c r="EB1" s="13" t="n"/>
      <c r="EC1" s="13" t="n"/>
      <c r="ED1" s="13" t="n"/>
      <c r="EE1" s="13" t="n"/>
      <c r="EF1" s="13" t="n"/>
      <c r="EG1" s="13" t="n"/>
      <c r="EH1" s="13" t="n"/>
      <c r="EI1" s="13" t="n"/>
      <c r="EJ1" s="13" t="n"/>
      <c r="EK1" s="13" t="n"/>
      <c r="EL1" s="4" t="n"/>
      <c r="EM1" s="52" t="inlineStr">
        <is>
          <t>الشهر 9</t>
        </is>
      </c>
      <c r="EN1" s="13" t="n"/>
      <c r="EO1" s="13" t="n"/>
      <c r="EP1" s="13" t="n"/>
      <c r="EQ1" s="13" t="n"/>
      <c r="ER1" s="13" t="n"/>
      <c r="ES1" s="13" t="n"/>
      <c r="ET1" s="13" t="n"/>
      <c r="EU1" s="13" t="n"/>
      <c r="EV1" s="13" t="n"/>
      <c r="EW1" s="13" t="n"/>
      <c r="EX1" s="13" t="n"/>
      <c r="EY1" s="13" t="n"/>
      <c r="EZ1" s="13" t="n"/>
      <c r="FA1" s="13" t="n"/>
      <c r="FB1" s="13" t="n"/>
      <c r="FC1" s="4" t="n"/>
      <c r="FD1" s="53" t="inlineStr">
        <is>
          <t>الشهر 10</t>
        </is>
      </c>
      <c r="FE1" s="13" t="n"/>
      <c r="FF1" s="13" t="n"/>
      <c r="FG1" s="13" t="n"/>
      <c r="FH1" s="13" t="n"/>
      <c r="FI1" s="13" t="n"/>
      <c r="FJ1" s="13" t="n"/>
      <c r="FK1" s="13" t="n"/>
      <c r="FL1" s="13" t="n"/>
      <c r="FM1" s="13" t="n"/>
      <c r="FN1" s="13" t="n"/>
      <c r="FO1" s="13" t="n"/>
      <c r="FP1" s="13" t="n"/>
      <c r="FQ1" s="13" t="n"/>
      <c r="FR1" s="13" t="n"/>
      <c r="FS1" s="13" t="n"/>
      <c r="FT1" s="4" t="n"/>
      <c r="FU1" s="54" t="inlineStr">
        <is>
          <t>الشهر 11</t>
        </is>
      </c>
      <c r="FV1" s="13" t="n"/>
      <c r="FW1" s="13" t="n"/>
      <c r="FX1" s="13" t="n"/>
      <c r="FY1" s="13" t="n"/>
      <c r="FZ1" s="13" t="n"/>
      <c r="GA1" s="13" t="n"/>
      <c r="GB1" s="13" t="n"/>
      <c r="GC1" s="13" t="n"/>
      <c r="GD1" s="13" t="n"/>
      <c r="GE1" s="13" t="n"/>
      <c r="GF1" s="13" t="n"/>
      <c r="GG1" s="13" t="n"/>
      <c r="GH1" s="13" t="n"/>
      <c r="GI1" s="13" t="n"/>
      <c r="GJ1" s="13" t="n"/>
      <c r="GK1" s="4" t="n"/>
      <c r="GL1" s="55" t="inlineStr">
        <is>
          <t>الشهر 12</t>
        </is>
      </c>
      <c r="GM1" s="13" t="n"/>
      <c r="GN1" s="13" t="n"/>
      <c r="GO1" s="13" t="n"/>
      <c r="GP1" s="13" t="n"/>
      <c r="GQ1" s="13" t="n"/>
      <c r="GR1" s="13" t="n"/>
      <c r="GS1" s="13" t="n"/>
      <c r="GT1" s="13" t="n"/>
      <c r="GU1" s="13" t="n"/>
      <c r="GV1" s="13" t="n"/>
      <c r="GW1" s="13" t="n"/>
      <c r="GX1" s="13" t="n"/>
      <c r="GY1" s="13" t="n"/>
      <c r="GZ1" s="13" t="n"/>
      <c r="HA1" s="13" t="n"/>
      <c r="HB1" s="4" t="n"/>
      <c r="HC1">
        <f>SUMPRODUCT(MAX(($G$4:$HB$4="ح")*($G$20:$HB$20&gt;0)*$G$47:$HB$47))</f>
        <v>0</v>
      </c>
      <c r="HD1">
        <f>IF(OR($F$27="",$F$27="الكل"),1,IFERROR(MATCH($F$27,'حسابات'!$F$2:$F$14,0)-1,1))</f>
        <v>1</v>
      </c>
      <c r="HE1">
        <f>SUMPRODUCT(--($B$5:$B$19&lt;&gt;""))</f>
        <v>0</v>
      </c>
      <c r="HF1" t="str">
        <f>IF($HE$3=0,"",8-$HE$3)</f>
        <v/>
      </c>
      <c r="HG1">
        <f>'الرئيسية'!$H$27</f>
        <v>2</v>
      </c>
    </row>
    <row r="2" ht="16.5" customHeight="1">
      <c r="A2" s="56" t="str">
        <f>IF($HC$1=0,"لسه ما بدأتش",IF(INDEX($G$1:$HB$1,1,17*($HC$2-1)+1)="","شهر "&amp;$HC$2,INDEX($G$1:$HB$1,1,17*($HC$2-1)+1))&amp;" · حصة "&amp;$HC$3&amp;" من 8")</f>
        <v>لسه ما بدأتش</v>
      </c>
      <c r="B2" s="43" t="n"/>
      <c r="C2" s="57" t="n"/>
      <c r="F2" s="58" t="n"/>
      <c r="G2" s="59" t="inlineStr">
        <is>
          <t>حصة 1</t>
        </is>
      </c>
      <c r="H2" s="4" t="n"/>
      <c r="I2" s="59" t="inlineStr">
        <is>
          <t>حصة 2</t>
        </is>
      </c>
      <c r="J2" s="4" t="n"/>
      <c r="K2" s="59" t="inlineStr">
        <is>
          <t>حصة 3</t>
        </is>
      </c>
      <c r="L2" s="4" t="n"/>
      <c r="M2" s="59" t="inlineStr">
        <is>
          <t>حصة 4</t>
        </is>
      </c>
      <c r="N2" s="4" t="n"/>
      <c r="O2" s="59" t="inlineStr">
        <is>
          <t>حصة 5</t>
        </is>
      </c>
      <c r="P2" s="4" t="n"/>
      <c r="Q2" s="59" t="inlineStr">
        <is>
          <t>حصة 6</t>
        </is>
      </c>
      <c r="R2" s="4" t="n"/>
      <c r="S2" s="59" t="inlineStr">
        <is>
          <t>حصة 7</t>
        </is>
      </c>
      <c r="T2" s="4" t="n"/>
      <c r="U2" s="59" t="inlineStr">
        <is>
          <t>حصة 8</t>
        </is>
      </c>
      <c r="V2" s="4" t="n"/>
      <c r="W2" s="59" t="inlineStr">
        <is>
          <t>المصاريف</t>
        </is>
      </c>
      <c r="X2" s="60" t="inlineStr">
        <is>
          <t>حصة 1</t>
        </is>
      </c>
      <c r="Y2" s="4" t="n"/>
      <c r="Z2" s="60" t="inlineStr">
        <is>
          <t>حصة 2</t>
        </is>
      </c>
      <c r="AA2" s="4" t="n"/>
      <c r="AB2" s="60" t="inlineStr">
        <is>
          <t>حصة 3</t>
        </is>
      </c>
      <c r="AC2" s="4" t="n"/>
      <c r="AD2" s="60" t="inlineStr">
        <is>
          <t>حصة 4</t>
        </is>
      </c>
      <c r="AE2" s="4" t="n"/>
      <c r="AF2" s="60" t="inlineStr">
        <is>
          <t>حصة 5</t>
        </is>
      </c>
      <c r="AG2" s="4" t="n"/>
      <c r="AH2" s="60" t="inlineStr">
        <is>
          <t>حصة 6</t>
        </is>
      </c>
      <c r="AI2" s="4" t="n"/>
      <c r="AJ2" s="60" t="inlineStr">
        <is>
          <t>حصة 7</t>
        </is>
      </c>
      <c r="AK2" s="4" t="n"/>
      <c r="AL2" s="60" t="inlineStr">
        <is>
          <t>حصة 8</t>
        </is>
      </c>
      <c r="AM2" s="4" t="n"/>
      <c r="AN2" s="60" t="inlineStr">
        <is>
          <t>المصاريف</t>
        </is>
      </c>
      <c r="AO2" s="61" t="inlineStr">
        <is>
          <t>حصة 1</t>
        </is>
      </c>
      <c r="AP2" s="4" t="n"/>
      <c r="AQ2" s="61" t="inlineStr">
        <is>
          <t>حصة 2</t>
        </is>
      </c>
      <c r="AR2" s="4" t="n"/>
      <c r="AS2" s="61" t="inlineStr">
        <is>
          <t>حصة 3</t>
        </is>
      </c>
      <c r="AT2" s="4" t="n"/>
      <c r="AU2" s="61" t="inlineStr">
        <is>
          <t>حصة 4</t>
        </is>
      </c>
      <c r="AV2" s="4" t="n"/>
      <c r="AW2" s="61" t="inlineStr">
        <is>
          <t>حصة 5</t>
        </is>
      </c>
      <c r="AX2" s="4" t="n"/>
      <c r="AY2" s="61" t="inlineStr">
        <is>
          <t>حصة 6</t>
        </is>
      </c>
      <c r="AZ2" s="4" t="n"/>
      <c r="BA2" s="61" t="inlineStr">
        <is>
          <t>حصة 7</t>
        </is>
      </c>
      <c r="BB2" s="4" t="n"/>
      <c r="BC2" s="61" t="inlineStr">
        <is>
          <t>حصة 8</t>
        </is>
      </c>
      <c r="BD2" s="4" t="n"/>
      <c r="BE2" s="61" t="inlineStr">
        <is>
          <t>المصاريف</t>
        </is>
      </c>
      <c r="BF2" s="62" t="inlineStr">
        <is>
          <t>حصة 1</t>
        </is>
      </c>
      <c r="BG2" s="4" t="n"/>
      <c r="BH2" s="62" t="inlineStr">
        <is>
          <t>حصة 2</t>
        </is>
      </c>
      <c r="BI2" s="4" t="n"/>
      <c r="BJ2" s="62" t="inlineStr">
        <is>
          <t>حصة 3</t>
        </is>
      </c>
      <c r="BK2" s="4" t="n"/>
      <c r="BL2" s="62" t="inlineStr">
        <is>
          <t>حصة 4</t>
        </is>
      </c>
      <c r="BM2" s="4" t="n"/>
      <c r="BN2" s="62" t="inlineStr">
        <is>
          <t>حصة 5</t>
        </is>
      </c>
      <c r="BO2" s="4" t="n"/>
      <c r="BP2" s="62" t="inlineStr">
        <is>
          <t>حصة 6</t>
        </is>
      </c>
      <c r="BQ2" s="4" t="n"/>
      <c r="BR2" s="62" t="inlineStr">
        <is>
          <t>حصة 7</t>
        </is>
      </c>
      <c r="BS2" s="4" t="n"/>
      <c r="BT2" s="62" t="inlineStr">
        <is>
          <t>حصة 8</t>
        </is>
      </c>
      <c r="BU2" s="4" t="n"/>
      <c r="BV2" s="62" t="inlineStr">
        <is>
          <t>المصاريف</t>
        </is>
      </c>
      <c r="BW2" s="63" t="inlineStr">
        <is>
          <t>حصة 1</t>
        </is>
      </c>
      <c r="BX2" s="4" t="n"/>
      <c r="BY2" s="63" t="inlineStr">
        <is>
          <t>حصة 2</t>
        </is>
      </c>
      <c r="BZ2" s="4" t="n"/>
      <c r="CA2" s="63" t="inlineStr">
        <is>
          <t>حصة 3</t>
        </is>
      </c>
      <c r="CB2" s="4" t="n"/>
      <c r="CC2" s="63" t="inlineStr">
        <is>
          <t>حصة 4</t>
        </is>
      </c>
      <c r="CD2" s="4" t="n"/>
      <c r="CE2" s="63" t="inlineStr">
        <is>
          <t>حصة 5</t>
        </is>
      </c>
      <c r="CF2" s="4" t="n"/>
      <c r="CG2" s="63" t="inlineStr">
        <is>
          <t>حصة 6</t>
        </is>
      </c>
      <c r="CH2" s="4" t="n"/>
      <c r="CI2" s="63" t="inlineStr">
        <is>
          <t>حصة 7</t>
        </is>
      </c>
      <c r="CJ2" s="4" t="n"/>
      <c r="CK2" s="63" t="inlineStr">
        <is>
          <t>حصة 8</t>
        </is>
      </c>
      <c r="CL2" s="4" t="n"/>
      <c r="CM2" s="63" t="inlineStr">
        <is>
          <t>المصاريف</t>
        </is>
      </c>
      <c r="CN2" s="64" t="inlineStr">
        <is>
          <t>حصة 1</t>
        </is>
      </c>
      <c r="CO2" s="4" t="n"/>
      <c r="CP2" s="64" t="inlineStr">
        <is>
          <t>حصة 2</t>
        </is>
      </c>
      <c r="CQ2" s="4" t="n"/>
      <c r="CR2" s="64" t="inlineStr">
        <is>
          <t>حصة 3</t>
        </is>
      </c>
      <c r="CS2" s="4" t="n"/>
      <c r="CT2" s="64" t="inlineStr">
        <is>
          <t>حصة 4</t>
        </is>
      </c>
      <c r="CU2" s="4" t="n"/>
      <c r="CV2" s="64" t="inlineStr">
        <is>
          <t>حصة 5</t>
        </is>
      </c>
      <c r="CW2" s="4" t="n"/>
      <c r="CX2" s="64" t="inlineStr">
        <is>
          <t>حصة 6</t>
        </is>
      </c>
      <c r="CY2" s="4" t="n"/>
      <c r="CZ2" s="64" t="inlineStr">
        <is>
          <t>حصة 7</t>
        </is>
      </c>
      <c r="DA2" s="4" t="n"/>
      <c r="DB2" s="64" t="inlineStr">
        <is>
          <t>حصة 8</t>
        </is>
      </c>
      <c r="DC2" s="4" t="n"/>
      <c r="DD2" s="64" t="inlineStr">
        <is>
          <t>المصاريف</t>
        </is>
      </c>
      <c r="DE2" s="65" t="inlineStr">
        <is>
          <t>حصة 1</t>
        </is>
      </c>
      <c r="DF2" s="4" t="n"/>
      <c r="DG2" s="65" t="inlineStr">
        <is>
          <t>حصة 2</t>
        </is>
      </c>
      <c r="DH2" s="4" t="n"/>
      <c r="DI2" s="65" t="inlineStr">
        <is>
          <t>حصة 3</t>
        </is>
      </c>
      <c r="DJ2" s="4" t="n"/>
      <c r="DK2" s="65" t="inlineStr">
        <is>
          <t>حصة 4</t>
        </is>
      </c>
      <c r="DL2" s="4" t="n"/>
      <c r="DM2" s="65" t="inlineStr">
        <is>
          <t>حصة 5</t>
        </is>
      </c>
      <c r="DN2" s="4" t="n"/>
      <c r="DO2" s="65" t="inlineStr">
        <is>
          <t>حصة 6</t>
        </is>
      </c>
      <c r="DP2" s="4" t="n"/>
      <c r="DQ2" s="65" t="inlineStr">
        <is>
          <t>حصة 7</t>
        </is>
      </c>
      <c r="DR2" s="4" t="n"/>
      <c r="DS2" s="65" t="inlineStr">
        <is>
          <t>حصة 8</t>
        </is>
      </c>
      <c r="DT2" s="4" t="n"/>
      <c r="DU2" s="65" t="inlineStr">
        <is>
          <t>المصاريف</t>
        </is>
      </c>
      <c r="DV2" s="66" t="inlineStr">
        <is>
          <t>حصة 1</t>
        </is>
      </c>
      <c r="DW2" s="4" t="n"/>
      <c r="DX2" s="66" t="inlineStr">
        <is>
          <t>حصة 2</t>
        </is>
      </c>
      <c r="DY2" s="4" t="n"/>
      <c r="DZ2" s="66" t="inlineStr">
        <is>
          <t>حصة 3</t>
        </is>
      </c>
      <c r="EA2" s="4" t="n"/>
      <c r="EB2" s="66" t="inlineStr">
        <is>
          <t>حصة 4</t>
        </is>
      </c>
      <c r="EC2" s="4" t="n"/>
      <c r="ED2" s="66" t="inlineStr">
        <is>
          <t>حصة 5</t>
        </is>
      </c>
      <c r="EE2" s="4" t="n"/>
      <c r="EF2" s="66" t="inlineStr">
        <is>
          <t>حصة 6</t>
        </is>
      </c>
      <c r="EG2" s="4" t="n"/>
      <c r="EH2" s="66" t="inlineStr">
        <is>
          <t>حصة 7</t>
        </is>
      </c>
      <c r="EI2" s="4" t="n"/>
      <c r="EJ2" s="66" t="inlineStr">
        <is>
          <t>حصة 8</t>
        </is>
      </c>
      <c r="EK2" s="4" t="n"/>
      <c r="EL2" s="66" t="inlineStr">
        <is>
          <t>المصاريف</t>
        </is>
      </c>
      <c r="EM2" s="67" t="inlineStr">
        <is>
          <t>حصة 1</t>
        </is>
      </c>
      <c r="EN2" s="4" t="n"/>
      <c r="EO2" s="67" t="inlineStr">
        <is>
          <t>حصة 2</t>
        </is>
      </c>
      <c r="EP2" s="4" t="n"/>
      <c r="EQ2" s="67" t="inlineStr">
        <is>
          <t>حصة 3</t>
        </is>
      </c>
      <c r="ER2" s="4" t="n"/>
      <c r="ES2" s="67" t="inlineStr">
        <is>
          <t>حصة 4</t>
        </is>
      </c>
      <c r="ET2" s="4" t="n"/>
      <c r="EU2" s="67" t="inlineStr">
        <is>
          <t>حصة 5</t>
        </is>
      </c>
      <c r="EV2" s="4" t="n"/>
      <c r="EW2" s="67" t="inlineStr">
        <is>
          <t>حصة 6</t>
        </is>
      </c>
      <c r="EX2" s="4" t="n"/>
      <c r="EY2" s="67" t="inlineStr">
        <is>
          <t>حصة 7</t>
        </is>
      </c>
      <c r="EZ2" s="4" t="n"/>
      <c r="FA2" s="67" t="inlineStr">
        <is>
          <t>حصة 8</t>
        </is>
      </c>
      <c r="FB2" s="4" t="n"/>
      <c r="FC2" s="67" t="inlineStr">
        <is>
          <t>المصاريف</t>
        </is>
      </c>
      <c r="FD2" s="68" t="inlineStr">
        <is>
          <t>حصة 1</t>
        </is>
      </c>
      <c r="FE2" s="4" t="n"/>
      <c r="FF2" s="68" t="inlineStr">
        <is>
          <t>حصة 2</t>
        </is>
      </c>
      <c r="FG2" s="4" t="n"/>
      <c r="FH2" s="68" t="inlineStr">
        <is>
          <t>حصة 3</t>
        </is>
      </c>
      <c r="FI2" s="4" t="n"/>
      <c r="FJ2" s="68" t="inlineStr">
        <is>
          <t>حصة 4</t>
        </is>
      </c>
      <c r="FK2" s="4" t="n"/>
      <c r="FL2" s="68" t="inlineStr">
        <is>
          <t>حصة 5</t>
        </is>
      </c>
      <c r="FM2" s="4" t="n"/>
      <c r="FN2" s="68" t="inlineStr">
        <is>
          <t>حصة 6</t>
        </is>
      </c>
      <c r="FO2" s="4" t="n"/>
      <c r="FP2" s="68" t="inlineStr">
        <is>
          <t>حصة 7</t>
        </is>
      </c>
      <c r="FQ2" s="4" t="n"/>
      <c r="FR2" s="68" t="inlineStr">
        <is>
          <t>حصة 8</t>
        </is>
      </c>
      <c r="FS2" s="4" t="n"/>
      <c r="FT2" s="68" t="inlineStr">
        <is>
          <t>المصاريف</t>
        </is>
      </c>
      <c r="FU2" s="69" t="inlineStr">
        <is>
          <t>حصة 1</t>
        </is>
      </c>
      <c r="FV2" s="4" t="n"/>
      <c r="FW2" s="69" t="inlineStr">
        <is>
          <t>حصة 2</t>
        </is>
      </c>
      <c r="FX2" s="4" t="n"/>
      <c r="FY2" s="69" t="inlineStr">
        <is>
          <t>حصة 3</t>
        </is>
      </c>
      <c r="FZ2" s="4" t="n"/>
      <c r="GA2" s="69" t="inlineStr">
        <is>
          <t>حصة 4</t>
        </is>
      </c>
      <c r="GB2" s="4" t="n"/>
      <c r="GC2" s="69" t="inlineStr">
        <is>
          <t>حصة 5</t>
        </is>
      </c>
      <c r="GD2" s="4" t="n"/>
      <c r="GE2" s="69" t="inlineStr">
        <is>
          <t>حصة 6</t>
        </is>
      </c>
      <c r="GF2" s="4" t="n"/>
      <c r="GG2" s="69" t="inlineStr">
        <is>
          <t>حصة 7</t>
        </is>
      </c>
      <c r="GH2" s="4" t="n"/>
      <c r="GI2" s="69" t="inlineStr">
        <is>
          <t>حصة 8</t>
        </is>
      </c>
      <c r="GJ2" s="4" t="n"/>
      <c r="GK2" s="69" t="inlineStr">
        <is>
          <t>المصاريف</t>
        </is>
      </c>
      <c r="GL2" s="70" t="inlineStr">
        <is>
          <t>حصة 1</t>
        </is>
      </c>
      <c r="GM2" s="4" t="n"/>
      <c r="GN2" s="70" t="inlineStr">
        <is>
          <t>حصة 2</t>
        </is>
      </c>
      <c r="GO2" s="4" t="n"/>
      <c r="GP2" s="70" t="inlineStr">
        <is>
          <t>حصة 3</t>
        </is>
      </c>
      <c r="GQ2" s="4" t="n"/>
      <c r="GR2" s="70" t="inlineStr">
        <is>
          <t>حصة 4</t>
        </is>
      </c>
      <c r="GS2" s="4" t="n"/>
      <c r="GT2" s="70" t="inlineStr">
        <is>
          <t>حصة 5</t>
        </is>
      </c>
      <c r="GU2" s="4" t="n"/>
      <c r="GV2" s="70" t="inlineStr">
        <is>
          <t>حصة 6</t>
        </is>
      </c>
      <c r="GW2" s="4" t="n"/>
      <c r="GX2" s="70" t="inlineStr">
        <is>
          <t>حصة 7</t>
        </is>
      </c>
      <c r="GY2" s="4" t="n"/>
      <c r="GZ2" s="70" t="inlineStr">
        <is>
          <t>حصة 8</t>
        </is>
      </c>
      <c r="HA2" s="4" t="n"/>
      <c r="HB2" s="70" t="inlineStr">
        <is>
          <t>المصاريف</t>
        </is>
      </c>
      <c r="HC2">
        <f>IF($HC$1=0,1,INT(($HC$1-1)/8)+1)</f>
        <v>1</v>
      </c>
      <c r="HD2">
        <f>IF(OR($F$27="",$F$27="الكل"),12,$HD$1)</f>
        <v>12</v>
      </c>
      <c r="HE2">
        <f>IF(SUMPRODUCT(($G$3:$HB$3=TODAY())*($G$20:$HB$20&gt;0))&gt;0,1,0)</f>
        <v>0</v>
      </c>
      <c r="HF2" t="str">
        <f>IF($HF$1="","",TODAY()+$HF$1)</f>
        <v/>
      </c>
    </row>
    <row r="3" ht="19.5" customHeight="1">
      <c r="A3" s="71" t="n"/>
      <c r="B3" s="72" t="n"/>
      <c r="C3" s="71" t="n"/>
      <c r="D3" s="73" t="n"/>
      <c r="E3" s="73" t="n"/>
      <c r="F3" s="72" t="n"/>
      <c r="G3" s="74" t="n"/>
      <c r="H3" s="4" t="n"/>
      <c r="I3" s="74" t="n"/>
      <c r="J3" s="4" t="n"/>
      <c r="K3" s="74" t="n"/>
      <c r="L3" s="4" t="n"/>
      <c r="M3" s="74" t="n"/>
      <c r="N3" s="4" t="n"/>
      <c r="O3" s="74" t="n"/>
      <c r="P3" s="4" t="n"/>
      <c r="Q3" s="74" t="n"/>
      <c r="R3" s="4" t="n"/>
      <c r="S3" s="74" t="n"/>
      <c r="T3" s="4" t="n"/>
      <c r="U3" s="74" t="n"/>
      <c r="V3" s="4" t="n"/>
      <c r="W3" s="75" t="n"/>
      <c r="X3" s="74" t="n"/>
      <c r="Y3" s="4" t="n"/>
      <c r="Z3" s="74" t="n"/>
      <c r="AA3" s="4" t="n"/>
      <c r="AB3" s="74" t="n"/>
      <c r="AC3" s="4" t="n"/>
      <c r="AD3" s="74" t="n"/>
      <c r="AE3" s="4" t="n"/>
      <c r="AF3" s="74" t="n"/>
      <c r="AG3" s="4" t="n"/>
      <c r="AH3" s="74" t="n"/>
      <c r="AI3" s="4" t="n"/>
      <c r="AJ3" s="74" t="n"/>
      <c r="AK3" s="4" t="n"/>
      <c r="AL3" s="74" t="n"/>
      <c r="AM3" s="4" t="n"/>
      <c r="AN3" s="75" t="n"/>
      <c r="AO3" s="74" t="n"/>
      <c r="AP3" s="4" t="n"/>
      <c r="AQ3" s="74" t="n"/>
      <c r="AR3" s="4" t="n"/>
      <c r="AS3" s="74" t="n"/>
      <c r="AT3" s="4" t="n"/>
      <c r="AU3" s="74" t="n"/>
      <c r="AV3" s="4" t="n"/>
      <c r="AW3" s="74" t="n"/>
      <c r="AX3" s="4" t="n"/>
      <c r="AY3" s="74" t="n"/>
      <c r="AZ3" s="4" t="n"/>
      <c r="BA3" s="74" t="n"/>
      <c r="BB3" s="4" t="n"/>
      <c r="BC3" s="74" t="n"/>
      <c r="BD3" s="4" t="n"/>
      <c r="BE3" s="75" t="n"/>
      <c r="BF3" s="74" t="n"/>
      <c r="BG3" s="4" t="n"/>
      <c r="BH3" s="74" t="n"/>
      <c r="BI3" s="4" t="n"/>
      <c r="BJ3" s="74" t="n"/>
      <c r="BK3" s="4" t="n"/>
      <c r="BL3" s="74" t="n"/>
      <c r="BM3" s="4" t="n"/>
      <c r="BN3" s="74" t="n"/>
      <c r="BO3" s="4" t="n"/>
      <c r="BP3" s="74" t="n"/>
      <c r="BQ3" s="4" t="n"/>
      <c r="BR3" s="74" t="n"/>
      <c r="BS3" s="4" t="n"/>
      <c r="BT3" s="74" t="n"/>
      <c r="BU3" s="4" t="n"/>
      <c r="BV3" s="75" t="n"/>
      <c r="BW3" s="74" t="n"/>
      <c r="BX3" s="4" t="n"/>
      <c r="BY3" s="74" t="n"/>
      <c r="BZ3" s="4" t="n"/>
      <c r="CA3" s="74" t="n"/>
      <c r="CB3" s="4" t="n"/>
      <c r="CC3" s="74" t="n"/>
      <c r="CD3" s="4" t="n"/>
      <c r="CE3" s="74" t="n"/>
      <c r="CF3" s="4" t="n"/>
      <c r="CG3" s="74" t="n"/>
      <c r="CH3" s="4" t="n"/>
      <c r="CI3" s="74" t="n"/>
      <c r="CJ3" s="4" t="n"/>
      <c r="CK3" s="74" t="n"/>
      <c r="CL3" s="4" t="n"/>
      <c r="CM3" s="75" t="n"/>
      <c r="CN3" s="74" t="n"/>
      <c r="CO3" s="4" t="n"/>
      <c r="CP3" s="74" t="n"/>
      <c r="CQ3" s="4" t="n"/>
      <c r="CR3" s="74" t="n"/>
      <c r="CS3" s="4" t="n"/>
      <c r="CT3" s="74" t="n"/>
      <c r="CU3" s="4" t="n"/>
      <c r="CV3" s="74" t="n"/>
      <c r="CW3" s="4" t="n"/>
      <c r="CX3" s="74" t="n"/>
      <c r="CY3" s="4" t="n"/>
      <c r="CZ3" s="74" t="n"/>
      <c r="DA3" s="4" t="n"/>
      <c r="DB3" s="74" t="n"/>
      <c r="DC3" s="4" t="n"/>
      <c r="DD3" s="75" t="n"/>
      <c r="DE3" s="74" t="n"/>
      <c r="DF3" s="4" t="n"/>
      <c r="DG3" s="74" t="n"/>
      <c r="DH3" s="4" t="n"/>
      <c r="DI3" s="74" t="n"/>
      <c r="DJ3" s="4" t="n"/>
      <c r="DK3" s="74" t="n"/>
      <c r="DL3" s="4" t="n"/>
      <c r="DM3" s="74" t="n"/>
      <c r="DN3" s="4" t="n"/>
      <c r="DO3" s="74" t="n"/>
      <c r="DP3" s="4" t="n"/>
      <c r="DQ3" s="74" t="n"/>
      <c r="DR3" s="4" t="n"/>
      <c r="DS3" s="74" t="n"/>
      <c r="DT3" s="4" t="n"/>
      <c r="DU3" s="75" t="n"/>
      <c r="DV3" s="74" t="n"/>
      <c r="DW3" s="4" t="n"/>
      <c r="DX3" s="74" t="n"/>
      <c r="DY3" s="4" t="n"/>
      <c r="DZ3" s="74" t="n"/>
      <c r="EA3" s="4" t="n"/>
      <c r="EB3" s="74" t="n"/>
      <c r="EC3" s="4" t="n"/>
      <c r="ED3" s="74" t="n"/>
      <c r="EE3" s="4" t="n"/>
      <c r="EF3" s="74" t="n"/>
      <c r="EG3" s="4" t="n"/>
      <c r="EH3" s="74" t="n"/>
      <c r="EI3" s="4" t="n"/>
      <c r="EJ3" s="74" t="n"/>
      <c r="EK3" s="4" t="n"/>
      <c r="EL3" s="75" t="n"/>
      <c r="EM3" s="74" t="n"/>
      <c r="EN3" s="4" t="n"/>
      <c r="EO3" s="74" t="n"/>
      <c r="EP3" s="4" t="n"/>
      <c r="EQ3" s="74" t="n"/>
      <c r="ER3" s="4" t="n"/>
      <c r="ES3" s="74" t="n"/>
      <c r="ET3" s="4" t="n"/>
      <c r="EU3" s="74" t="n"/>
      <c r="EV3" s="4" t="n"/>
      <c r="EW3" s="74" t="n"/>
      <c r="EX3" s="4" t="n"/>
      <c r="EY3" s="74" t="n"/>
      <c r="EZ3" s="4" t="n"/>
      <c r="FA3" s="74" t="n"/>
      <c r="FB3" s="4" t="n"/>
      <c r="FC3" s="75" t="n"/>
      <c r="FD3" s="74" t="n"/>
      <c r="FE3" s="4" t="n"/>
      <c r="FF3" s="74" t="n"/>
      <c r="FG3" s="4" t="n"/>
      <c r="FH3" s="74" t="n"/>
      <c r="FI3" s="4" t="n"/>
      <c r="FJ3" s="74" t="n"/>
      <c r="FK3" s="4" t="n"/>
      <c r="FL3" s="74" t="n"/>
      <c r="FM3" s="4" t="n"/>
      <c r="FN3" s="74" t="n"/>
      <c r="FO3" s="4" t="n"/>
      <c r="FP3" s="74" t="n"/>
      <c r="FQ3" s="4" t="n"/>
      <c r="FR3" s="74" t="n"/>
      <c r="FS3" s="4" t="n"/>
      <c r="FT3" s="75" t="n"/>
      <c r="FU3" s="74" t="n"/>
      <c r="FV3" s="4" t="n"/>
      <c r="FW3" s="74" t="n"/>
      <c r="FX3" s="4" t="n"/>
      <c r="FY3" s="74" t="n"/>
      <c r="FZ3" s="4" t="n"/>
      <c r="GA3" s="74" t="n"/>
      <c r="GB3" s="4" t="n"/>
      <c r="GC3" s="74" t="n"/>
      <c r="GD3" s="4" t="n"/>
      <c r="GE3" s="74" t="n"/>
      <c r="GF3" s="4" t="n"/>
      <c r="GG3" s="74" t="n"/>
      <c r="GH3" s="4" t="n"/>
      <c r="GI3" s="74" t="n"/>
      <c r="GJ3" s="4" t="n"/>
      <c r="GK3" s="75" t="n"/>
      <c r="GL3" s="74" t="n"/>
      <c r="GM3" s="4" t="n"/>
      <c r="GN3" s="74" t="n"/>
      <c r="GO3" s="4" t="n"/>
      <c r="GP3" s="74" t="n"/>
      <c r="GQ3" s="4" t="n"/>
      <c r="GR3" s="74" t="n"/>
      <c r="GS3" s="4" t="n"/>
      <c r="GT3" s="74" t="n"/>
      <c r="GU3" s="4" t="n"/>
      <c r="GV3" s="74" t="n"/>
      <c r="GW3" s="4" t="n"/>
      <c r="GX3" s="74" t="n"/>
      <c r="GY3" s="4" t="n"/>
      <c r="GZ3" s="74" t="n"/>
      <c r="HA3" s="4" t="n"/>
      <c r="HB3" s="75" t="n"/>
      <c r="HC3">
        <f>$HC$1-8*($HC$2-1)</f>
        <v>0</v>
      </c>
      <c r="HE3">
        <f>IF($A$1="",0,IF($HE$2=1,SUMPRODUCT(MAX(('المواعيد'!$D$5:$D$34=$A$1)*(8-'المواعيد'!$L$5:$L$34))),SUMPRODUCT(MAX(('المواعيد'!$D$5:$D$34=$A$1)*(8-'المواعيد'!$K$5:$K$34)))))</f>
        <v>0</v>
      </c>
      <c r="HF3">
        <f>IF($HF$1="",0,SUMPRODUCT(MAX(('المواعيد'!$D$5:$D$34=$A$1)*('المواعيد'!$G$5:$G$34=WEEKDAY($HF$2))*(ROW('المواعيد'!$D$5:$D$34)-4))))</f>
        <v>0</v>
      </c>
    </row>
    <row r="4" ht="16.5" customHeight="1">
      <c r="A4" s="76" t="inlineStr">
        <is>
          <t>م</t>
        </is>
      </c>
      <c r="B4" s="76" t="inlineStr">
        <is>
          <t>الاسم</t>
        </is>
      </c>
      <c r="C4" s="76" t="inlineStr">
        <is>
          <t>ولي الأمر</t>
        </is>
      </c>
      <c r="D4" s="76" t="inlineStr">
        <is>
          <t>غياب</t>
        </is>
      </c>
      <c r="E4" s="76" t="inlineStr">
        <is>
          <t>واجب</t>
        </is>
      </c>
      <c r="F4" s="76" t="inlineStr">
        <is>
          <t>المصاريف</t>
        </is>
      </c>
      <c r="G4" s="8" t="inlineStr">
        <is>
          <t>ح</t>
        </is>
      </c>
      <c r="H4" s="77" t="inlineStr">
        <is>
          <t>و</t>
        </is>
      </c>
      <c r="I4" s="8" t="inlineStr">
        <is>
          <t>ح</t>
        </is>
      </c>
      <c r="J4" s="77" t="inlineStr">
        <is>
          <t>و</t>
        </is>
      </c>
      <c r="K4" s="8" t="inlineStr">
        <is>
          <t>ح</t>
        </is>
      </c>
      <c r="L4" s="77" t="inlineStr">
        <is>
          <t>و</t>
        </is>
      </c>
      <c r="M4" s="8" t="inlineStr">
        <is>
          <t>ح</t>
        </is>
      </c>
      <c r="N4" s="77" t="inlineStr">
        <is>
          <t>و</t>
        </is>
      </c>
      <c r="O4" s="8" t="inlineStr">
        <is>
          <t>ح</t>
        </is>
      </c>
      <c r="P4" s="77" t="inlineStr">
        <is>
          <t>و</t>
        </is>
      </c>
      <c r="Q4" s="8" t="inlineStr">
        <is>
          <t>ح</t>
        </is>
      </c>
      <c r="R4" s="77" t="inlineStr">
        <is>
          <t>و</t>
        </is>
      </c>
      <c r="S4" s="8" t="inlineStr">
        <is>
          <t>ح</t>
        </is>
      </c>
      <c r="T4" s="77" t="inlineStr">
        <is>
          <t>و</t>
        </is>
      </c>
      <c r="U4" s="8" t="inlineStr">
        <is>
          <t>ح</t>
        </is>
      </c>
      <c r="V4" s="77" t="inlineStr">
        <is>
          <t>و</t>
        </is>
      </c>
      <c r="W4" s="77" t="inlineStr">
        <is>
          <t>دفع</t>
        </is>
      </c>
      <c r="X4" s="9" t="inlineStr">
        <is>
          <t>ح</t>
        </is>
      </c>
      <c r="Y4" s="78" t="inlineStr">
        <is>
          <t>و</t>
        </is>
      </c>
      <c r="Z4" s="9" t="inlineStr">
        <is>
          <t>ح</t>
        </is>
      </c>
      <c r="AA4" s="78" t="inlineStr">
        <is>
          <t>و</t>
        </is>
      </c>
      <c r="AB4" s="9" t="inlineStr">
        <is>
          <t>ح</t>
        </is>
      </c>
      <c r="AC4" s="78" t="inlineStr">
        <is>
          <t>و</t>
        </is>
      </c>
      <c r="AD4" s="9" t="inlineStr">
        <is>
          <t>ح</t>
        </is>
      </c>
      <c r="AE4" s="78" t="inlineStr">
        <is>
          <t>و</t>
        </is>
      </c>
      <c r="AF4" s="9" t="inlineStr">
        <is>
          <t>ح</t>
        </is>
      </c>
      <c r="AG4" s="78" t="inlineStr">
        <is>
          <t>و</t>
        </is>
      </c>
      <c r="AH4" s="9" t="inlineStr">
        <is>
          <t>ح</t>
        </is>
      </c>
      <c r="AI4" s="78" t="inlineStr">
        <is>
          <t>و</t>
        </is>
      </c>
      <c r="AJ4" s="9" t="inlineStr">
        <is>
          <t>ح</t>
        </is>
      </c>
      <c r="AK4" s="78" t="inlineStr">
        <is>
          <t>و</t>
        </is>
      </c>
      <c r="AL4" s="9" t="inlineStr">
        <is>
          <t>ح</t>
        </is>
      </c>
      <c r="AM4" s="78" t="inlineStr">
        <is>
          <t>و</t>
        </is>
      </c>
      <c r="AN4" s="78" t="inlineStr">
        <is>
          <t>دفع</t>
        </is>
      </c>
      <c r="AO4" s="10" t="inlineStr">
        <is>
          <t>ح</t>
        </is>
      </c>
      <c r="AP4" s="79" t="inlineStr">
        <is>
          <t>و</t>
        </is>
      </c>
      <c r="AQ4" s="10" t="inlineStr">
        <is>
          <t>ح</t>
        </is>
      </c>
      <c r="AR4" s="79" t="inlineStr">
        <is>
          <t>و</t>
        </is>
      </c>
      <c r="AS4" s="10" t="inlineStr">
        <is>
          <t>ح</t>
        </is>
      </c>
      <c r="AT4" s="79" t="inlineStr">
        <is>
          <t>و</t>
        </is>
      </c>
      <c r="AU4" s="10" t="inlineStr">
        <is>
          <t>ح</t>
        </is>
      </c>
      <c r="AV4" s="79" t="inlineStr">
        <is>
          <t>و</t>
        </is>
      </c>
      <c r="AW4" s="10" t="inlineStr">
        <is>
          <t>ح</t>
        </is>
      </c>
      <c r="AX4" s="79" t="inlineStr">
        <is>
          <t>و</t>
        </is>
      </c>
      <c r="AY4" s="10" t="inlineStr">
        <is>
          <t>ح</t>
        </is>
      </c>
      <c r="AZ4" s="79" t="inlineStr">
        <is>
          <t>و</t>
        </is>
      </c>
      <c r="BA4" s="10" t="inlineStr">
        <is>
          <t>ح</t>
        </is>
      </c>
      <c r="BB4" s="79" t="inlineStr">
        <is>
          <t>و</t>
        </is>
      </c>
      <c r="BC4" s="10" t="inlineStr">
        <is>
          <t>ح</t>
        </is>
      </c>
      <c r="BD4" s="79" t="inlineStr">
        <is>
          <t>و</t>
        </is>
      </c>
      <c r="BE4" s="79" t="inlineStr">
        <is>
          <t>دفع</t>
        </is>
      </c>
      <c r="BF4" s="11" t="inlineStr">
        <is>
          <t>ح</t>
        </is>
      </c>
      <c r="BG4" s="80" t="inlineStr">
        <is>
          <t>و</t>
        </is>
      </c>
      <c r="BH4" s="11" t="inlineStr">
        <is>
          <t>ح</t>
        </is>
      </c>
      <c r="BI4" s="80" t="inlineStr">
        <is>
          <t>و</t>
        </is>
      </c>
      <c r="BJ4" s="11" t="inlineStr">
        <is>
          <t>ح</t>
        </is>
      </c>
      <c r="BK4" s="80" t="inlineStr">
        <is>
          <t>و</t>
        </is>
      </c>
      <c r="BL4" s="11" t="inlineStr">
        <is>
          <t>ح</t>
        </is>
      </c>
      <c r="BM4" s="80" t="inlineStr">
        <is>
          <t>و</t>
        </is>
      </c>
      <c r="BN4" s="11" t="inlineStr">
        <is>
          <t>ح</t>
        </is>
      </c>
      <c r="BO4" s="80" t="inlineStr">
        <is>
          <t>و</t>
        </is>
      </c>
      <c r="BP4" s="11" t="inlineStr">
        <is>
          <t>ح</t>
        </is>
      </c>
      <c r="BQ4" s="80" t="inlineStr">
        <is>
          <t>و</t>
        </is>
      </c>
      <c r="BR4" s="11" t="inlineStr">
        <is>
          <t>ح</t>
        </is>
      </c>
      <c r="BS4" s="80" t="inlineStr">
        <is>
          <t>و</t>
        </is>
      </c>
      <c r="BT4" s="11" t="inlineStr">
        <is>
          <t>ح</t>
        </is>
      </c>
      <c r="BU4" s="80" t="inlineStr">
        <is>
          <t>و</t>
        </is>
      </c>
      <c r="BV4" s="80" t="inlineStr">
        <is>
          <t>دفع</t>
        </is>
      </c>
      <c r="BW4" s="81" t="inlineStr">
        <is>
          <t>ح</t>
        </is>
      </c>
      <c r="BX4" s="82" t="inlineStr">
        <is>
          <t>و</t>
        </is>
      </c>
      <c r="BY4" s="81" t="inlineStr">
        <is>
          <t>ح</t>
        </is>
      </c>
      <c r="BZ4" s="82" t="inlineStr">
        <is>
          <t>و</t>
        </is>
      </c>
      <c r="CA4" s="81" t="inlineStr">
        <is>
          <t>ح</t>
        </is>
      </c>
      <c r="CB4" s="82" t="inlineStr">
        <is>
          <t>و</t>
        </is>
      </c>
      <c r="CC4" s="81" t="inlineStr">
        <is>
          <t>ح</t>
        </is>
      </c>
      <c r="CD4" s="82" t="inlineStr">
        <is>
          <t>و</t>
        </is>
      </c>
      <c r="CE4" s="81" t="inlineStr">
        <is>
          <t>ح</t>
        </is>
      </c>
      <c r="CF4" s="82" t="inlineStr">
        <is>
          <t>و</t>
        </is>
      </c>
      <c r="CG4" s="81" t="inlineStr">
        <is>
          <t>ح</t>
        </is>
      </c>
      <c r="CH4" s="82" t="inlineStr">
        <is>
          <t>و</t>
        </is>
      </c>
      <c r="CI4" s="81" t="inlineStr">
        <is>
          <t>ح</t>
        </is>
      </c>
      <c r="CJ4" s="82" t="inlineStr">
        <is>
          <t>و</t>
        </is>
      </c>
      <c r="CK4" s="81" t="inlineStr">
        <is>
          <t>ح</t>
        </is>
      </c>
      <c r="CL4" s="82" t="inlineStr">
        <is>
          <t>و</t>
        </is>
      </c>
      <c r="CM4" s="82" t="inlineStr">
        <is>
          <t>دفع</t>
        </is>
      </c>
      <c r="CN4" s="83" t="inlineStr">
        <is>
          <t>ح</t>
        </is>
      </c>
      <c r="CO4" s="84" t="inlineStr">
        <is>
          <t>و</t>
        </is>
      </c>
      <c r="CP4" s="83" t="inlineStr">
        <is>
          <t>ح</t>
        </is>
      </c>
      <c r="CQ4" s="84" t="inlineStr">
        <is>
          <t>و</t>
        </is>
      </c>
      <c r="CR4" s="83" t="inlineStr">
        <is>
          <t>ح</t>
        </is>
      </c>
      <c r="CS4" s="84" t="inlineStr">
        <is>
          <t>و</t>
        </is>
      </c>
      <c r="CT4" s="83" t="inlineStr">
        <is>
          <t>ح</t>
        </is>
      </c>
      <c r="CU4" s="84" t="inlineStr">
        <is>
          <t>و</t>
        </is>
      </c>
      <c r="CV4" s="83" t="inlineStr">
        <is>
          <t>ح</t>
        </is>
      </c>
      <c r="CW4" s="84" t="inlineStr">
        <is>
          <t>و</t>
        </is>
      </c>
      <c r="CX4" s="83" t="inlineStr">
        <is>
          <t>ح</t>
        </is>
      </c>
      <c r="CY4" s="84" t="inlineStr">
        <is>
          <t>و</t>
        </is>
      </c>
      <c r="CZ4" s="83" t="inlineStr">
        <is>
          <t>ح</t>
        </is>
      </c>
      <c r="DA4" s="84" t="inlineStr">
        <is>
          <t>و</t>
        </is>
      </c>
      <c r="DB4" s="83" t="inlineStr">
        <is>
          <t>ح</t>
        </is>
      </c>
      <c r="DC4" s="84" t="inlineStr">
        <is>
          <t>و</t>
        </is>
      </c>
      <c r="DD4" s="84" t="inlineStr">
        <is>
          <t>دفع</t>
        </is>
      </c>
      <c r="DE4" s="85" t="inlineStr">
        <is>
          <t>ح</t>
        </is>
      </c>
      <c r="DF4" s="86" t="inlineStr">
        <is>
          <t>و</t>
        </is>
      </c>
      <c r="DG4" s="85" t="inlineStr">
        <is>
          <t>ح</t>
        </is>
      </c>
      <c r="DH4" s="86" t="inlineStr">
        <is>
          <t>و</t>
        </is>
      </c>
      <c r="DI4" s="85" t="inlineStr">
        <is>
          <t>ح</t>
        </is>
      </c>
      <c r="DJ4" s="86" t="inlineStr">
        <is>
          <t>و</t>
        </is>
      </c>
      <c r="DK4" s="85" t="inlineStr">
        <is>
          <t>ح</t>
        </is>
      </c>
      <c r="DL4" s="86" t="inlineStr">
        <is>
          <t>و</t>
        </is>
      </c>
      <c r="DM4" s="85" t="inlineStr">
        <is>
          <t>ح</t>
        </is>
      </c>
      <c r="DN4" s="86" t="inlineStr">
        <is>
          <t>و</t>
        </is>
      </c>
      <c r="DO4" s="85" t="inlineStr">
        <is>
          <t>ح</t>
        </is>
      </c>
      <c r="DP4" s="86" t="inlineStr">
        <is>
          <t>و</t>
        </is>
      </c>
      <c r="DQ4" s="85" t="inlineStr">
        <is>
          <t>ح</t>
        </is>
      </c>
      <c r="DR4" s="86" t="inlineStr">
        <is>
          <t>و</t>
        </is>
      </c>
      <c r="DS4" s="85" t="inlineStr">
        <is>
          <t>ح</t>
        </is>
      </c>
      <c r="DT4" s="86" t="inlineStr">
        <is>
          <t>و</t>
        </is>
      </c>
      <c r="DU4" s="86" t="inlineStr">
        <is>
          <t>دفع</t>
        </is>
      </c>
      <c r="DV4" s="87" t="inlineStr">
        <is>
          <t>ح</t>
        </is>
      </c>
      <c r="DW4" s="88" t="inlineStr">
        <is>
          <t>و</t>
        </is>
      </c>
      <c r="DX4" s="87" t="inlineStr">
        <is>
          <t>ح</t>
        </is>
      </c>
      <c r="DY4" s="88" t="inlineStr">
        <is>
          <t>و</t>
        </is>
      </c>
      <c r="DZ4" s="87" t="inlineStr">
        <is>
          <t>ح</t>
        </is>
      </c>
      <c r="EA4" s="88" t="inlineStr">
        <is>
          <t>و</t>
        </is>
      </c>
      <c r="EB4" s="87" t="inlineStr">
        <is>
          <t>ح</t>
        </is>
      </c>
      <c r="EC4" s="88" t="inlineStr">
        <is>
          <t>و</t>
        </is>
      </c>
      <c r="ED4" s="87" t="inlineStr">
        <is>
          <t>ح</t>
        </is>
      </c>
      <c r="EE4" s="88" t="inlineStr">
        <is>
          <t>و</t>
        </is>
      </c>
      <c r="EF4" s="87" t="inlineStr">
        <is>
          <t>ح</t>
        </is>
      </c>
      <c r="EG4" s="88" t="inlineStr">
        <is>
          <t>و</t>
        </is>
      </c>
      <c r="EH4" s="87" t="inlineStr">
        <is>
          <t>ح</t>
        </is>
      </c>
      <c r="EI4" s="88" t="inlineStr">
        <is>
          <t>و</t>
        </is>
      </c>
      <c r="EJ4" s="87" t="inlineStr">
        <is>
          <t>ح</t>
        </is>
      </c>
      <c r="EK4" s="88" t="inlineStr">
        <is>
          <t>و</t>
        </is>
      </c>
      <c r="EL4" s="88" t="inlineStr">
        <is>
          <t>دفع</t>
        </is>
      </c>
      <c r="EM4" s="89" t="inlineStr">
        <is>
          <t>ح</t>
        </is>
      </c>
      <c r="EN4" s="90" t="inlineStr">
        <is>
          <t>و</t>
        </is>
      </c>
      <c r="EO4" s="89" t="inlineStr">
        <is>
          <t>ح</t>
        </is>
      </c>
      <c r="EP4" s="90" t="inlineStr">
        <is>
          <t>و</t>
        </is>
      </c>
      <c r="EQ4" s="89" t="inlineStr">
        <is>
          <t>ح</t>
        </is>
      </c>
      <c r="ER4" s="90" t="inlineStr">
        <is>
          <t>و</t>
        </is>
      </c>
      <c r="ES4" s="89" t="inlineStr">
        <is>
          <t>ح</t>
        </is>
      </c>
      <c r="ET4" s="90" t="inlineStr">
        <is>
          <t>و</t>
        </is>
      </c>
      <c r="EU4" s="89" t="inlineStr">
        <is>
          <t>ح</t>
        </is>
      </c>
      <c r="EV4" s="90" t="inlineStr">
        <is>
          <t>و</t>
        </is>
      </c>
      <c r="EW4" s="89" t="inlineStr">
        <is>
          <t>ح</t>
        </is>
      </c>
      <c r="EX4" s="90" t="inlineStr">
        <is>
          <t>و</t>
        </is>
      </c>
      <c r="EY4" s="89" t="inlineStr">
        <is>
          <t>ح</t>
        </is>
      </c>
      <c r="EZ4" s="90" t="inlineStr">
        <is>
          <t>و</t>
        </is>
      </c>
      <c r="FA4" s="89" t="inlineStr">
        <is>
          <t>ح</t>
        </is>
      </c>
      <c r="FB4" s="90" t="inlineStr">
        <is>
          <t>و</t>
        </is>
      </c>
      <c r="FC4" s="90" t="inlineStr">
        <is>
          <t>دفع</t>
        </is>
      </c>
      <c r="FD4" s="91" t="inlineStr">
        <is>
          <t>ح</t>
        </is>
      </c>
      <c r="FE4" s="92" t="inlineStr">
        <is>
          <t>و</t>
        </is>
      </c>
      <c r="FF4" s="91" t="inlineStr">
        <is>
          <t>ح</t>
        </is>
      </c>
      <c r="FG4" s="92" t="inlineStr">
        <is>
          <t>و</t>
        </is>
      </c>
      <c r="FH4" s="91" t="inlineStr">
        <is>
          <t>ح</t>
        </is>
      </c>
      <c r="FI4" s="92" t="inlineStr">
        <is>
          <t>و</t>
        </is>
      </c>
      <c r="FJ4" s="91" t="inlineStr">
        <is>
          <t>ح</t>
        </is>
      </c>
      <c r="FK4" s="92" t="inlineStr">
        <is>
          <t>و</t>
        </is>
      </c>
      <c r="FL4" s="91" t="inlineStr">
        <is>
          <t>ح</t>
        </is>
      </c>
      <c r="FM4" s="92" t="inlineStr">
        <is>
          <t>و</t>
        </is>
      </c>
      <c r="FN4" s="91" t="inlineStr">
        <is>
          <t>ح</t>
        </is>
      </c>
      <c r="FO4" s="92" t="inlineStr">
        <is>
          <t>و</t>
        </is>
      </c>
      <c r="FP4" s="91" t="inlineStr">
        <is>
          <t>ح</t>
        </is>
      </c>
      <c r="FQ4" s="92" t="inlineStr">
        <is>
          <t>و</t>
        </is>
      </c>
      <c r="FR4" s="91" t="inlineStr">
        <is>
          <t>ح</t>
        </is>
      </c>
      <c r="FS4" s="92" t="inlineStr">
        <is>
          <t>و</t>
        </is>
      </c>
      <c r="FT4" s="92" t="inlineStr">
        <is>
          <t>دفع</t>
        </is>
      </c>
      <c r="FU4" s="93" t="inlineStr">
        <is>
          <t>ح</t>
        </is>
      </c>
      <c r="FV4" s="94" t="inlineStr">
        <is>
          <t>و</t>
        </is>
      </c>
      <c r="FW4" s="93" t="inlineStr">
        <is>
          <t>ح</t>
        </is>
      </c>
      <c r="FX4" s="94" t="inlineStr">
        <is>
          <t>و</t>
        </is>
      </c>
      <c r="FY4" s="93" t="inlineStr">
        <is>
          <t>ح</t>
        </is>
      </c>
      <c r="FZ4" s="94" t="inlineStr">
        <is>
          <t>و</t>
        </is>
      </c>
      <c r="GA4" s="93" t="inlineStr">
        <is>
          <t>ح</t>
        </is>
      </c>
      <c r="GB4" s="94" t="inlineStr">
        <is>
          <t>و</t>
        </is>
      </c>
      <c r="GC4" s="93" t="inlineStr">
        <is>
          <t>ح</t>
        </is>
      </c>
      <c r="GD4" s="94" t="inlineStr">
        <is>
          <t>و</t>
        </is>
      </c>
      <c r="GE4" s="93" t="inlineStr">
        <is>
          <t>ح</t>
        </is>
      </c>
      <c r="GF4" s="94" t="inlineStr">
        <is>
          <t>و</t>
        </is>
      </c>
      <c r="GG4" s="93" t="inlineStr">
        <is>
          <t>ح</t>
        </is>
      </c>
      <c r="GH4" s="94" t="inlineStr">
        <is>
          <t>و</t>
        </is>
      </c>
      <c r="GI4" s="93" t="inlineStr">
        <is>
          <t>ح</t>
        </is>
      </c>
      <c r="GJ4" s="94" t="inlineStr">
        <is>
          <t>و</t>
        </is>
      </c>
      <c r="GK4" s="94" t="inlineStr">
        <is>
          <t>دفع</t>
        </is>
      </c>
      <c r="GL4" s="95" t="inlineStr">
        <is>
          <t>ح</t>
        </is>
      </c>
      <c r="GM4" s="96" t="inlineStr">
        <is>
          <t>و</t>
        </is>
      </c>
      <c r="GN4" s="95" t="inlineStr">
        <is>
          <t>ح</t>
        </is>
      </c>
      <c r="GO4" s="96" t="inlineStr">
        <is>
          <t>و</t>
        </is>
      </c>
      <c r="GP4" s="95" t="inlineStr">
        <is>
          <t>ح</t>
        </is>
      </c>
      <c r="GQ4" s="96" t="inlineStr">
        <is>
          <t>و</t>
        </is>
      </c>
      <c r="GR4" s="95" t="inlineStr">
        <is>
          <t>ح</t>
        </is>
      </c>
      <c r="GS4" s="96" t="inlineStr">
        <is>
          <t>و</t>
        </is>
      </c>
      <c r="GT4" s="95" t="inlineStr">
        <is>
          <t>ح</t>
        </is>
      </c>
      <c r="GU4" s="96" t="inlineStr">
        <is>
          <t>و</t>
        </is>
      </c>
      <c r="GV4" s="95" t="inlineStr">
        <is>
          <t>ح</t>
        </is>
      </c>
      <c r="GW4" s="96" t="inlineStr">
        <is>
          <t>و</t>
        </is>
      </c>
      <c r="GX4" s="95" t="inlineStr">
        <is>
          <t>ح</t>
        </is>
      </c>
      <c r="GY4" s="96" t="inlineStr">
        <is>
          <t>و</t>
        </is>
      </c>
      <c r="GZ4" s="95" t="inlineStr">
        <is>
          <t>ح</t>
        </is>
      </c>
      <c r="HA4" s="96" t="inlineStr">
        <is>
          <t>و</t>
        </is>
      </c>
      <c r="HB4" s="96" t="inlineStr">
        <is>
          <t>دفع</t>
        </is>
      </c>
      <c r="HF4" t="str">
        <f>IF($HF$1="","",IF($HF$1=0,"النهارده",IF($HF$1=1,"بكرة",INDEX('حسابات'!$A$2:$A$8,MATCH(WEEKDAY($HF$2),'حسابات'!$B$2:$B$8,0))))&amp;" "&amp;DAY($HF$2)&amp;"/"&amp;MONTH($HF$2)&amp;IF($HF$3=0,"",IF(INDEX('المواعيد'!$C$5:$C$34,$HF$3)="",""," – "&amp;INDEX('المواعيد'!$C$5:$C$34,$HF$3))))</f>
        <v/>
      </c>
    </row>
    <row r="5" ht="22.5" customHeight="1">
      <c r="A5" s="36" t="n">
        <v>1</v>
      </c>
      <c r="B5" s="97" t="n"/>
      <c r="C5" s="28" t="n"/>
      <c r="D5" s="98" t="str">
        <f>IF($B5="","",IF($HC5=97,"-",IF($HD5=0,"متوقف",SUMPRODUCT(($G$4:$HB$4="ح")*($G$20:$HB$20&gt;0)*($G5:$HB5&lt;&gt;TRUE)*($G$47:$HB$47&gt;$HC$1-8)*($G$47:$HB$47&gt;=$HC5)))))</f>
        <v/>
      </c>
      <c r="E5" s="98" t="str">
        <f>IF(OR($B5="",$HC5=97),"",SUMPRODUCT(($G$4:$HA$4="ح")*($G5:$HA5=TRUE)*($H5:$HB5&lt;&gt;TRUE)*($G$47:$HA$47&gt;$HC$1-8)))</f>
        <v/>
      </c>
      <c r="F5" s="99" t="str">
        <f>IF($B5="","",IF($HE5=0,IF($HC5=97,"-","تمام"),IF($HE5=1,IF(INDEX($G$1:$HB$1,1,17*($HF5-1)+1)="","شهر "&amp;$HF5,INDEX($G$1:$HB$1,1,17*($HF5-1)+1)),IF($HE5=2,"شهرين",$HE5&amp;" شهور"))))</f>
        <v/>
      </c>
      <c r="G5" s="100" t="n"/>
      <c r="H5" s="101" t="n"/>
      <c r="I5" s="100" t="n"/>
      <c r="J5" s="101" t="n"/>
      <c r="K5" s="100" t="n"/>
      <c r="L5" s="101" t="n"/>
      <c r="M5" s="100" t="n"/>
      <c r="N5" s="101" t="n"/>
      <c r="O5" s="100" t="n"/>
      <c r="P5" s="101" t="n"/>
      <c r="Q5" s="100" t="n"/>
      <c r="R5" s="101" t="n"/>
      <c r="S5" s="100" t="n"/>
      <c r="T5" s="101" t="n"/>
      <c r="U5" s="100" t="n"/>
      <c r="V5" s="101" t="n"/>
      <c r="W5" s="102" t="n"/>
      <c r="X5" s="103" t="n"/>
      <c r="Y5" s="104" t="n"/>
      <c r="Z5" s="103" t="n"/>
      <c r="AA5" s="104" t="n"/>
      <c r="AB5" s="103" t="n"/>
      <c r="AC5" s="104" t="n"/>
      <c r="AD5" s="103" t="n"/>
      <c r="AE5" s="104" t="n"/>
      <c r="AF5" s="103" t="n"/>
      <c r="AG5" s="104" t="n"/>
      <c r="AH5" s="103" t="n"/>
      <c r="AI5" s="104" t="n"/>
      <c r="AJ5" s="103" t="n"/>
      <c r="AK5" s="104" t="n"/>
      <c r="AL5" s="103" t="n"/>
      <c r="AM5" s="104" t="n"/>
      <c r="AN5" s="105" t="n"/>
      <c r="AO5" s="106" t="n"/>
      <c r="AP5" s="107" t="n"/>
      <c r="AQ5" s="106" t="n"/>
      <c r="AR5" s="107" t="n"/>
      <c r="AS5" s="106" t="n"/>
      <c r="AT5" s="107" t="n"/>
      <c r="AU5" s="106" t="n"/>
      <c r="AV5" s="107" t="n"/>
      <c r="AW5" s="106" t="n"/>
      <c r="AX5" s="107" t="n"/>
      <c r="AY5" s="106" t="n"/>
      <c r="AZ5" s="107" t="n"/>
      <c r="BA5" s="106" t="n"/>
      <c r="BB5" s="107" t="n"/>
      <c r="BC5" s="106" t="n"/>
      <c r="BD5" s="107" t="n"/>
      <c r="BE5" s="108" t="n"/>
      <c r="BF5" s="109" t="n"/>
      <c r="BG5" s="110" t="n"/>
      <c r="BH5" s="109" t="n"/>
      <c r="BI5" s="110" t="n"/>
      <c r="BJ5" s="109" t="n"/>
      <c r="BK5" s="110" t="n"/>
      <c r="BL5" s="109" t="n"/>
      <c r="BM5" s="110" t="n"/>
      <c r="BN5" s="109" t="n"/>
      <c r="BO5" s="110" t="n"/>
      <c r="BP5" s="109" t="n"/>
      <c r="BQ5" s="110" t="n"/>
      <c r="BR5" s="109" t="n"/>
      <c r="BS5" s="110" t="n"/>
      <c r="BT5" s="109" t="n"/>
      <c r="BU5" s="110" t="n"/>
      <c r="BV5" s="111" t="n"/>
      <c r="BW5" s="112" t="n"/>
      <c r="BX5" s="113" t="n"/>
      <c r="BY5" s="112" t="n"/>
      <c r="BZ5" s="113" t="n"/>
      <c r="CA5" s="112" t="n"/>
      <c r="CB5" s="113" t="n"/>
      <c r="CC5" s="112" t="n"/>
      <c r="CD5" s="113" t="n"/>
      <c r="CE5" s="112" t="n"/>
      <c r="CF5" s="113" t="n"/>
      <c r="CG5" s="112" t="n"/>
      <c r="CH5" s="113" t="n"/>
      <c r="CI5" s="112" t="n"/>
      <c r="CJ5" s="113" t="n"/>
      <c r="CK5" s="112" t="n"/>
      <c r="CL5" s="113" t="n"/>
      <c r="CM5" s="114" t="n"/>
      <c r="CN5" s="115" t="n"/>
      <c r="CO5" s="116" t="n"/>
      <c r="CP5" s="115" t="n"/>
      <c r="CQ5" s="116" t="n"/>
      <c r="CR5" s="115" t="n"/>
      <c r="CS5" s="116" t="n"/>
      <c r="CT5" s="115" t="n"/>
      <c r="CU5" s="116" t="n"/>
      <c r="CV5" s="115" t="n"/>
      <c r="CW5" s="116" t="n"/>
      <c r="CX5" s="115" t="n"/>
      <c r="CY5" s="116" t="n"/>
      <c r="CZ5" s="115" t="n"/>
      <c r="DA5" s="116" t="n"/>
      <c r="DB5" s="115" t="n"/>
      <c r="DC5" s="116" t="n"/>
      <c r="DD5" s="117" t="n"/>
      <c r="DE5" s="118" t="n"/>
      <c r="DF5" s="119" t="n"/>
      <c r="DG5" s="118" t="n"/>
      <c r="DH5" s="119" t="n"/>
      <c r="DI5" s="118" t="n"/>
      <c r="DJ5" s="119" t="n"/>
      <c r="DK5" s="118" t="n"/>
      <c r="DL5" s="119" t="n"/>
      <c r="DM5" s="118" t="n"/>
      <c r="DN5" s="119" t="n"/>
      <c r="DO5" s="118" t="n"/>
      <c r="DP5" s="119" t="n"/>
      <c r="DQ5" s="118" t="n"/>
      <c r="DR5" s="119" t="n"/>
      <c r="DS5" s="118" t="n"/>
      <c r="DT5" s="119" t="n"/>
      <c r="DU5" s="120" t="n"/>
      <c r="DV5" s="121" t="n"/>
      <c r="DW5" s="122" t="n"/>
      <c r="DX5" s="121" t="n"/>
      <c r="DY5" s="122" t="n"/>
      <c r="DZ5" s="121" t="n"/>
      <c r="EA5" s="122" t="n"/>
      <c r="EB5" s="121" t="n"/>
      <c r="EC5" s="122" t="n"/>
      <c r="ED5" s="121" t="n"/>
      <c r="EE5" s="122" t="n"/>
      <c r="EF5" s="121" t="n"/>
      <c r="EG5" s="122" t="n"/>
      <c r="EH5" s="121" t="n"/>
      <c r="EI5" s="122" t="n"/>
      <c r="EJ5" s="121" t="n"/>
      <c r="EK5" s="122" t="n"/>
      <c r="EL5" s="123" t="n"/>
      <c r="EM5" s="124" t="n"/>
      <c r="EN5" s="125" t="n"/>
      <c r="EO5" s="124" t="n"/>
      <c r="EP5" s="125" t="n"/>
      <c r="EQ5" s="124" t="n"/>
      <c r="ER5" s="125" t="n"/>
      <c r="ES5" s="124" t="n"/>
      <c r="ET5" s="125" t="n"/>
      <c r="EU5" s="124" t="n"/>
      <c r="EV5" s="125" t="n"/>
      <c r="EW5" s="124" t="n"/>
      <c r="EX5" s="125" t="n"/>
      <c r="EY5" s="124" t="n"/>
      <c r="EZ5" s="125" t="n"/>
      <c r="FA5" s="124" t="n"/>
      <c r="FB5" s="125" t="n"/>
      <c r="FC5" s="126" t="n"/>
      <c r="FD5" s="127" t="n"/>
      <c r="FE5" s="128" t="n"/>
      <c r="FF5" s="127" t="n"/>
      <c r="FG5" s="128" t="n"/>
      <c r="FH5" s="127" t="n"/>
      <c r="FI5" s="128" t="n"/>
      <c r="FJ5" s="127" t="n"/>
      <c r="FK5" s="128" t="n"/>
      <c r="FL5" s="127" t="n"/>
      <c r="FM5" s="128" t="n"/>
      <c r="FN5" s="127" t="n"/>
      <c r="FO5" s="128" t="n"/>
      <c r="FP5" s="127" t="n"/>
      <c r="FQ5" s="128" t="n"/>
      <c r="FR5" s="127" t="n"/>
      <c r="FS5" s="128" t="n"/>
      <c r="FT5" s="129" t="n"/>
      <c r="FU5" s="130" t="n"/>
      <c r="FV5" s="131" t="n"/>
      <c r="FW5" s="130" t="n"/>
      <c r="FX5" s="131" t="n"/>
      <c r="FY5" s="130" t="n"/>
      <c r="FZ5" s="131" t="n"/>
      <c r="GA5" s="130" t="n"/>
      <c r="GB5" s="131" t="n"/>
      <c r="GC5" s="130" t="n"/>
      <c r="GD5" s="131" t="n"/>
      <c r="GE5" s="130" t="n"/>
      <c r="GF5" s="131" t="n"/>
      <c r="GG5" s="130" t="n"/>
      <c r="GH5" s="131" t="n"/>
      <c r="GI5" s="130" t="n"/>
      <c r="GJ5" s="131" t="n"/>
      <c r="GK5" s="132" t="n"/>
      <c r="GL5" s="133" t="n"/>
      <c r="GM5" s="134" t="n"/>
      <c r="GN5" s="133" t="n"/>
      <c r="GO5" s="134" t="n"/>
      <c r="GP5" s="133" t="n"/>
      <c r="GQ5" s="134" t="n"/>
      <c r="GR5" s="133" t="n"/>
      <c r="GS5" s="134" t="n"/>
      <c r="GT5" s="133" t="n"/>
      <c r="GU5" s="134" t="n"/>
      <c r="GV5" s="133" t="n"/>
      <c r="GW5" s="134" t="n"/>
      <c r="GX5" s="133" t="n"/>
      <c r="GY5" s="134" t="n"/>
      <c r="GZ5" s="133" t="n"/>
      <c r="HA5" s="134" t="n"/>
      <c r="HB5" s="135" t="n"/>
      <c r="HC5">
        <f>97-SUMPRODUCT(MAX(($G$4:$HB$4="ح")*($G5:$HB5=TRUE)*(97-$G$47:$HB$47)))</f>
        <v>97</v>
      </c>
      <c r="HD5">
        <f>SUMPRODUCT(($G$4:$HB$4="ح")*($G5:$HB5=TRUE)*($G$47:$HB$47&gt;$HC$1-8))</f>
        <v>0</v>
      </c>
      <c r="HE5">
        <f>(COUNTIF($G5:$V5,TRUE)&gt;0)*($W5&lt;&gt;TRUE)+(COUNTIF($X5:$AM5,TRUE)&gt;0)*($AN5&lt;&gt;TRUE)+(COUNTIF($AO5:$BD5,TRUE)&gt;0)*($BE5&lt;&gt;TRUE)+(COUNTIF($BF5:$BU5,TRUE)&gt;0)*($BV5&lt;&gt;TRUE)+(COUNTIF($BW5:$CL5,TRUE)&gt;0)*($CM5&lt;&gt;TRUE)+(COUNTIF($CN5:$DC5,TRUE)&gt;0)*($DD5&lt;&gt;TRUE)+(COUNTIF($DE5:$DT5,TRUE)&gt;0)*($DU5&lt;&gt;TRUE)+(COUNTIF($DV5:$EK5,TRUE)&gt;0)*($EL5&lt;&gt;TRUE)+(COUNTIF($EM5:$FB5,TRUE)&gt;0)*($FC5&lt;&gt;TRUE)+(COUNTIF($FD5:$FS5,TRUE)&gt;0)*($FT5&lt;&gt;TRUE)+(COUNTIF($FU5:$GJ5,TRUE)&gt;0)*($GK5&lt;&gt;TRUE)+(COUNTIF($GL5:$HA5,TRUE)&gt;0)*($HB5&lt;&gt;TRUE)</f>
        <v>0</v>
      </c>
      <c r="HF5">
        <f>IF($HE5=0,0,13-MAX((COUNTIF($G5:$V5,TRUE)&gt;0)*($W5&lt;&gt;TRUE)*12,(COUNTIF($X5:$AM5,TRUE)&gt;0)*($AN5&lt;&gt;TRUE)*11,(COUNTIF($AO5:$BD5,TRUE)&gt;0)*($BE5&lt;&gt;TRUE)*10,(COUNTIF($BF5:$BU5,TRUE)&gt;0)*($BV5&lt;&gt;TRUE)*9,(COUNTIF($BW5:$CL5,TRUE)&gt;0)*($CM5&lt;&gt;TRUE)*8,(COUNTIF($CN5:$DC5,TRUE)&gt;0)*($DD5&lt;&gt;TRUE)*7,(COUNTIF($DE5:$DT5,TRUE)&gt;0)*($DU5&lt;&gt;TRUE)*6,(COUNTIF($DV5:$EK5,TRUE)&gt;0)*($EL5&lt;&gt;TRUE)*5,(COUNTIF($EM5:$FB5,TRUE)&gt;0)*($FC5&lt;&gt;TRUE)*4,(COUNTIF($FD5:$FS5,TRUE)&gt;0)*($FT5&lt;&gt;TRUE)*3,(COUNTIF($FU5:$GJ5,TRUE)&gt;0)*($GK5&lt;&gt;TRUE)*2,(COUNTIF($GL5:$HA5,TRUE)&gt;0)*($HB5&lt;&gt;TRUE)*1))</f>
        <v>0</v>
      </c>
    </row>
    <row r="6" ht="22.5" customHeight="1">
      <c r="A6" s="36" t="n">
        <v>2</v>
      </c>
      <c r="B6" s="97" t="n"/>
      <c r="C6" s="28" t="n"/>
      <c r="D6" s="98" t="str">
        <f>IF($B6="","",IF($HC6=97,"-",IF($HD6=0,"متوقف",SUMPRODUCT(($G$4:$HB$4="ح")*($G$20:$HB$20&gt;0)*($G6:$HB6&lt;&gt;TRUE)*($G$47:$HB$47&gt;$HC$1-8)*($G$47:$HB$47&gt;=$HC6)))))</f>
        <v/>
      </c>
      <c r="E6" s="98" t="str">
        <f>IF(OR($B6="",$HC6=97),"",SUMPRODUCT(($G$4:$HA$4="ح")*($G6:$HA6=TRUE)*($H6:$HB6&lt;&gt;TRUE)*($G$47:$HA$47&gt;$HC$1-8)))</f>
        <v/>
      </c>
      <c r="F6" s="99" t="str">
        <f>IF($B6="","",IF($HE6=0,IF($HC6=97,"-","تمام"),IF($HE6=1,IF(INDEX($G$1:$HB$1,1,17*($HF6-1)+1)="","شهر "&amp;$HF6,INDEX($G$1:$HB$1,1,17*($HF6-1)+1)),IF($HE6=2,"شهرين",$HE6&amp;" شهور"))))</f>
        <v/>
      </c>
      <c r="G6" s="100" t="n"/>
      <c r="H6" s="101" t="n"/>
      <c r="I6" s="100" t="n"/>
      <c r="J6" s="101" t="n"/>
      <c r="K6" s="100" t="n"/>
      <c r="L6" s="101" t="n"/>
      <c r="M6" s="100" t="n"/>
      <c r="N6" s="101" t="n"/>
      <c r="O6" s="100" t="n"/>
      <c r="P6" s="101" t="n"/>
      <c r="Q6" s="100" t="n"/>
      <c r="R6" s="101" t="n"/>
      <c r="S6" s="100" t="n"/>
      <c r="T6" s="101" t="n"/>
      <c r="U6" s="100" t="n"/>
      <c r="V6" s="101" t="n"/>
      <c r="W6" s="102" t="n"/>
      <c r="X6" s="103" t="n"/>
      <c r="Y6" s="104" t="n"/>
      <c r="Z6" s="103" t="n"/>
      <c r="AA6" s="104" t="n"/>
      <c r="AB6" s="103" t="n"/>
      <c r="AC6" s="104" t="n"/>
      <c r="AD6" s="103" t="n"/>
      <c r="AE6" s="104" t="n"/>
      <c r="AF6" s="103" t="n"/>
      <c r="AG6" s="104" t="n"/>
      <c r="AH6" s="103" t="n"/>
      <c r="AI6" s="104" t="n"/>
      <c r="AJ6" s="103" t="n"/>
      <c r="AK6" s="104" t="n"/>
      <c r="AL6" s="103" t="n"/>
      <c r="AM6" s="104" t="n"/>
      <c r="AN6" s="105" t="n"/>
      <c r="AO6" s="106" t="n"/>
      <c r="AP6" s="107" t="n"/>
      <c r="AQ6" s="106" t="n"/>
      <c r="AR6" s="107" t="n"/>
      <c r="AS6" s="106" t="n"/>
      <c r="AT6" s="107" t="n"/>
      <c r="AU6" s="106" t="n"/>
      <c r="AV6" s="107" t="n"/>
      <c r="AW6" s="106" t="n"/>
      <c r="AX6" s="107" t="n"/>
      <c r="AY6" s="106" t="n"/>
      <c r="AZ6" s="107" t="n"/>
      <c r="BA6" s="106" t="n"/>
      <c r="BB6" s="107" t="n"/>
      <c r="BC6" s="106" t="n"/>
      <c r="BD6" s="107" t="n"/>
      <c r="BE6" s="108" t="n"/>
      <c r="BF6" s="109" t="n"/>
      <c r="BG6" s="110" t="n"/>
      <c r="BH6" s="109" t="n"/>
      <c r="BI6" s="110" t="n"/>
      <c r="BJ6" s="109" t="n"/>
      <c r="BK6" s="110" t="n"/>
      <c r="BL6" s="109" t="n"/>
      <c r="BM6" s="110" t="n"/>
      <c r="BN6" s="109" t="n"/>
      <c r="BO6" s="110" t="n"/>
      <c r="BP6" s="109" t="n"/>
      <c r="BQ6" s="110" t="n"/>
      <c r="BR6" s="109" t="n"/>
      <c r="BS6" s="110" t="n"/>
      <c r="BT6" s="109" t="n"/>
      <c r="BU6" s="110" t="n"/>
      <c r="BV6" s="111" t="n"/>
      <c r="BW6" s="112" t="n"/>
      <c r="BX6" s="113" t="n"/>
      <c r="BY6" s="112" t="n"/>
      <c r="BZ6" s="113" t="n"/>
      <c r="CA6" s="112" t="n"/>
      <c r="CB6" s="113" t="n"/>
      <c r="CC6" s="112" t="n"/>
      <c r="CD6" s="113" t="n"/>
      <c r="CE6" s="112" t="n"/>
      <c r="CF6" s="113" t="n"/>
      <c r="CG6" s="112" t="n"/>
      <c r="CH6" s="113" t="n"/>
      <c r="CI6" s="112" t="n"/>
      <c r="CJ6" s="113" t="n"/>
      <c r="CK6" s="112" t="n"/>
      <c r="CL6" s="113" t="n"/>
      <c r="CM6" s="114" t="n"/>
      <c r="CN6" s="115" t="n"/>
      <c r="CO6" s="116" t="n"/>
      <c r="CP6" s="115" t="n"/>
      <c r="CQ6" s="116" t="n"/>
      <c r="CR6" s="115" t="n"/>
      <c r="CS6" s="116" t="n"/>
      <c r="CT6" s="115" t="n"/>
      <c r="CU6" s="116" t="n"/>
      <c r="CV6" s="115" t="n"/>
      <c r="CW6" s="116" t="n"/>
      <c r="CX6" s="115" t="n"/>
      <c r="CY6" s="116" t="n"/>
      <c r="CZ6" s="115" t="n"/>
      <c r="DA6" s="116" t="n"/>
      <c r="DB6" s="115" t="n"/>
      <c r="DC6" s="116" t="n"/>
      <c r="DD6" s="117" t="n"/>
      <c r="DE6" s="118" t="n"/>
      <c r="DF6" s="119" t="n"/>
      <c r="DG6" s="118" t="n"/>
      <c r="DH6" s="119" t="n"/>
      <c r="DI6" s="118" t="n"/>
      <c r="DJ6" s="119" t="n"/>
      <c r="DK6" s="118" t="n"/>
      <c r="DL6" s="119" t="n"/>
      <c r="DM6" s="118" t="n"/>
      <c r="DN6" s="119" t="n"/>
      <c r="DO6" s="118" t="n"/>
      <c r="DP6" s="119" t="n"/>
      <c r="DQ6" s="118" t="n"/>
      <c r="DR6" s="119" t="n"/>
      <c r="DS6" s="118" t="n"/>
      <c r="DT6" s="119" t="n"/>
      <c r="DU6" s="120" t="n"/>
      <c r="DV6" s="121" t="n"/>
      <c r="DW6" s="122" t="n"/>
      <c r="DX6" s="121" t="n"/>
      <c r="DY6" s="122" t="n"/>
      <c r="DZ6" s="121" t="n"/>
      <c r="EA6" s="122" t="n"/>
      <c r="EB6" s="121" t="n"/>
      <c r="EC6" s="122" t="n"/>
      <c r="ED6" s="121" t="n"/>
      <c r="EE6" s="122" t="n"/>
      <c r="EF6" s="121" t="n"/>
      <c r="EG6" s="122" t="n"/>
      <c r="EH6" s="121" t="n"/>
      <c r="EI6" s="122" t="n"/>
      <c r="EJ6" s="121" t="n"/>
      <c r="EK6" s="122" t="n"/>
      <c r="EL6" s="123" t="n"/>
      <c r="EM6" s="124" t="n"/>
      <c r="EN6" s="125" t="n"/>
      <c r="EO6" s="124" t="n"/>
      <c r="EP6" s="125" t="n"/>
      <c r="EQ6" s="124" t="n"/>
      <c r="ER6" s="125" t="n"/>
      <c r="ES6" s="124" t="n"/>
      <c r="ET6" s="125" t="n"/>
      <c r="EU6" s="124" t="n"/>
      <c r="EV6" s="125" t="n"/>
      <c r="EW6" s="124" t="n"/>
      <c r="EX6" s="125" t="n"/>
      <c r="EY6" s="124" t="n"/>
      <c r="EZ6" s="125" t="n"/>
      <c r="FA6" s="124" t="n"/>
      <c r="FB6" s="125" t="n"/>
      <c r="FC6" s="126" t="n"/>
      <c r="FD6" s="127" t="n"/>
      <c r="FE6" s="128" t="n"/>
      <c r="FF6" s="127" t="n"/>
      <c r="FG6" s="128" t="n"/>
      <c r="FH6" s="127" t="n"/>
      <c r="FI6" s="128" t="n"/>
      <c r="FJ6" s="127" t="n"/>
      <c r="FK6" s="128" t="n"/>
      <c r="FL6" s="127" t="n"/>
      <c r="FM6" s="128" t="n"/>
      <c r="FN6" s="127" t="n"/>
      <c r="FO6" s="128" t="n"/>
      <c r="FP6" s="127" t="n"/>
      <c r="FQ6" s="128" t="n"/>
      <c r="FR6" s="127" t="n"/>
      <c r="FS6" s="128" t="n"/>
      <c r="FT6" s="129" t="n"/>
      <c r="FU6" s="130" t="n"/>
      <c r="FV6" s="131" t="n"/>
      <c r="FW6" s="130" t="n"/>
      <c r="FX6" s="131" t="n"/>
      <c r="FY6" s="130" t="n"/>
      <c r="FZ6" s="131" t="n"/>
      <c r="GA6" s="130" t="n"/>
      <c r="GB6" s="131" t="n"/>
      <c r="GC6" s="130" t="n"/>
      <c r="GD6" s="131" t="n"/>
      <c r="GE6" s="130" t="n"/>
      <c r="GF6" s="131" t="n"/>
      <c r="GG6" s="130" t="n"/>
      <c r="GH6" s="131" t="n"/>
      <c r="GI6" s="130" t="n"/>
      <c r="GJ6" s="131" t="n"/>
      <c r="GK6" s="132" t="n"/>
      <c r="GL6" s="133" t="n"/>
      <c r="GM6" s="134" t="n"/>
      <c r="GN6" s="133" t="n"/>
      <c r="GO6" s="134" t="n"/>
      <c r="GP6" s="133" t="n"/>
      <c r="GQ6" s="134" t="n"/>
      <c r="GR6" s="133" t="n"/>
      <c r="GS6" s="134" t="n"/>
      <c r="GT6" s="133" t="n"/>
      <c r="GU6" s="134" t="n"/>
      <c r="GV6" s="133" t="n"/>
      <c r="GW6" s="134" t="n"/>
      <c r="GX6" s="133" t="n"/>
      <c r="GY6" s="134" t="n"/>
      <c r="GZ6" s="133" t="n"/>
      <c r="HA6" s="134" t="n"/>
      <c r="HB6" s="135" t="n"/>
      <c r="HC6">
        <f>97-SUMPRODUCT(MAX(($G$4:$HB$4="ح")*($G6:$HB6=TRUE)*(97-$G$47:$HB$47)))</f>
        <v>97</v>
      </c>
      <c r="HD6">
        <f>SUMPRODUCT(($G$4:$HB$4="ح")*($G6:$HB6=TRUE)*($G$47:$HB$47&gt;$HC$1-8))</f>
        <v>0</v>
      </c>
      <c r="HE6">
        <f>(COUNTIF($G6:$V6,TRUE)&gt;0)*($W6&lt;&gt;TRUE)+(COUNTIF($X6:$AM6,TRUE)&gt;0)*($AN6&lt;&gt;TRUE)+(COUNTIF($AO6:$BD6,TRUE)&gt;0)*($BE6&lt;&gt;TRUE)+(COUNTIF($BF6:$BU6,TRUE)&gt;0)*($BV6&lt;&gt;TRUE)+(COUNTIF($BW6:$CL6,TRUE)&gt;0)*($CM6&lt;&gt;TRUE)+(COUNTIF($CN6:$DC6,TRUE)&gt;0)*($DD6&lt;&gt;TRUE)+(COUNTIF($DE6:$DT6,TRUE)&gt;0)*($DU6&lt;&gt;TRUE)+(COUNTIF($DV6:$EK6,TRUE)&gt;0)*($EL6&lt;&gt;TRUE)+(COUNTIF($EM6:$FB6,TRUE)&gt;0)*($FC6&lt;&gt;TRUE)+(COUNTIF($FD6:$FS6,TRUE)&gt;0)*($FT6&lt;&gt;TRUE)+(COUNTIF($FU6:$GJ6,TRUE)&gt;0)*($GK6&lt;&gt;TRUE)+(COUNTIF($GL6:$HA6,TRUE)&gt;0)*($HB6&lt;&gt;TRUE)</f>
        <v>0</v>
      </c>
      <c r="HF6">
        <f>IF($HE6=0,0,13-MAX((COUNTIF($G6:$V6,TRUE)&gt;0)*($W6&lt;&gt;TRUE)*12,(COUNTIF($X6:$AM6,TRUE)&gt;0)*($AN6&lt;&gt;TRUE)*11,(COUNTIF($AO6:$BD6,TRUE)&gt;0)*($BE6&lt;&gt;TRUE)*10,(COUNTIF($BF6:$BU6,TRUE)&gt;0)*($BV6&lt;&gt;TRUE)*9,(COUNTIF($BW6:$CL6,TRUE)&gt;0)*($CM6&lt;&gt;TRUE)*8,(COUNTIF($CN6:$DC6,TRUE)&gt;0)*($DD6&lt;&gt;TRUE)*7,(COUNTIF($DE6:$DT6,TRUE)&gt;0)*($DU6&lt;&gt;TRUE)*6,(COUNTIF($DV6:$EK6,TRUE)&gt;0)*($EL6&lt;&gt;TRUE)*5,(COUNTIF($EM6:$FB6,TRUE)&gt;0)*($FC6&lt;&gt;TRUE)*4,(COUNTIF($FD6:$FS6,TRUE)&gt;0)*($FT6&lt;&gt;TRUE)*3,(COUNTIF($FU6:$GJ6,TRUE)&gt;0)*($GK6&lt;&gt;TRUE)*2,(COUNTIF($GL6:$HA6,TRUE)&gt;0)*($HB6&lt;&gt;TRUE)*1))</f>
        <v>0</v>
      </c>
    </row>
    <row r="7" ht="22.5" customHeight="1">
      <c r="A7" s="36" t="n">
        <v>3</v>
      </c>
      <c r="B7" s="97" t="n"/>
      <c r="C7" s="28" t="n"/>
      <c r="D7" s="98" t="str">
        <f>IF($B7="","",IF($HC7=97,"-",IF($HD7=0,"متوقف",SUMPRODUCT(($G$4:$HB$4="ح")*($G$20:$HB$20&gt;0)*($G7:$HB7&lt;&gt;TRUE)*($G$47:$HB$47&gt;$HC$1-8)*($G$47:$HB$47&gt;=$HC7)))))</f>
        <v/>
      </c>
      <c r="E7" s="98" t="str">
        <f>IF(OR($B7="",$HC7=97),"",SUMPRODUCT(($G$4:$HA$4="ح")*($G7:$HA7=TRUE)*($H7:$HB7&lt;&gt;TRUE)*($G$47:$HA$47&gt;$HC$1-8)))</f>
        <v/>
      </c>
      <c r="F7" s="99" t="str">
        <f>IF($B7="","",IF($HE7=0,IF($HC7=97,"-","تمام"),IF($HE7=1,IF(INDEX($G$1:$HB$1,1,17*($HF7-1)+1)="","شهر "&amp;$HF7,INDEX($G$1:$HB$1,1,17*($HF7-1)+1)),IF($HE7=2,"شهرين",$HE7&amp;" شهور"))))</f>
        <v/>
      </c>
      <c r="G7" s="100" t="n"/>
      <c r="H7" s="101" t="n"/>
      <c r="I7" s="100" t="n"/>
      <c r="J7" s="101" t="n"/>
      <c r="K7" s="100" t="n"/>
      <c r="L7" s="101" t="n"/>
      <c r="M7" s="100" t="n"/>
      <c r="N7" s="101" t="n"/>
      <c r="O7" s="100" t="n"/>
      <c r="P7" s="101" t="n"/>
      <c r="Q7" s="100" t="n"/>
      <c r="R7" s="101" t="n"/>
      <c r="S7" s="100" t="n"/>
      <c r="T7" s="101" t="n"/>
      <c r="U7" s="100" t="n"/>
      <c r="V7" s="101" t="n"/>
      <c r="W7" s="102" t="n"/>
      <c r="X7" s="103" t="n"/>
      <c r="Y7" s="104" t="n"/>
      <c r="Z7" s="103" t="n"/>
      <c r="AA7" s="104" t="n"/>
      <c r="AB7" s="103" t="n"/>
      <c r="AC7" s="104" t="n"/>
      <c r="AD7" s="103" t="n"/>
      <c r="AE7" s="104" t="n"/>
      <c r="AF7" s="103" t="n"/>
      <c r="AG7" s="104" t="n"/>
      <c r="AH7" s="103" t="n"/>
      <c r="AI7" s="104" t="n"/>
      <c r="AJ7" s="103" t="n"/>
      <c r="AK7" s="104" t="n"/>
      <c r="AL7" s="103" t="n"/>
      <c r="AM7" s="104" t="n"/>
      <c r="AN7" s="105" t="n"/>
      <c r="AO7" s="106" t="n"/>
      <c r="AP7" s="107" t="n"/>
      <c r="AQ7" s="106" t="n"/>
      <c r="AR7" s="107" t="n"/>
      <c r="AS7" s="106" t="n"/>
      <c r="AT7" s="107" t="n"/>
      <c r="AU7" s="106" t="n"/>
      <c r="AV7" s="107" t="n"/>
      <c r="AW7" s="106" t="n"/>
      <c r="AX7" s="107" t="n"/>
      <c r="AY7" s="106" t="n"/>
      <c r="AZ7" s="107" t="n"/>
      <c r="BA7" s="106" t="n"/>
      <c r="BB7" s="107" t="n"/>
      <c r="BC7" s="106" t="n"/>
      <c r="BD7" s="107" t="n"/>
      <c r="BE7" s="108" t="n"/>
      <c r="BF7" s="109" t="n"/>
      <c r="BG7" s="110" t="n"/>
      <c r="BH7" s="109" t="n"/>
      <c r="BI7" s="110" t="n"/>
      <c r="BJ7" s="109" t="n"/>
      <c r="BK7" s="110" t="n"/>
      <c r="BL7" s="109" t="n"/>
      <c r="BM7" s="110" t="n"/>
      <c r="BN7" s="109" t="n"/>
      <c r="BO7" s="110" t="n"/>
      <c r="BP7" s="109" t="n"/>
      <c r="BQ7" s="110" t="n"/>
      <c r="BR7" s="109" t="n"/>
      <c r="BS7" s="110" t="n"/>
      <c r="BT7" s="109" t="n"/>
      <c r="BU7" s="110" t="n"/>
      <c r="BV7" s="111" t="n"/>
      <c r="BW7" s="112" t="n"/>
      <c r="BX7" s="113" t="n"/>
      <c r="BY7" s="112" t="n"/>
      <c r="BZ7" s="113" t="n"/>
      <c r="CA7" s="112" t="n"/>
      <c r="CB7" s="113" t="n"/>
      <c r="CC7" s="112" t="n"/>
      <c r="CD7" s="113" t="n"/>
      <c r="CE7" s="112" t="n"/>
      <c r="CF7" s="113" t="n"/>
      <c r="CG7" s="112" t="n"/>
      <c r="CH7" s="113" t="n"/>
      <c r="CI7" s="112" t="n"/>
      <c r="CJ7" s="113" t="n"/>
      <c r="CK7" s="112" t="n"/>
      <c r="CL7" s="113" t="n"/>
      <c r="CM7" s="114" t="n"/>
      <c r="CN7" s="115" t="n"/>
      <c r="CO7" s="116" t="n"/>
      <c r="CP7" s="115" t="n"/>
      <c r="CQ7" s="116" t="n"/>
      <c r="CR7" s="115" t="n"/>
      <c r="CS7" s="116" t="n"/>
      <c r="CT7" s="115" t="n"/>
      <c r="CU7" s="116" t="n"/>
      <c r="CV7" s="115" t="n"/>
      <c r="CW7" s="116" t="n"/>
      <c r="CX7" s="115" t="n"/>
      <c r="CY7" s="116" t="n"/>
      <c r="CZ7" s="115" t="n"/>
      <c r="DA7" s="116" t="n"/>
      <c r="DB7" s="115" t="n"/>
      <c r="DC7" s="116" t="n"/>
      <c r="DD7" s="117" t="n"/>
      <c r="DE7" s="118" t="n"/>
      <c r="DF7" s="119" t="n"/>
      <c r="DG7" s="118" t="n"/>
      <c r="DH7" s="119" t="n"/>
      <c r="DI7" s="118" t="n"/>
      <c r="DJ7" s="119" t="n"/>
      <c r="DK7" s="118" t="n"/>
      <c r="DL7" s="119" t="n"/>
      <c r="DM7" s="118" t="n"/>
      <c r="DN7" s="119" t="n"/>
      <c r="DO7" s="118" t="n"/>
      <c r="DP7" s="119" t="n"/>
      <c r="DQ7" s="118" t="n"/>
      <c r="DR7" s="119" t="n"/>
      <c r="DS7" s="118" t="n"/>
      <c r="DT7" s="119" t="n"/>
      <c r="DU7" s="120" t="n"/>
      <c r="DV7" s="121" t="n"/>
      <c r="DW7" s="122" t="n"/>
      <c r="DX7" s="121" t="n"/>
      <c r="DY7" s="122" t="n"/>
      <c r="DZ7" s="121" t="n"/>
      <c r="EA7" s="122" t="n"/>
      <c r="EB7" s="121" t="n"/>
      <c r="EC7" s="122" t="n"/>
      <c r="ED7" s="121" t="n"/>
      <c r="EE7" s="122" t="n"/>
      <c r="EF7" s="121" t="n"/>
      <c r="EG7" s="122" t="n"/>
      <c r="EH7" s="121" t="n"/>
      <c r="EI7" s="122" t="n"/>
      <c r="EJ7" s="121" t="n"/>
      <c r="EK7" s="122" t="n"/>
      <c r="EL7" s="123" t="n"/>
      <c r="EM7" s="124" t="n"/>
      <c r="EN7" s="125" t="n"/>
      <c r="EO7" s="124" t="n"/>
      <c r="EP7" s="125" t="n"/>
      <c r="EQ7" s="124" t="n"/>
      <c r="ER7" s="125" t="n"/>
      <c r="ES7" s="124" t="n"/>
      <c r="ET7" s="125" t="n"/>
      <c r="EU7" s="124" t="n"/>
      <c r="EV7" s="125" t="n"/>
      <c r="EW7" s="124" t="n"/>
      <c r="EX7" s="125" t="n"/>
      <c r="EY7" s="124" t="n"/>
      <c r="EZ7" s="125" t="n"/>
      <c r="FA7" s="124" t="n"/>
      <c r="FB7" s="125" t="n"/>
      <c r="FC7" s="126" t="n"/>
      <c r="FD7" s="127" t="n"/>
      <c r="FE7" s="128" t="n"/>
      <c r="FF7" s="127" t="n"/>
      <c r="FG7" s="128" t="n"/>
      <c r="FH7" s="127" t="n"/>
      <c r="FI7" s="128" t="n"/>
      <c r="FJ7" s="127" t="n"/>
      <c r="FK7" s="128" t="n"/>
      <c r="FL7" s="127" t="n"/>
      <c r="FM7" s="128" t="n"/>
      <c r="FN7" s="127" t="n"/>
      <c r="FO7" s="128" t="n"/>
      <c r="FP7" s="127" t="n"/>
      <c r="FQ7" s="128" t="n"/>
      <c r="FR7" s="127" t="n"/>
      <c r="FS7" s="128" t="n"/>
      <c r="FT7" s="129" t="n"/>
      <c r="FU7" s="130" t="n"/>
      <c r="FV7" s="131" t="n"/>
      <c r="FW7" s="130" t="n"/>
      <c r="FX7" s="131" t="n"/>
      <c r="FY7" s="130" t="n"/>
      <c r="FZ7" s="131" t="n"/>
      <c r="GA7" s="130" t="n"/>
      <c r="GB7" s="131" t="n"/>
      <c r="GC7" s="130" t="n"/>
      <c r="GD7" s="131" t="n"/>
      <c r="GE7" s="130" t="n"/>
      <c r="GF7" s="131" t="n"/>
      <c r="GG7" s="130" t="n"/>
      <c r="GH7" s="131" t="n"/>
      <c r="GI7" s="130" t="n"/>
      <c r="GJ7" s="131" t="n"/>
      <c r="GK7" s="132" t="n"/>
      <c r="GL7" s="133" t="n"/>
      <c r="GM7" s="134" t="n"/>
      <c r="GN7" s="133" t="n"/>
      <c r="GO7" s="134" t="n"/>
      <c r="GP7" s="133" t="n"/>
      <c r="GQ7" s="134" t="n"/>
      <c r="GR7" s="133" t="n"/>
      <c r="GS7" s="134" t="n"/>
      <c r="GT7" s="133" t="n"/>
      <c r="GU7" s="134" t="n"/>
      <c r="GV7" s="133" t="n"/>
      <c r="GW7" s="134" t="n"/>
      <c r="GX7" s="133" t="n"/>
      <c r="GY7" s="134" t="n"/>
      <c r="GZ7" s="133" t="n"/>
      <c r="HA7" s="134" t="n"/>
      <c r="HB7" s="135" t="n"/>
      <c r="HC7">
        <f>97-SUMPRODUCT(MAX(($G$4:$HB$4="ح")*($G7:$HB7=TRUE)*(97-$G$47:$HB$47)))</f>
        <v>97</v>
      </c>
      <c r="HD7">
        <f>SUMPRODUCT(($G$4:$HB$4="ح")*($G7:$HB7=TRUE)*($G$47:$HB$47&gt;$HC$1-8))</f>
        <v>0</v>
      </c>
      <c r="HE7">
        <f>(COUNTIF($G7:$V7,TRUE)&gt;0)*($W7&lt;&gt;TRUE)+(COUNTIF($X7:$AM7,TRUE)&gt;0)*($AN7&lt;&gt;TRUE)+(COUNTIF($AO7:$BD7,TRUE)&gt;0)*($BE7&lt;&gt;TRUE)+(COUNTIF($BF7:$BU7,TRUE)&gt;0)*($BV7&lt;&gt;TRUE)+(COUNTIF($BW7:$CL7,TRUE)&gt;0)*($CM7&lt;&gt;TRUE)+(COUNTIF($CN7:$DC7,TRUE)&gt;0)*($DD7&lt;&gt;TRUE)+(COUNTIF($DE7:$DT7,TRUE)&gt;0)*($DU7&lt;&gt;TRUE)+(COUNTIF($DV7:$EK7,TRUE)&gt;0)*($EL7&lt;&gt;TRUE)+(COUNTIF($EM7:$FB7,TRUE)&gt;0)*($FC7&lt;&gt;TRUE)+(COUNTIF($FD7:$FS7,TRUE)&gt;0)*($FT7&lt;&gt;TRUE)+(COUNTIF($FU7:$GJ7,TRUE)&gt;0)*($GK7&lt;&gt;TRUE)+(COUNTIF($GL7:$HA7,TRUE)&gt;0)*($HB7&lt;&gt;TRUE)</f>
        <v>0</v>
      </c>
      <c r="HF7">
        <f>IF($HE7=0,0,13-MAX((COUNTIF($G7:$V7,TRUE)&gt;0)*($W7&lt;&gt;TRUE)*12,(COUNTIF($X7:$AM7,TRUE)&gt;0)*($AN7&lt;&gt;TRUE)*11,(COUNTIF($AO7:$BD7,TRUE)&gt;0)*($BE7&lt;&gt;TRUE)*10,(COUNTIF($BF7:$BU7,TRUE)&gt;0)*($BV7&lt;&gt;TRUE)*9,(COUNTIF($BW7:$CL7,TRUE)&gt;0)*($CM7&lt;&gt;TRUE)*8,(COUNTIF($CN7:$DC7,TRUE)&gt;0)*($DD7&lt;&gt;TRUE)*7,(COUNTIF($DE7:$DT7,TRUE)&gt;0)*($DU7&lt;&gt;TRUE)*6,(COUNTIF($DV7:$EK7,TRUE)&gt;0)*($EL7&lt;&gt;TRUE)*5,(COUNTIF($EM7:$FB7,TRUE)&gt;0)*($FC7&lt;&gt;TRUE)*4,(COUNTIF($FD7:$FS7,TRUE)&gt;0)*($FT7&lt;&gt;TRUE)*3,(COUNTIF($FU7:$GJ7,TRUE)&gt;0)*($GK7&lt;&gt;TRUE)*2,(COUNTIF($GL7:$HA7,TRUE)&gt;0)*($HB7&lt;&gt;TRUE)*1))</f>
        <v>0</v>
      </c>
    </row>
    <row r="8" ht="22.5" customHeight="1">
      <c r="A8" s="36" t="n">
        <v>4</v>
      </c>
      <c r="B8" s="97" t="n"/>
      <c r="C8" s="28" t="n"/>
      <c r="D8" s="98" t="str">
        <f>IF($B8="","",IF($HC8=97,"-",IF($HD8=0,"متوقف",SUMPRODUCT(($G$4:$HB$4="ح")*($G$20:$HB$20&gt;0)*($G8:$HB8&lt;&gt;TRUE)*($G$47:$HB$47&gt;$HC$1-8)*($G$47:$HB$47&gt;=$HC8)))))</f>
        <v/>
      </c>
      <c r="E8" s="98" t="str">
        <f>IF(OR($B8="",$HC8=97),"",SUMPRODUCT(($G$4:$HA$4="ح")*($G8:$HA8=TRUE)*($H8:$HB8&lt;&gt;TRUE)*($G$47:$HA$47&gt;$HC$1-8)))</f>
        <v/>
      </c>
      <c r="F8" s="99" t="str">
        <f>IF($B8="","",IF($HE8=0,IF($HC8=97,"-","تمام"),IF($HE8=1,IF(INDEX($G$1:$HB$1,1,17*($HF8-1)+1)="","شهر "&amp;$HF8,INDEX($G$1:$HB$1,1,17*($HF8-1)+1)),IF($HE8=2,"شهرين",$HE8&amp;" شهور"))))</f>
        <v/>
      </c>
      <c r="G8" s="100" t="n"/>
      <c r="H8" s="101" t="n"/>
      <c r="I8" s="100" t="n"/>
      <c r="J8" s="101" t="n"/>
      <c r="K8" s="100" t="n"/>
      <c r="L8" s="101" t="n"/>
      <c r="M8" s="100" t="n"/>
      <c r="N8" s="101" t="n"/>
      <c r="O8" s="100" t="n"/>
      <c r="P8" s="101" t="n"/>
      <c r="Q8" s="100" t="n"/>
      <c r="R8" s="101" t="n"/>
      <c r="S8" s="100" t="n"/>
      <c r="T8" s="101" t="n"/>
      <c r="U8" s="100" t="n"/>
      <c r="V8" s="101" t="n"/>
      <c r="W8" s="102" t="n"/>
      <c r="X8" s="103" t="n"/>
      <c r="Y8" s="104" t="n"/>
      <c r="Z8" s="103" t="n"/>
      <c r="AA8" s="104" t="n"/>
      <c r="AB8" s="103" t="n"/>
      <c r="AC8" s="104" t="n"/>
      <c r="AD8" s="103" t="n"/>
      <c r="AE8" s="104" t="n"/>
      <c r="AF8" s="103" t="n"/>
      <c r="AG8" s="104" t="n"/>
      <c r="AH8" s="103" t="n"/>
      <c r="AI8" s="104" t="n"/>
      <c r="AJ8" s="103" t="n"/>
      <c r="AK8" s="104" t="n"/>
      <c r="AL8" s="103" t="n"/>
      <c r="AM8" s="104" t="n"/>
      <c r="AN8" s="105" t="n"/>
      <c r="AO8" s="106" t="n"/>
      <c r="AP8" s="107" t="n"/>
      <c r="AQ8" s="106" t="n"/>
      <c r="AR8" s="107" t="n"/>
      <c r="AS8" s="106" t="n"/>
      <c r="AT8" s="107" t="n"/>
      <c r="AU8" s="106" t="n"/>
      <c r="AV8" s="107" t="n"/>
      <c r="AW8" s="106" t="n"/>
      <c r="AX8" s="107" t="n"/>
      <c r="AY8" s="106" t="n"/>
      <c r="AZ8" s="107" t="n"/>
      <c r="BA8" s="106" t="n"/>
      <c r="BB8" s="107" t="n"/>
      <c r="BC8" s="106" t="n"/>
      <c r="BD8" s="107" t="n"/>
      <c r="BE8" s="108" t="n"/>
      <c r="BF8" s="109" t="n"/>
      <c r="BG8" s="110" t="n"/>
      <c r="BH8" s="109" t="n"/>
      <c r="BI8" s="110" t="n"/>
      <c r="BJ8" s="109" t="n"/>
      <c r="BK8" s="110" t="n"/>
      <c r="BL8" s="109" t="n"/>
      <c r="BM8" s="110" t="n"/>
      <c r="BN8" s="109" t="n"/>
      <c r="BO8" s="110" t="n"/>
      <c r="BP8" s="109" t="n"/>
      <c r="BQ8" s="110" t="n"/>
      <c r="BR8" s="109" t="n"/>
      <c r="BS8" s="110" t="n"/>
      <c r="BT8" s="109" t="n"/>
      <c r="BU8" s="110" t="n"/>
      <c r="BV8" s="111" t="n"/>
      <c r="BW8" s="112" t="n"/>
      <c r="BX8" s="113" t="n"/>
      <c r="BY8" s="112" t="n"/>
      <c r="BZ8" s="113" t="n"/>
      <c r="CA8" s="112" t="n"/>
      <c r="CB8" s="113" t="n"/>
      <c r="CC8" s="112" t="n"/>
      <c r="CD8" s="113" t="n"/>
      <c r="CE8" s="112" t="n"/>
      <c r="CF8" s="113" t="n"/>
      <c r="CG8" s="112" t="n"/>
      <c r="CH8" s="113" t="n"/>
      <c r="CI8" s="112" t="n"/>
      <c r="CJ8" s="113" t="n"/>
      <c r="CK8" s="112" t="n"/>
      <c r="CL8" s="113" t="n"/>
      <c r="CM8" s="114" t="n"/>
      <c r="CN8" s="115" t="n"/>
      <c r="CO8" s="116" t="n"/>
      <c r="CP8" s="115" t="n"/>
      <c r="CQ8" s="116" t="n"/>
      <c r="CR8" s="115" t="n"/>
      <c r="CS8" s="116" t="n"/>
      <c r="CT8" s="115" t="n"/>
      <c r="CU8" s="116" t="n"/>
      <c r="CV8" s="115" t="n"/>
      <c r="CW8" s="116" t="n"/>
      <c r="CX8" s="115" t="n"/>
      <c r="CY8" s="116" t="n"/>
      <c r="CZ8" s="115" t="n"/>
      <c r="DA8" s="116" t="n"/>
      <c r="DB8" s="115" t="n"/>
      <c r="DC8" s="116" t="n"/>
      <c r="DD8" s="117" t="n"/>
      <c r="DE8" s="118" t="n"/>
      <c r="DF8" s="119" t="n"/>
      <c r="DG8" s="118" t="n"/>
      <c r="DH8" s="119" t="n"/>
      <c r="DI8" s="118" t="n"/>
      <c r="DJ8" s="119" t="n"/>
      <c r="DK8" s="118" t="n"/>
      <c r="DL8" s="119" t="n"/>
      <c r="DM8" s="118" t="n"/>
      <c r="DN8" s="119" t="n"/>
      <c r="DO8" s="118" t="n"/>
      <c r="DP8" s="119" t="n"/>
      <c r="DQ8" s="118" t="n"/>
      <c r="DR8" s="119" t="n"/>
      <c r="DS8" s="118" t="n"/>
      <c r="DT8" s="119" t="n"/>
      <c r="DU8" s="120" t="n"/>
      <c r="DV8" s="121" t="n"/>
      <c r="DW8" s="122" t="n"/>
      <c r="DX8" s="121" t="n"/>
      <c r="DY8" s="122" t="n"/>
      <c r="DZ8" s="121" t="n"/>
      <c r="EA8" s="122" t="n"/>
      <c r="EB8" s="121" t="n"/>
      <c r="EC8" s="122" t="n"/>
      <c r="ED8" s="121" t="n"/>
      <c r="EE8" s="122" t="n"/>
      <c r="EF8" s="121" t="n"/>
      <c r="EG8" s="122" t="n"/>
      <c r="EH8" s="121" t="n"/>
      <c r="EI8" s="122" t="n"/>
      <c r="EJ8" s="121" t="n"/>
      <c r="EK8" s="122" t="n"/>
      <c r="EL8" s="123" t="n"/>
      <c r="EM8" s="124" t="n"/>
      <c r="EN8" s="125" t="n"/>
      <c r="EO8" s="124" t="n"/>
      <c r="EP8" s="125" t="n"/>
      <c r="EQ8" s="124" t="n"/>
      <c r="ER8" s="125" t="n"/>
      <c r="ES8" s="124" t="n"/>
      <c r="ET8" s="125" t="n"/>
      <c r="EU8" s="124" t="n"/>
      <c r="EV8" s="125" t="n"/>
      <c r="EW8" s="124" t="n"/>
      <c r="EX8" s="125" t="n"/>
      <c r="EY8" s="124" t="n"/>
      <c r="EZ8" s="125" t="n"/>
      <c r="FA8" s="124" t="n"/>
      <c r="FB8" s="125" t="n"/>
      <c r="FC8" s="126" t="n"/>
      <c r="FD8" s="127" t="n"/>
      <c r="FE8" s="128" t="n"/>
      <c r="FF8" s="127" t="n"/>
      <c r="FG8" s="128" t="n"/>
      <c r="FH8" s="127" t="n"/>
      <c r="FI8" s="128" t="n"/>
      <c r="FJ8" s="127" t="n"/>
      <c r="FK8" s="128" t="n"/>
      <c r="FL8" s="127" t="n"/>
      <c r="FM8" s="128" t="n"/>
      <c r="FN8" s="127" t="n"/>
      <c r="FO8" s="128" t="n"/>
      <c r="FP8" s="127" t="n"/>
      <c r="FQ8" s="128" t="n"/>
      <c r="FR8" s="127" t="n"/>
      <c r="FS8" s="128" t="n"/>
      <c r="FT8" s="129" t="n"/>
      <c r="FU8" s="130" t="n"/>
      <c r="FV8" s="131" t="n"/>
      <c r="FW8" s="130" t="n"/>
      <c r="FX8" s="131" t="n"/>
      <c r="FY8" s="130" t="n"/>
      <c r="FZ8" s="131" t="n"/>
      <c r="GA8" s="130" t="n"/>
      <c r="GB8" s="131" t="n"/>
      <c r="GC8" s="130" t="n"/>
      <c r="GD8" s="131" t="n"/>
      <c r="GE8" s="130" t="n"/>
      <c r="GF8" s="131" t="n"/>
      <c r="GG8" s="130" t="n"/>
      <c r="GH8" s="131" t="n"/>
      <c r="GI8" s="130" t="n"/>
      <c r="GJ8" s="131" t="n"/>
      <c r="GK8" s="132" t="n"/>
      <c r="GL8" s="133" t="n"/>
      <c r="GM8" s="134" t="n"/>
      <c r="GN8" s="133" t="n"/>
      <c r="GO8" s="134" t="n"/>
      <c r="GP8" s="133" t="n"/>
      <c r="GQ8" s="134" t="n"/>
      <c r="GR8" s="133" t="n"/>
      <c r="GS8" s="134" t="n"/>
      <c r="GT8" s="133" t="n"/>
      <c r="GU8" s="134" t="n"/>
      <c r="GV8" s="133" t="n"/>
      <c r="GW8" s="134" t="n"/>
      <c r="GX8" s="133" t="n"/>
      <c r="GY8" s="134" t="n"/>
      <c r="GZ8" s="133" t="n"/>
      <c r="HA8" s="134" t="n"/>
      <c r="HB8" s="135" t="n"/>
      <c r="HC8">
        <f>97-SUMPRODUCT(MAX(($G$4:$HB$4="ح")*($G8:$HB8=TRUE)*(97-$G$47:$HB$47)))</f>
        <v>97</v>
      </c>
      <c r="HD8">
        <f>SUMPRODUCT(($G$4:$HB$4="ح")*($G8:$HB8=TRUE)*($G$47:$HB$47&gt;$HC$1-8))</f>
        <v>0</v>
      </c>
      <c r="HE8">
        <f>(COUNTIF($G8:$V8,TRUE)&gt;0)*($W8&lt;&gt;TRUE)+(COUNTIF($X8:$AM8,TRUE)&gt;0)*($AN8&lt;&gt;TRUE)+(COUNTIF($AO8:$BD8,TRUE)&gt;0)*($BE8&lt;&gt;TRUE)+(COUNTIF($BF8:$BU8,TRUE)&gt;0)*($BV8&lt;&gt;TRUE)+(COUNTIF($BW8:$CL8,TRUE)&gt;0)*($CM8&lt;&gt;TRUE)+(COUNTIF($CN8:$DC8,TRUE)&gt;0)*($DD8&lt;&gt;TRUE)+(COUNTIF($DE8:$DT8,TRUE)&gt;0)*($DU8&lt;&gt;TRUE)+(COUNTIF($DV8:$EK8,TRUE)&gt;0)*($EL8&lt;&gt;TRUE)+(COUNTIF($EM8:$FB8,TRUE)&gt;0)*($FC8&lt;&gt;TRUE)+(COUNTIF($FD8:$FS8,TRUE)&gt;0)*($FT8&lt;&gt;TRUE)+(COUNTIF($FU8:$GJ8,TRUE)&gt;0)*($GK8&lt;&gt;TRUE)+(COUNTIF($GL8:$HA8,TRUE)&gt;0)*($HB8&lt;&gt;TRUE)</f>
        <v>0</v>
      </c>
      <c r="HF8">
        <f>IF($HE8=0,0,13-MAX((COUNTIF($G8:$V8,TRUE)&gt;0)*($W8&lt;&gt;TRUE)*12,(COUNTIF($X8:$AM8,TRUE)&gt;0)*($AN8&lt;&gt;TRUE)*11,(COUNTIF($AO8:$BD8,TRUE)&gt;0)*($BE8&lt;&gt;TRUE)*10,(COUNTIF($BF8:$BU8,TRUE)&gt;0)*($BV8&lt;&gt;TRUE)*9,(COUNTIF($BW8:$CL8,TRUE)&gt;0)*($CM8&lt;&gt;TRUE)*8,(COUNTIF($CN8:$DC8,TRUE)&gt;0)*($DD8&lt;&gt;TRUE)*7,(COUNTIF($DE8:$DT8,TRUE)&gt;0)*($DU8&lt;&gt;TRUE)*6,(COUNTIF($DV8:$EK8,TRUE)&gt;0)*($EL8&lt;&gt;TRUE)*5,(COUNTIF($EM8:$FB8,TRUE)&gt;0)*($FC8&lt;&gt;TRUE)*4,(COUNTIF($FD8:$FS8,TRUE)&gt;0)*($FT8&lt;&gt;TRUE)*3,(COUNTIF($FU8:$GJ8,TRUE)&gt;0)*($GK8&lt;&gt;TRUE)*2,(COUNTIF($GL8:$HA8,TRUE)&gt;0)*($HB8&lt;&gt;TRUE)*1))</f>
        <v>0</v>
      </c>
    </row>
    <row r="9" ht="22.5" customHeight="1">
      <c r="A9" s="36" t="n">
        <v>5</v>
      </c>
      <c r="B9" s="97" t="n"/>
      <c r="C9" s="28" t="n"/>
      <c r="D9" s="98" t="str">
        <f>IF($B9="","",IF($HC9=97,"-",IF($HD9=0,"متوقف",SUMPRODUCT(($G$4:$HB$4="ح")*($G$20:$HB$20&gt;0)*($G9:$HB9&lt;&gt;TRUE)*($G$47:$HB$47&gt;$HC$1-8)*($G$47:$HB$47&gt;=$HC9)))))</f>
        <v/>
      </c>
      <c r="E9" s="98" t="str">
        <f>IF(OR($B9="",$HC9=97),"",SUMPRODUCT(($G$4:$HA$4="ح")*($G9:$HA9=TRUE)*($H9:$HB9&lt;&gt;TRUE)*($G$47:$HA$47&gt;$HC$1-8)))</f>
        <v/>
      </c>
      <c r="F9" s="99" t="str">
        <f>IF($B9="","",IF($HE9=0,IF($HC9=97,"-","تمام"),IF($HE9=1,IF(INDEX($G$1:$HB$1,1,17*($HF9-1)+1)="","شهر "&amp;$HF9,INDEX($G$1:$HB$1,1,17*($HF9-1)+1)),IF($HE9=2,"شهرين",$HE9&amp;" شهور"))))</f>
        <v/>
      </c>
      <c r="G9" s="100" t="n"/>
      <c r="H9" s="101" t="n"/>
      <c r="I9" s="100" t="n"/>
      <c r="J9" s="101" t="n"/>
      <c r="K9" s="100" t="n"/>
      <c r="L9" s="101" t="n"/>
      <c r="M9" s="100" t="n"/>
      <c r="N9" s="101" t="n"/>
      <c r="O9" s="100" t="n"/>
      <c r="P9" s="101" t="n"/>
      <c r="Q9" s="100" t="n"/>
      <c r="R9" s="101" t="n"/>
      <c r="S9" s="100" t="n"/>
      <c r="T9" s="101" t="n"/>
      <c r="U9" s="100" t="n"/>
      <c r="V9" s="101" t="n"/>
      <c r="W9" s="102" t="n"/>
      <c r="X9" s="103" t="n"/>
      <c r="Y9" s="104" t="n"/>
      <c r="Z9" s="103" t="n"/>
      <c r="AA9" s="104" t="n"/>
      <c r="AB9" s="103" t="n"/>
      <c r="AC9" s="104" t="n"/>
      <c r="AD9" s="103" t="n"/>
      <c r="AE9" s="104" t="n"/>
      <c r="AF9" s="103" t="n"/>
      <c r="AG9" s="104" t="n"/>
      <c r="AH9" s="103" t="n"/>
      <c r="AI9" s="104" t="n"/>
      <c r="AJ9" s="103" t="n"/>
      <c r="AK9" s="104" t="n"/>
      <c r="AL9" s="103" t="n"/>
      <c r="AM9" s="104" t="n"/>
      <c r="AN9" s="105" t="n"/>
      <c r="AO9" s="106" t="n"/>
      <c r="AP9" s="107" t="n"/>
      <c r="AQ9" s="106" t="n"/>
      <c r="AR9" s="107" t="n"/>
      <c r="AS9" s="106" t="n"/>
      <c r="AT9" s="107" t="n"/>
      <c r="AU9" s="106" t="n"/>
      <c r="AV9" s="107" t="n"/>
      <c r="AW9" s="106" t="n"/>
      <c r="AX9" s="107" t="n"/>
      <c r="AY9" s="106" t="n"/>
      <c r="AZ9" s="107" t="n"/>
      <c r="BA9" s="106" t="n"/>
      <c r="BB9" s="107" t="n"/>
      <c r="BC9" s="106" t="n"/>
      <c r="BD9" s="107" t="n"/>
      <c r="BE9" s="108" t="n"/>
      <c r="BF9" s="109" t="n"/>
      <c r="BG9" s="110" t="n"/>
      <c r="BH9" s="109" t="n"/>
      <c r="BI9" s="110" t="n"/>
      <c r="BJ9" s="109" t="n"/>
      <c r="BK9" s="110" t="n"/>
      <c r="BL9" s="109" t="n"/>
      <c r="BM9" s="110" t="n"/>
      <c r="BN9" s="109" t="n"/>
      <c r="BO9" s="110" t="n"/>
      <c r="BP9" s="109" t="n"/>
      <c r="BQ9" s="110" t="n"/>
      <c r="BR9" s="109" t="n"/>
      <c r="BS9" s="110" t="n"/>
      <c r="BT9" s="109" t="n"/>
      <c r="BU9" s="110" t="n"/>
      <c r="BV9" s="111" t="n"/>
      <c r="BW9" s="112" t="n"/>
      <c r="BX9" s="113" t="n"/>
      <c r="BY9" s="112" t="n"/>
      <c r="BZ9" s="113" t="n"/>
      <c r="CA9" s="112" t="n"/>
      <c r="CB9" s="113" t="n"/>
      <c r="CC9" s="112" t="n"/>
      <c r="CD9" s="113" t="n"/>
      <c r="CE9" s="112" t="n"/>
      <c r="CF9" s="113" t="n"/>
      <c r="CG9" s="112" t="n"/>
      <c r="CH9" s="113" t="n"/>
      <c r="CI9" s="112" t="n"/>
      <c r="CJ9" s="113" t="n"/>
      <c r="CK9" s="112" t="n"/>
      <c r="CL9" s="113" t="n"/>
      <c r="CM9" s="114" t="n"/>
      <c r="CN9" s="115" t="n"/>
      <c r="CO9" s="116" t="n"/>
      <c r="CP9" s="115" t="n"/>
      <c r="CQ9" s="116" t="n"/>
      <c r="CR9" s="115" t="n"/>
      <c r="CS9" s="116" t="n"/>
      <c r="CT9" s="115" t="n"/>
      <c r="CU9" s="116" t="n"/>
      <c r="CV9" s="115" t="n"/>
      <c r="CW9" s="116" t="n"/>
      <c r="CX9" s="115" t="n"/>
      <c r="CY9" s="116" t="n"/>
      <c r="CZ9" s="115" t="n"/>
      <c r="DA9" s="116" t="n"/>
      <c r="DB9" s="115" t="n"/>
      <c r="DC9" s="116" t="n"/>
      <c r="DD9" s="117" t="n"/>
      <c r="DE9" s="118" t="n"/>
      <c r="DF9" s="119" t="n"/>
      <c r="DG9" s="118" t="n"/>
      <c r="DH9" s="119" t="n"/>
      <c r="DI9" s="118" t="n"/>
      <c r="DJ9" s="119" t="n"/>
      <c r="DK9" s="118" t="n"/>
      <c r="DL9" s="119" t="n"/>
      <c r="DM9" s="118" t="n"/>
      <c r="DN9" s="119" t="n"/>
      <c r="DO9" s="118" t="n"/>
      <c r="DP9" s="119" t="n"/>
      <c r="DQ9" s="118" t="n"/>
      <c r="DR9" s="119" t="n"/>
      <c r="DS9" s="118" t="n"/>
      <c r="DT9" s="119" t="n"/>
      <c r="DU9" s="120" t="n"/>
      <c r="DV9" s="121" t="n"/>
      <c r="DW9" s="122" t="n"/>
      <c r="DX9" s="121" t="n"/>
      <c r="DY9" s="122" t="n"/>
      <c r="DZ9" s="121" t="n"/>
      <c r="EA9" s="122" t="n"/>
      <c r="EB9" s="121" t="n"/>
      <c r="EC9" s="122" t="n"/>
      <c r="ED9" s="121" t="n"/>
      <c r="EE9" s="122" t="n"/>
      <c r="EF9" s="121" t="n"/>
      <c r="EG9" s="122" t="n"/>
      <c r="EH9" s="121" t="n"/>
      <c r="EI9" s="122" t="n"/>
      <c r="EJ9" s="121" t="n"/>
      <c r="EK9" s="122" t="n"/>
      <c r="EL9" s="123" t="n"/>
      <c r="EM9" s="124" t="n"/>
      <c r="EN9" s="125" t="n"/>
      <c r="EO9" s="124" t="n"/>
      <c r="EP9" s="125" t="n"/>
      <c r="EQ9" s="124" t="n"/>
      <c r="ER9" s="125" t="n"/>
      <c r="ES9" s="124" t="n"/>
      <c r="ET9" s="125" t="n"/>
      <c r="EU9" s="124" t="n"/>
      <c r="EV9" s="125" t="n"/>
      <c r="EW9" s="124" t="n"/>
      <c r="EX9" s="125" t="n"/>
      <c r="EY9" s="124" t="n"/>
      <c r="EZ9" s="125" t="n"/>
      <c r="FA9" s="124" t="n"/>
      <c r="FB9" s="125" t="n"/>
      <c r="FC9" s="126" t="n"/>
      <c r="FD9" s="127" t="n"/>
      <c r="FE9" s="128" t="n"/>
      <c r="FF9" s="127" t="n"/>
      <c r="FG9" s="128" t="n"/>
      <c r="FH9" s="127" t="n"/>
      <c r="FI9" s="128" t="n"/>
      <c r="FJ9" s="127" t="n"/>
      <c r="FK9" s="128" t="n"/>
      <c r="FL9" s="127" t="n"/>
      <c r="FM9" s="128" t="n"/>
      <c r="FN9" s="127" t="n"/>
      <c r="FO9" s="128" t="n"/>
      <c r="FP9" s="127" t="n"/>
      <c r="FQ9" s="128" t="n"/>
      <c r="FR9" s="127" t="n"/>
      <c r="FS9" s="128" t="n"/>
      <c r="FT9" s="129" t="n"/>
      <c r="FU9" s="130" t="n"/>
      <c r="FV9" s="131" t="n"/>
      <c r="FW9" s="130" t="n"/>
      <c r="FX9" s="131" t="n"/>
      <c r="FY9" s="130" t="n"/>
      <c r="FZ9" s="131" t="n"/>
      <c r="GA9" s="130" t="n"/>
      <c r="GB9" s="131" t="n"/>
      <c r="GC9" s="130" t="n"/>
      <c r="GD9" s="131" t="n"/>
      <c r="GE9" s="130" t="n"/>
      <c r="GF9" s="131" t="n"/>
      <c r="GG9" s="130" t="n"/>
      <c r="GH9" s="131" t="n"/>
      <c r="GI9" s="130" t="n"/>
      <c r="GJ9" s="131" t="n"/>
      <c r="GK9" s="132" t="n"/>
      <c r="GL9" s="133" t="n"/>
      <c r="GM9" s="134" t="n"/>
      <c r="GN9" s="133" t="n"/>
      <c r="GO9" s="134" t="n"/>
      <c r="GP9" s="133" t="n"/>
      <c r="GQ9" s="134" t="n"/>
      <c r="GR9" s="133" t="n"/>
      <c r="GS9" s="134" t="n"/>
      <c r="GT9" s="133" t="n"/>
      <c r="GU9" s="134" t="n"/>
      <c r="GV9" s="133" t="n"/>
      <c r="GW9" s="134" t="n"/>
      <c r="GX9" s="133" t="n"/>
      <c r="GY9" s="134" t="n"/>
      <c r="GZ9" s="133" t="n"/>
      <c r="HA9" s="134" t="n"/>
      <c r="HB9" s="135" t="n"/>
      <c r="HC9">
        <f>97-SUMPRODUCT(MAX(($G$4:$HB$4="ح")*($G9:$HB9=TRUE)*(97-$G$47:$HB$47)))</f>
        <v>97</v>
      </c>
      <c r="HD9">
        <f>SUMPRODUCT(($G$4:$HB$4="ح")*($G9:$HB9=TRUE)*($G$47:$HB$47&gt;$HC$1-8))</f>
        <v>0</v>
      </c>
      <c r="HE9">
        <f>(COUNTIF($G9:$V9,TRUE)&gt;0)*($W9&lt;&gt;TRUE)+(COUNTIF($X9:$AM9,TRUE)&gt;0)*($AN9&lt;&gt;TRUE)+(COUNTIF($AO9:$BD9,TRUE)&gt;0)*($BE9&lt;&gt;TRUE)+(COUNTIF($BF9:$BU9,TRUE)&gt;0)*($BV9&lt;&gt;TRUE)+(COUNTIF($BW9:$CL9,TRUE)&gt;0)*($CM9&lt;&gt;TRUE)+(COUNTIF($CN9:$DC9,TRUE)&gt;0)*($DD9&lt;&gt;TRUE)+(COUNTIF($DE9:$DT9,TRUE)&gt;0)*($DU9&lt;&gt;TRUE)+(COUNTIF($DV9:$EK9,TRUE)&gt;0)*($EL9&lt;&gt;TRUE)+(COUNTIF($EM9:$FB9,TRUE)&gt;0)*($FC9&lt;&gt;TRUE)+(COUNTIF($FD9:$FS9,TRUE)&gt;0)*($FT9&lt;&gt;TRUE)+(COUNTIF($FU9:$GJ9,TRUE)&gt;0)*($GK9&lt;&gt;TRUE)+(COUNTIF($GL9:$HA9,TRUE)&gt;0)*($HB9&lt;&gt;TRUE)</f>
        <v>0</v>
      </c>
      <c r="HF9">
        <f>IF($HE9=0,0,13-MAX((COUNTIF($G9:$V9,TRUE)&gt;0)*($W9&lt;&gt;TRUE)*12,(COUNTIF($X9:$AM9,TRUE)&gt;0)*($AN9&lt;&gt;TRUE)*11,(COUNTIF($AO9:$BD9,TRUE)&gt;0)*($BE9&lt;&gt;TRUE)*10,(COUNTIF($BF9:$BU9,TRUE)&gt;0)*($BV9&lt;&gt;TRUE)*9,(COUNTIF($BW9:$CL9,TRUE)&gt;0)*($CM9&lt;&gt;TRUE)*8,(COUNTIF($CN9:$DC9,TRUE)&gt;0)*($DD9&lt;&gt;TRUE)*7,(COUNTIF($DE9:$DT9,TRUE)&gt;0)*($DU9&lt;&gt;TRUE)*6,(COUNTIF($DV9:$EK9,TRUE)&gt;0)*($EL9&lt;&gt;TRUE)*5,(COUNTIF($EM9:$FB9,TRUE)&gt;0)*($FC9&lt;&gt;TRUE)*4,(COUNTIF($FD9:$FS9,TRUE)&gt;0)*($FT9&lt;&gt;TRUE)*3,(COUNTIF($FU9:$GJ9,TRUE)&gt;0)*($GK9&lt;&gt;TRUE)*2,(COUNTIF($GL9:$HA9,TRUE)&gt;0)*($HB9&lt;&gt;TRUE)*1))</f>
        <v>0</v>
      </c>
    </row>
    <row r="10" ht="22.5" customHeight="1">
      <c r="A10" s="36" t="n">
        <v>6</v>
      </c>
      <c r="B10" s="97" t="n"/>
      <c r="C10" s="28" t="n"/>
      <c r="D10" s="98" t="str">
        <f>IF($B10="","",IF($HC10=97,"-",IF($HD10=0,"متوقف",SUMPRODUCT(($G$4:$HB$4="ح")*($G$20:$HB$20&gt;0)*($G10:$HB10&lt;&gt;TRUE)*($G$47:$HB$47&gt;$HC$1-8)*($G$47:$HB$47&gt;=$HC10)))))</f>
        <v/>
      </c>
      <c r="E10" s="98" t="str">
        <f>IF(OR($B10="",$HC10=97),"",SUMPRODUCT(($G$4:$HA$4="ح")*($G10:$HA10=TRUE)*($H10:$HB10&lt;&gt;TRUE)*($G$47:$HA$47&gt;$HC$1-8)))</f>
        <v/>
      </c>
      <c r="F10" s="99" t="str">
        <f>IF($B10="","",IF($HE10=0,IF($HC10=97,"-","تمام"),IF($HE10=1,IF(INDEX($G$1:$HB$1,1,17*($HF10-1)+1)="","شهر "&amp;$HF10,INDEX($G$1:$HB$1,1,17*($HF10-1)+1)),IF($HE10=2,"شهرين",$HE10&amp;" شهور"))))</f>
        <v/>
      </c>
      <c r="G10" s="100" t="n"/>
      <c r="H10" s="101" t="n"/>
      <c r="I10" s="100" t="n"/>
      <c r="J10" s="101" t="n"/>
      <c r="K10" s="100" t="n"/>
      <c r="L10" s="101" t="n"/>
      <c r="M10" s="100" t="n"/>
      <c r="N10" s="101" t="n"/>
      <c r="O10" s="100" t="n"/>
      <c r="P10" s="101" t="n"/>
      <c r="Q10" s="100" t="n"/>
      <c r="R10" s="101" t="n"/>
      <c r="S10" s="100" t="n"/>
      <c r="T10" s="101" t="n"/>
      <c r="U10" s="100" t="n"/>
      <c r="V10" s="101" t="n"/>
      <c r="W10" s="102" t="n"/>
      <c r="X10" s="103" t="n"/>
      <c r="Y10" s="104" t="n"/>
      <c r="Z10" s="103" t="n"/>
      <c r="AA10" s="104" t="n"/>
      <c r="AB10" s="103" t="n"/>
      <c r="AC10" s="104" t="n"/>
      <c r="AD10" s="103" t="n"/>
      <c r="AE10" s="104" t="n"/>
      <c r="AF10" s="103" t="n"/>
      <c r="AG10" s="104" t="n"/>
      <c r="AH10" s="103" t="n"/>
      <c r="AI10" s="104" t="n"/>
      <c r="AJ10" s="103" t="n"/>
      <c r="AK10" s="104" t="n"/>
      <c r="AL10" s="103" t="n"/>
      <c r="AM10" s="104" t="n"/>
      <c r="AN10" s="105" t="n"/>
      <c r="AO10" s="106" t="n"/>
      <c r="AP10" s="107" t="n"/>
      <c r="AQ10" s="106" t="n"/>
      <c r="AR10" s="107" t="n"/>
      <c r="AS10" s="106" t="n"/>
      <c r="AT10" s="107" t="n"/>
      <c r="AU10" s="106" t="n"/>
      <c r="AV10" s="107" t="n"/>
      <c r="AW10" s="106" t="n"/>
      <c r="AX10" s="107" t="n"/>
      <c r="AY10" s="106" t="n"/>
      <c r="AZ10" s="107" t="n"/>
      <c r="BA10" s="106" t="n"/>
      <c r="BB10" s="107" t="n"/>
      <c r="BC10" s="106" t="n"/>
      <c r="BD10" s="107" t="n"/>
      <c r="BE10" s="108" t="n"/>
      <c r="BF10" s="109" t="n"/>
      <c r="BG10" s="110" t="n"/>
      <c r="BH10" s="109" t="n"/>
      <c r="BI10" s="110" t="n"/>
      <c r="BJ10" s="109" t="n"/>
      <c r="BK10" s="110" t="n"/>
      <c r="BL10" s="109" t="n"/>
      <c r="BM10" s="110" t="n"/>
      <c r="BN10" s="109" t="n"/>
      <c r="BO10" s="110" t="n"/>
      <c r="BP10" s="109" t="n"/>
      <c r="BQ10" s="110" t="n"/>
      <c r="BR10" s="109" t="n"/>
      <c r="BS10" s="110" t="n"/>
      <c r="BT10" s="109" t="n"/>
      <c r="BU10" s="110" t="n"/>
      <c r="BV10" s="111" t="n"/>
      <c r="BW10" s="112" t="n"/>
      <c r="BX10" s="113" t="n"/>
      <c r="BY10" s="112" t="n"/>
      <c r="BZ10" s="113" t="n"/>
      <c r="CA10" s="112" t="n"/>
      <c r="CB10" s="113" t="n"/>
      <c r="CC10" s="112" t="n"/>
      <c r="CD10" s="113" t="n"/>
      <c r="CE10" s="112" t="n"/>
      <c r="CF10" s="113" t="n"/>
      <c r="CG10" s="112" t="n"/>
      <c r="CH10" s="113" t="n"/>
      <c r="CI10" s="112" t="n"/>
      <c r="CJ10" s="113" t="n"/>
      <c r="CK10" s="112" t="n"/>
      <c r="CL10" s="113" t="n"/>
      <c r="CM10" s="114" t="n"/>
      <c r="CN10" s="115" t="n"/>
      <c r="CO10" s="116" t="n"/>
      <c r="CP10" s="115" t="n"/>
      <c r="CQ10" s="116" t="n"/>
      <c r="CR10" s="115" t="n"/>
      <c r="CS10" s="116" t="n"/>
      <c r="CT10" s="115" t="n"/>
      <c r="CU10" s="116" t="n"/>
      <c r="CV10" s="115" t="n"/>
      <c r="CW10" s="116" t="n"/>
      <c r="CX10" s="115" t="n"/>
      <c r="CY10" s="116" t="n"/>
      <c r="CZ10" s="115" t="n"/>
      <c r="DA10" s="116" t="n"/>
      <c r="DB10" s="115" t="n"/>
      <c r="DC10" s="116" t="n"/>
      <c r="DD10" s="117" t="n"/>
      <c r="DE10" s="118" t="n"/>
      <c r="DF10" s="119" t="n"/>
      <c r="DG10" s="118" t="n"/>
      <c r="DH10" s="119" t="n"/>
      <c r="DI10" s="118" t="n"/>
      <c r="DJ10" s="119" t="n"/>
      <c r="DK10" s="118" t="n"/>
      <c r="DL10" s="119" t="n"/>
      <c r="DM10" s="118" t="n"/>
      <c r="DN10" s="119" t="n"/>
      <c r="DO10" s="118" t="n"/>
      <c r="DP10" s="119" t="n"/>
      <c r="DQ10" s="118" t="n"/>
      <c r="DR10" s="119" t="n"/>
      <c r="DS10" s="118" t="n"/>
      <c r="DT10" s="119" t="n"/>
      <c r="DU10" s="120" t="n"/>
      <c r="DV10" s="121" t="n"/>
      <c r="DW10" s="122" t="n"/>
      <c r="DX10" s="121" t="n"/>
      <c r="DY10" s="122" t="n"/>
      <c r="DZ10" s="121" t="n"/>
      <c r="EA10" s="122" t="n"/>
      <c r="EB10" s="121" t="n"/>
      <c r="EC10" s="122" t="n"/>
      <c r="ED10" s="121" t="n"/>
      <c r="EE10" s="122" t="n"/>
      <c r="EF10" s="121" t="n"/>
      <c r="EG10" s="122" t="n"/>
      <c r="EH10" s="121" t="n"/>
      <c r="EI10" s="122" t="n"/>
      <c r="EJ10" s="121" t="n"/>
      <c r="EK10" s="122" t="n"/>
      <c r="EL10" s="123" t="n"/>
      <c r="EM10" s="124" t="n"/>
      <c r="EN10" s="125" t="n"/>
      <c r="EO10" s="124" t="n"/>
      <c r="EP10" s="125" t="n"/>
      <c r="EQ10" s="124" t="n"/>
      <c r="ER10" s="125" t="n"/>
      <c r="ES10" s="124" t="n"/>
      <c r="ET10" s="125" t="n"/>
      <c r="EU10" s="124" t="n"/>
      <c r="EV10" s="125" t="n"/>
      <c r="EW10" s="124" t="n"/>
      <c r="EX10" s="125" t="n"/>
      <c r="EY10" s="124" t="n"/>
      <c r="EZ10" s="125" t="n"/>
      <c r="FA10" s="124" t="n"/>
      <c r="FB10" s="125" t="n"/>
      <c r="FC10" s="126" t="n"/>
      <c r="FD10" s="127" t="n"/>
      <c r="FE10" s="128" t="n"/>
      <c r="FF10" s="127" t="n"/>
      <c r="FG10" s="128" t="n"/>
      <c r="FH10" s="127" t="n"/>
      <c r="FI10" s="128" t="n"/>
      <c r="FJ10" s="127" t="n"/>
      <c r="FK10" s="128" t="n"/>
      <c r="FL10" s="127" t="n"/>
      <c r="FM10" s="128" t="n"/>
      <c r="FN10" s="127" t="n"/>
      <c r="FO10" s="128" t="n"/>
      <c r="FP10" s="127" t="n"/>
      <c r="FQ10" s="128" t="n"/>
      <c r="FR10" s="127" t="n"/>
      <c r="FS10" s="128" t="n"/>
      <c r="FT10" s="129" t="n"/>
      <c r="FU10" s="130" t="n"/>
      <c r="FV10" s="131" t="n"/>
      <c r="FW10" s="130" t="n"/>
      <c r="FX10" s="131" t="n"/>
      <c r="FY10" s="130" t="n"/>
      <c r="FZ10" s="131" t="n"/>
      <c r="GA10" s="130" t="n"/>
      <c r="GB10" s="131" t="n"/>
      <c r="GC10" s="130" t="n"/>
      <c r="GD10" s="131" t="n"/>
      <c r="GE10" s="130" t="n"/>
      <c r="GF10" s="131" t="n"/>
      <c r="GG10" s="130" t="n"/>
      <c r="GH10" s="131" t="n"/>
      <c r="GI10" s="130" t="n"/>
      <c r="GJ10" s="131" t="n"/>
      <c r="GK10" s="132" t="n"/>
      <c r="GL10" s="133" t="n"/>
      <c r="GM10" s="134" t="n"/>
      <c r="GN10" s="133" t="n"/>
      <c r="GO10" s="134" t="n"/>
      <c r="GP10" s="133" t="n"/>
      <c r="GQ10" s="134" t="n"/>
      <c r="GR10" s="133" t="n"/>
      <c r="GS10" s="134" t="n"/>
      <c r="GT10" s="133" t="n"/>
      <c r="GU10" s="134" t="n"/>
      <c r="GV10" s="133" t="n"/>
      <c r="GW10" s="134" t="n"/>
      <c r="GX10" s="133" t="n"/>
      <c r="GY10" s="134" t="n"/>
      <c r="GZ10" s="133" t="n"/>
      <c r="HA10" s="134" t="n"/>
      <c r="HB10" s="135" t="n"/>
      <c r="HC10">
        <f>97-SUMPRODUCT(MAX(($G$4:$HB$4="ح")*($G10:$HB10=TRUE)*(97-$G$47:$HB$47)))</f>
        <v>97</v>
      </c>
      <c r="HD10">
        <f>SUMPRODUCT(($G$4:$HB$4="ح")*($G10:$HB10=TRUE)*($G$47:$HB$47&gt;$HC$1-8))</f>
        <v>0</v>
      </c>
      <c r="HE10">
        <f>(COUNTIF($G10:$V10,TRUE)&gt;0)*($W10&lt;&gt;TRUE)+(COUNTIF($X10:$AM10,TRUE)&gt;0)*($AN10&lt;&gt;TRUE)+(COUNTIF($AO10:$BD10,TRUE)&gt;0)*($BE10&lt;&gt;TRUE)+(COUNTIF($BF10:$BU10,TRUE)&gt;0)*($BV10&lt;&gt;TRUE)+(COUNTIF($BW10:$CL10,TRUE)&gt;0)*($CM10&lt;&gt;TRUE)+(COUNTIF($CN10:$DC10,TRUE)&gt;0)*($DD10&lt;&gt;TRUE)+(COUNTIF($DE10:$DT10,TRUE)&gt;0)*($DU10&lt;&gt;TRUE)+(COUNTIF($DV10:$EK10,TRUE)&gt;0)*($EL10&lt;&gt;TRUE)+(COUNTIF($EM10:$FB10,TRUE)&gt;0)*($FC10&lt;&gt;TRUE)+(COUNTIF($FD10:$FS10,TRUE)&gt;0)*($FT10&lt;&gt;TRUE)+(COUNTIF($FU10:$GJ10,TRUE)&gt;0)*($GK10&lt;&gt;TRUE)+(COUNTIF($GL10:$HA10,TRUE)&gt;0)*($HB10&lt;&gt;TRUE)</f>
        <v>0</v>
      </c>
      <c r="HF10">
        <f>IF($HE10=0,0,13-MAX((COUNTIF($G10:$V10,TRUE)&gt;0)*($W10&lt;&gt;TRUE)*12,(COUNTIF($X10:$AM10,TRUE)&gt;0)*($AN10&lt;&gt;TRUE)*11,(COUNTIF($AO10:$BD10,TRUE)&gt;0)*($BE10&lt;&gt;TRUE)*10,(COUNTIF($BF10:$BU10,TRUE)&gt;0)*($BV10&lt;&gt;TRUE)*9,(COUNTIF($BW10:$CL10,TRUE)&gt;0)*($CM10&lt;&gt;TRUE)*8,(COUNTIF($CN10:$DC10,TRUE)&gt;0)*($DD10&lt;&gt;TRUE)*7,(COUNTIF($DE10:$DT10,TRUE)&gt;0)*($DU10&lt;&gt;TRUE)*6,(COUNTIF($DV10:$EK10,TRUE)&gt;0)*($EL10&lt;&gt;TRUE)*5,(COUNTIF($EM10:$FB10,TRUE)&gt;0)*($FC10&lt;&gt;TRUE)*4,(COUNTIF($FD10:$FS10,TRUE)&gt;0)*($FT10&lt;&gt;TRUE)*3,(COUNTIF($FU10:$GJ10,TRUE)&gt;0)*($GK10&lt;&gt;TRUE)*2,(COUNTIF($GL10:$HA10,TRUE)&gt;0)*($HB10&lt;&gt;TRUE)*1))</f>
        <v>0</v>
      </c>
    </row>
    <row r="11" ht="22.5" customHeight="1">
      <c r="A11" s="36" t="n">
        <v>7</v>
      </c>
      <c r="B11" s="97" t="n"/>
      <c r="C11" s="28" t="n"/>
      <c r="D11" s="98" t="str">
        <f>IF($B11="","",IF($HC11=97,"-",IF($HD11=0,"متوقف",SUMPRODUCT(($G$4:$HB$4="ح")*($G$20:$HB$20&gt;0)*($G11:$HB11&lt;&gt;TRUE)*($G$47:$HB$47&gt;$HC$1-8)*($G$47:$HB$47&gt;=$HC11)))))</f>
        <v/>
      </c>
      <c r="E11" s="98" t="str">
        <f>IF(OR($B11="",$HC11=97),"",SUMPRODUCT(($G$4:$HA$4="ح")*($G11:$HA11=TRUE)*($H11:$HB11&lt;&gt;TRUE)*($G$47:$HA$47&gt;$HC$1-8)))</f>
        <v/>
      </c>
      <c r="F11" s="99" t="str">
        <f>IF($B11="","",IF($HE11=0,IF($HC11=97,"-","تمام"),IF($HE11=1,IF(INDEX($G$1:$HB$1,1,17*($HF11-1)+1)="","شهر "&amp;$HF11,INDEX($G$1:$HB$1,1,17*($HF11-1)+1)),IF($HE11=2,"شهرين",$HE11&amp;" شهور"))))</f>
        <v/>
      </c>
      <c r="G11" s="100" t="n"/>
      <c r="H11" s="101" t="n"/>
      <c r="I11" s="100" t="n"/>
      <c r="J11" s="101" t="n"/>
      <c r="K11" s="100" t="n"/>
      <c r="L11" s="101" t="n"/>
      <c r="M11" s="100" t="n"/>
      <c r="N11" s="101" t="n"/>
      <c r="O11" s="100" t="n"/>
      <c r="P11" s="101" t="n"/>
      <c r="Q11" s="100" t="n"/>
      <c r="R11" s="101" t="n"/>
      <c r="S11" s="100" t="n"/>
      <c r="T11" s="101" t="n"/>
      <c r="U11" s="100" t="n"/>
      <c r="V11" s="101" t="n"/>
      <c r="W11" s="102" t="n"/>
      <c r="X11" s="103" t="n"/>
      <c r="Y11" s="104" t="n"/>
      <c r="Z11" s="103" t="n"/>
      <c r="AA11" s="104" t="n"/>
      <c r="AB11" s="103" t="n"/>
      <c r="AC11" s="104" t="n"/>
      <c r="AD11" s="103" t="n"/>
      <c r="AE11" s="104" t="n"/>
      <c r="AF11" s="103" t="n"/>
      <c r="AG11" s="104" t="n"/>
      <c r="AH11" s="103" t="n"/>
      <c r="AI11" s="104" t="n"/>
      <c r="AJ11" s="103" t="n"/>
      <c r="AK11" s="104" t="n"/>
      <c r="AL11" s="103" t="n"/>
      <c r="AM11" s="104" t="n"/>
      <c r="AN11" s="105" t="n"/>
      <c r="AO11" s="106" t="n"/>
      <c r="AP11" s="107" t="n"/>
      <c r="AQ11" s="106" t="n"/>
      <c r="AR11" s="107" t="n"/>
      <c r="AS11" s="106" t="n"/>
      <c r="AT11" s="107" t="n"/>
      <c r="AU11" s="106" t="n"/>
      <c r="AV11" s="107" t="n"/>
      <c r="AW11" s="106" t="n"/>
      <c r="AX11" s="107" t="n"/>
      <c r="AY11" s="106" t="n"/>
      <c r="AZ11" s="107" t="n"/>
      <c r="BA11" s="106" t="n"/>
      <c r="BB11" s="107" t="n"/>
      <c r="BC11" s="106" t="n"/>
      <c r="BD11" s="107" t="n"/>
      <c r="BE11" s="108" t="n"/>
      <c r="BF11" s="109" t="n"/>
      <c r="BG11" s="110" t="n"/>
      <c r="BH11" s="109" t="n"/>
      <c r="BI11" s="110" t="n"/>
      <c r="BJ11" s="109" t="n"/>
      <c r="BK11" s="110" t="n"/>
      <c r="BL11" s="109" t="n"/>
      <c r="BM11" s="110" t="n"/>
      <c r="BN11" s="109" t="n"/>
      <c r="BO11" s="110" t="n"/>
      <c r="BP11" s="109" t="n"/>
      <c r="BQ11" s="110" t="n"/>
      <c r="BR11" s="109" t="n"/>
      <c r="BS11" s="110" t="n"/>
      <c r="BT11" s="109" t="n"/>
      <c r="BU11" s="110" t="n"/>
      <c r="BV11" s="111" t="n"/>
      <c r="BW11" s="112" t="n"/>
      <c r="BX11" s="113" t="n"/>
      <c r="BY11" s="112" t="n"/>
      <c r="BZ11" s="113" t="n"/>
      <c r="CA11" s="112" t="n"/>
      <c r="CB11" s="113" t="n"/>
      <c r="CC11" s="112" t="n"/>
      <c r="CD11" s="113" t="n"/>
      <c r="CE11" s="112" t="n"/>
      <c r="CF11" s="113" t="n"/>
      <c r="CG11" s="112" t="n"/>
      <c r="CH11" s="113" t="n"/>
      <c r="CI11" s="112" t="n"/>
      <c r="CJ11" s="113" t="n"/>
      <c r="CK11" s="112" t="n"/>
      <c r="CL11" s="113" t="n"/>
      <c r="CM11" s="114" t="n"/>
      <c r="CN11" s="115" t="n"/>
      <c r="CO11" s="116" t="n"/>
      <c r="CP11" s="115" t="n"/>
      <c r="CQ11" s="116" t="n"/>
      <c r="CR11" s="115" t="n"/>
      <c r="CS11" s="116" t="n"/>
      <c r="CT11" s="115" t="n"/>
      <c r="CU11" s="116" t="n"/>
      <c r="CV11" s="115" t="n"/>
      <c r="CW11" s="116" t="n"/>
      <c r="CX11" s="115" t="n"/>
      <c r="CY11" s="116" t="n"/>
      <c r="CZ11" s="115" t="n"/>
      <c r="DA11" s="116" t="n"/>
      <c r="DB11" s="115" t="n"/>
      <c r="DC11" s="116" t="n"/>
      <c r="DD11" s="117" t="n"/>
      <c r="DE11" s="118" t="n"/>
      <c r="DF11" s="119" t="n"/>
      <c r="DG11" s="118" t="n"/>
      <c r="DH11" s="119" t="n"/>
      <c r="DI11" s="118" t="n"/>
      <c r="DJ11" s="119" t="n"/>
      <c r="DK11" s="118" t="n"/>
      <c r="DL11" s="119" t="n"/>
      <c r="DM11" s="118" t="n"/>
      <c r="DN11" s="119" t="n"/>
      <c r="DO11" s="118" t="n"/>
      <c r="DP11" s="119" t="n"/>
      <c r="DQ11" s="118" t="n"/>
      <c r="DR11" s="119" t="n"/>
      <c r="DS11" s="118" t="n"/>
      <c r="DT11" s="119" t="n"/>
      <c r="DU11" s="120" t="n"/>
      <c r="DV11" s="121" t="n"/>
      <c r="DW11" s="122" t="n"/>
      <c r="DX11" s="121" t="n"/>
      <c r="DY11" s="122" t="n"/>
      <c r="DZ11" s="121" t="n"/>
      <c r="EA11" s="122" t="n"/>
      <c r="EB11" s="121" t="n"/>
      <c r="EC11" s="122" t="n"/>
      <c r="ED11" s="121" t="n"/>
      <c r="EE11" s="122" t="n"/>
      <c r="EF11" s="121" t="n"/>
      <c r="EG11" s="122" t="n"/>
      <c r="EH11" s="121" t="n"/>
      <c r="EI11" s="122" t="n"/>
      <c r="EJ11" s="121" t="n"/>
      <c r="EK11" s="122" t="n"/>
      <c r="EL11" s="123" t="n"/>
      <c r="EM11" s="124" t="n"/>
      <c r="EN11" s="125" t="n"/>
      <c r="EO11" s="124" t="n"/>
      <c r="EP11" s="125" t="n"/>
      <c r="EQ11" s="124" t="n"/>
      <c r="ER11" s="125" t="n"/>
      <c r="ES11" s="124" t="n"/>
      <c r="ET11" s="125" t="n"/>
      <c r="EU11" s="124" t="n"/>
      <c r="EV11" s="125" t="n"/>
      <c r="EW11" s="124" t="n"/>
      <c r="EX11" s="125" t="n"/>
      <c r="EY11" s="124" t="n"/>
      <c r="EZ11" s="125" t="n"/>
      <c r="FA11" s="124" t="n"/>
      <c r="FB11" s="125" t="n"/>
      <c r="FC11" s="126" t="n"/>
      <c r="FD11" s="127" t="n"/>
      <c r="FE11" s="128" t="n"/>
      <c r="FF11" s="127" t="n"/>
      <c r="FG11" s="128" t="n"/>
      <c r="FH11" s="127" t="n"/>
      <c r="FI11" s="128" t="n"/>
      <c r="FJ11" s="127" t="n"/>
      <c r="FK11" s="128" t="n"/>
      <c r="FL11" s="127" t="n"/>
      <c r="FM11" s="128" t="n"/>
      <c r="FN11" s="127" t="n"/>
      <c r="FO11" s="128" t="n"/>
      <c r="FP11" s="127" t="n"/>
      <c r="FQ11" s="128" t="n"/>
      <c r="FR11" s="127" t="n"/>
      <c r="FS11" s="128" t="n"/>
      <c r="FT11" s="129" t="n"/>
      <c r="FU11" s="130" t="n"/>
      <c r="FV11" s="131" t="n"/>
      <c r="FW11" s="130" t="n"/>
      <c r="FX11" s="131" t="n"/>
      <c r="FY11" s="130" t="n"/>
      <c r="FZ11" s="131" t="n"/>
      <c r="GA11" s="130" t="n"/>
      <c r="GB11" s="131" t="n"/>
      <c r="GC11" s="130" t="n"/>
      <c r="GD11" s="131" t="n"/>
      <c r="GE11" s="130" t="n"/>
      <c r="GF11" s="131" t="n"/>
      <c r="GG11" s="130" t="n"/>
      <c r="GH11" s="131" t="n"/>
      <c r="GI11" s="130" t="n"/>
      <c r="GJ11" s="131" t="n"/>
      <c r="GK11" s="132" t="n"/>
      <c r="GL11" s="133" t="n"/>
      <c r="GM11" s="134" t="n"/>
      <c r="GN11" s="133" t="n"/>
      <c r="GO11" s="134" t="n"/>
      <c r="GP11" s="133" t="n"/>
      <c r="GQ11" s="134" t="n"/>
      <c r="GR11" s="133" t="n"/>
      <c r="GS11" s="134" t="n"/>
      <c r="GT11" s="133" t="n"/>
      <c r="GU11" s="134" t="n"/>
      <c r="GV11" s="133" t="n"/>
      <c r="GW11" s="134" t="n"/>
      <c r="GX11" s="133" t="n"/>
      <c r="GY11" s="134" t="n"/>
      <c r="GZ11" s="133" t="n"/>
      <c r="HA11" s="134" t="n"/>
      <c r="HB11" s="135" t="n"/>
      <c r="HC11">
        <f>97-SUMPRODUCT(MAX(($G$4:$HB$4="ح")*($G11:$HB11=TRUE)*(97-$G$47:$HB$47)))</f>
        <v>97</v>
      </c>
      <c r="HD11">
        <f>SUMPRODUCT(($G$4:$HB$4="ح")*($G11:$HB11=TRUE)*($G$47:$HB$47&gt;$HC$1-8))</f>
        <v>0</v>
      </c>
      <c r="HE11">
        <f>(COUNTIF($G11:$V11,TRUE)&gt;0)*($W11&lt;&gt;TRUE)+(COUNTIF($X11:$AM11,TRUE)&gt;0)*($AN11&lt;&gt;TRUE)+(COUNTIF($AO11:$BD11,TRUE)&gt;0)*($BE11&lt;&gt;TRUE)+(COUNTIF($BF11:$BU11,TRUE)&gt;0)*($BV11&lt;&gt;TRUE)+(COUNTIF($BW11:$CL11,TRUE)&gt;0)*($CM11&lt;&gt;TRUE)+(COUNTIF($CN11:$DC11,TRUE)&gt;0)*($DD11&lt;&gt;TRUE)+(COUNTIF($DE11:$DT11,TRUE)&gt;0)*($DU11&lt;&gt;TRUE)+(COUNTIF($DV11:$EK11,TRUE)&gt;0)*($EL11&lt;&gt;TRUE)+(COUNTIF($EM11:$FB11,TRUE)&gt;0)*($FC11&lt;&gt;TRUE)+(COUNTIF($FD11:$FS11,TRUE)&gt;0)*($FT11&lt;&gt;TRUE)+(COUNTIF($FU11:$GJ11,TRUE)&gt;0)*($GK11&lt;&gt;TRUE)+(COUNTIF($GL11:$HA11,TRUE)&gt;0)*($HB11&lt;&gt;TRUE)</f>
        <v>0</v>
      </c>
      <c r="HF11">
        <f>IF($HE11=0,0,13-MAX((COUNTIF($G11:$V11,TRUE)&gt;0)*($W11&lt;&gt;TRUE)*12,(COUNTIF($X11:$AM11,TRUE)&gt;0)*($AN11&lt;&gt;TRUE)*11,(COUNTIF($AO11:$BD11,TRUE)&gt;0)*($BE11&lt;&gt;TRUE)*10,(COUNTIF($BF11:$BU11,TRUE)&gt;0)*($BV11&lt;&gt;TRUE)*9,(COUNTIF($BW11:$CL11,TRUE)&gt;0)*($CM11&lt;&gt;TRUE)*8,(COUNTIF($CN11:$DC11,TRUE)&gt;0)*($DD11&lt;&gt;TRUE)*7,(COUNTIF($DE11:$DT11,TRUE)&gt;0)*($DU11&lt;&gt;TRUE)*6,(COUNTIF($DV11:$EK11,TRUE)&gt;0)*($EL11&lt;&gt;TRUE)*5,(COUNTIF($EM11:$FB11,TRUE)&gt;0)*($FC11&lt;&gt;TRUE)*4,(COUNTIF($FD11:$FS11,TRUE)&gt;0)*($FT11&lt;&gt;TRUE)*3,(COUNTIF($FU11:$GJ11,TRUE)&gt;0)*($GK11&lt;&gt;TRUE)*2,(COUNTIF($GL11:$HA11,TRUE)&gt;0)*($HB11&lt;&gt;TRUE)*1))</f>
        <v>0</v>
      </c>
    </row>
    <row r="12" ht="22.5" customHeight="1">
      <c r="A12" s="36" t="n">
        <v>8</v>
      </c>
      <c r="B12" s="97" t="n"/>
      <c r="C12" s="28" t="n"/>
      <c r="D12" s="98" t="str">
        <f>IF($B12="","",IF($HC12=97,"-",IF($HD12=0,"متوقف",SUMPRODUCT(($G$4:$HB$4="ح")*($G$20:$HB$20&gt;0)*($G12:$HB12&lt;&gt;TRUE)*($G$47:$HB$47&gt;$HC$1-8)*($G$47:$HB$47&gt;=$HC12)))))</f>
        <v/>
      </c>
      <c r="E12" s="98" t="str">
        <f>IF(OR($B12="",$HC12=97),"",SUMPRODUCT(($G$4:$HA$4="ح")*($G12:$HA12=TRUE)*($H12:$HB12&lt;&gt;TRUE)*($G$47:$HA$47&gt;$HC$1-8)))</f>
        <v/>
      </c>
      <c r="F12" s="99" t="str">
        <f>IF($B12="","",IF($HE12=0,IF($HC12=97,"-","تمام"),IF($HE12=1,IF(INDEX($G$1:$HB$1,1,17*($HF12-1)+1)="","شهر "&amp;$HF12,INDEX($G$1:$HB$1,1,17*($HF12-1)+1)),IF($HE12=2,"شهرين",$HE12&amp;" شهور"))))</f>
        <v/>
      </c>
      <c r="G12" s="100" t="n"/>
      <c r="H12" s="101" t="n"/>
      <c r="I12" s="100" t="n"/>
      <c r="J12" s="101" t="n"/>
      <c r="K12" s="100" t="n"/>
      <c r="L12" s="101" t="n"/>
      <c r="M12" s="100" t="n"/>
      <c r="N12" s="101" t="n"/>
      <c r="O12" s="100" t="n"/>
      <c r="P12" s="101" t="n"/>
      <c r="Q12" s="100" t="n"/>
      <c r="R12" s="101" t="n"/>
      <c r="S12" s="100" t="n"/>
      <c r="T12" s="101" t="n"/>
      <c r="U12" s="100" t="n"/>
      <c r="V12" s="101" t="n"/>
      <c r="W12" s="102" t="n"/>
      <c r="X12" s="103" t="n"/>
      <c r="Y12" s="104" t="n"/>
      <c r="Z12" s="103" t="n"/>
      <c r="AA12" s="104" t="n"/>
      <c r="AB12" s="103" t="n"/>
      <c r="AC12" s="104" t="n"/>
      <c r="AD12" s="103" t="n"/>
      <c r="AE12" s="104" t="n"/>
      <c r="AF12" s="103" t="n"/>
      <c r="AG12" s="104" t="n"/>
      <c r="AH12" s="103" t="n"/>
      <c r="AI12" s="104" t="n"/>
      <c r="AJ12" s="103" t="n"/>
      <c r="AK12" s="104" t="n"/>
      <c r="AL12" s="103" t="n"/>
      <c r="AM12" s="104" t="n"/>
      <c r="AN12" s="105" t="n"/>
      <c r="AO12" s="106" t="n"/>
      <c r="AP12" s="107" t="n"/>
      <c r="AQ12" s="106" t="n"/>
      <c r="AR12" s="107" t="n"/>
      <c r="AS12" s="106" t="n"/>
      <c r="AT12" s="107" t="n"/>
      <c r="AU12" s="106" t="n"/>
      <c r="AV12" s="107" t="n"/>
      <c r="AW12" s="106" t="n"/>
      <c r="AX12" s="107" t="n"/>
      <c r="AY12" s="106" t="n"/>
      <c r="AZ12" s="107" t="n"/>
      <c r="BA12" s="106" t="n"/>
      <c r="BB12" s="107" t="n"/>
      <c r="BC12" s="106" t="n"/>
      <c r="BD12" s="107" t="n"/>
      <c r="BE12" s="108" t="n"/>
      <c r="BF12" s="109" t="n"/>
      <c r="BG12" s="110" t="n"/>
      <c r="BH12" s="109" t="n"/>
      <c r="BI12" s="110" t="n"/>
      <c r="BJ12" s="109" t="n"/>
      <c r="BK12" s="110" t="n"/>
      <c r="BL12" s="109" t="n"/>
      <c r="BM12" s="110" t="n"/>
      <c r="BN12" s="109" t="n"/>
      <c r="BO12" s="110" t="n"/>
      <c r="BP12" s="109" t="n"/>
      <c r="BQ12" s="110" t="n"/>
      <c r="BR12" s="109" t="n"/>
      <c r="BS12" s="110" t="n"/>
      <c r="BT12" s="109" t="n"/>
      <c r="BU12" s="110" t="n"/>
      <c r="BV12" s="111" t="n"/>
      <c r="BW12" s="112" t="n"/>
      <c r="BX12" s="113" t="n"/>
      <c r="BY12" s="112" t="n"/>
      <c r="BZ12" s="113" t="n"/>
      <c r="CA12" s="112" t="n"/>
      <c r="CB12" s="113" t="n"/>
      <c r="CC12" s="112" t="n"/>
      <c r="CD12" s="113" t="n"/>
      <c r="CE12" s="112" t="n"/>
      <c r="CF12" s="113" t="n"/>
      <c r="CG12" s="112" t="n"/>
      <c r="CH12" s="113" t="n"/>
      <c r="CI12" s="112" t="n"/>
      <c r="CJ12" s="113" t="n"/>
      <c r="CK12" s="112" t="n"/>
      <c r="CL12" s="113" t="n"/>
      <c r="CM12" s="114" t="n"/>
      <c r="CN12" s="115" t="n"/>
      <c r="CO12" s="116" t="n"/>
      <c r="CP12" s="115" t="n"/>
      <c r="CQ12" s="116" t="n"/>
      <c r="CR12" s="115" t="n"/>
      <c r="CS12" s="116" t="n"/>
      <c r="CT12" s="115" t="n"/>
      <c r="CU12" s="116" t="n"/>
      <c r="CV12" s="115" t="n"/>
      <c r="CW12" s="116" t="n"/>
      <c r="CX12" s="115" t="n"/>
      <c r="CY12" s="116" t="n"/>
      <c r="CZ12" s="115" t="n"/>
      <c r="DA12" s="116" t="n"/>
      <c r="DB12" s="115" t="n"/>
      <c r="DC12" s="116" t="n"/>
      <c r="DD12" s="117" t="n"/>
      <c r="DE12" s="118" t="n"/>
      <c r="DF12" s="119" t="n"/>
      <c r="DG12" s="118" t="n"/>
      <c r="DH12" s="119" t="n"/>
      <c r="DI12" s="118" t="n"/>
      <c r="DJ12" s="119" t="n"/>
      <c r="DK12" s="118" t="n"/>
      <c r="DL12" s="119" t="n"/>
      <c r="DM12" s="118" t="n"/>
      <c r="DN12" s="119" t="n"/>
      <c r="DO12" s="118" t="n"/>
      <c r="DP12" s="119" t="n"/>
      <c r="DQ12" s="118" t="n"/>
      <c r="DR12" s="119" t="n"/>
      <c r="DS12" s="118" t="n"/>
      <c r="DT12" s="119" t="n"/>
      <c r="DU12" s="120" t="n"/>
      <c r="DV12" s="121" t="n"/>
      <c r="DW12" s="122" t="n"/>
      <c r="DX12" s="121" t="n"/>
      <c r="DY12" s="122" t="n"/>
      <c r="DZ12" s="121" t="n"/>
      <c r="EA12" s="122" t="n"/>
      <c r="EB12" s="121" t="n"/>
      <c r="EC12" s="122" t="n"/>
      <c r="ED12" s="121" t="n"/>
      <c r="EE12" s="122" t="n"/>
      <c r="EF12" s="121" t="n"/>
      <c r="EG12" s="122" t="n"/>
      <c r="EH12" s="121" t="n"/>
      <c r="EI12" s="122" t="n"/>
      <c r="EJ12" s="121" t="n"/>
      <c r="EK12" s="122" t="n"/>
      <c r="EL12" s="123" t="n"/>
      <c r="EM12" s="124" t="n"/>
      <c r="EN12" s="125" t="n"/>
      <c r="EO12" s="124" t="n"/>
      <c r="EP12" s="125" t="n"/>
      <c r="EQ12" s="124" t="n"/>
      <c r="ER12" s="125" t="n"/>
      <c r="ES12" s="124" t="n"/>
      <c r="ET12" s="125" t="n"/>
      <c r="EU12" s="124" t="n"/>
      <c r="EV12" s="125" t="n"/>
      <c r="EW12" s="124" t="n"/>
      <c r="EX12" s="125" t="n"/>
      <c r="EY12" s="124" t="n"/>
      <c r="EZ12" s="125" t="n"/>
      <c r="FA12" s="124" t="n"/>
      <c r="FB12" s="125" t="n"/>
      <c r="FC12" s="126" t="n"/>
      <c r="FD12" s="127" t="n"/>
      <c r="FE12" s="128" t="n"/>
      <c r="FF12" s="127" t="n"/>
      <c r="FG12" s="128" t="n"/>
      <c r="FH12" s="127" t="n"/>
      <c r="FI12" s="128" t="n"/>
      <c r="FJ12" s="127" t="n"/>
      <c r="FK12" s="128" t="n"/>
      <c r="FL12" s="127" t="n"/>
      <c r="FM12" s="128" t="n"/>
      <c r="FN12" s="127" t="n"/>
      <c r="FO12" s="128" t="n"/>
      <c r="FP12" s="127" t="n"/>
      <c r="FQ12" s="128" t="n"/>
      <c r="FR12" s="127" t="n"/>
      <c r="FS12" s="128" t="n"/>
      <c r="FT12" s="129" t="n"/>
      <c r="FU12" s="130" t="n"/>
      <c r="FV12" s="131" t="n"/>
      <c r="FW12" s="130" t="n"/>
      <c r="FX12" s="131" t="n"/>
      <c r="FY12" s="130" t="n"/>
      <c r="FZ12" s="131" t="n"/>
      <c r="GA12" s="130" t="n"/>
      <c r="GB12" s="131" t="n"/>
      <c r="GC12" s="130" t="n"/>
      <c r="GD12" s="131" t="n"/>
      <c r="GE12" s="130" t="n"/>
      <c r="GF12" s="131" t="n"/>
      <c r="GG12" s="130" t="n"/>
      <c r="GH12" s="131" t="n"/>
      <c r="GI12" s="130" t="n"/>
      <c r="GJ12" s="131" t="n"/>
      <c r="GK12" s="132" t="n"/>
      <c r="GL12" s="133" t="n"/>
      <c r="GM12" s="134" t="n"/>
      <c r="GN12" s="133" t="n"/>
      <c r="GO12" s="134" t="n"/>
      <c r="GP12" s="133" t="n"/>
      <c r="GQ12" s="134" t="n"/>
      <c r="GR12" s="133" t="n"/>
      <c r="GS12" s="134" t="n"/>
      <c r="GT12" s="133" t="n"/>
      <c r="GU12" s="134" t="n"/>
      <c r="GV12" s="133" t="n"/>
      <c r="GW12" s="134" t="n"/>
      <c r="GX12" s="133" t="n"/>
      <c r="GY12" s="134" t="n"/>
      <c r="GZ12" s="133" t="n"/>
      <c r="HA12" s="134" t="n"/>
      <c r="HB12" s="135" t="n"/>
      <c r="HC12">
        <f>97-SUMPRODUCT(MAX(($G$4:$HB$4="ح")*($G12:$HB12=TRUE)*(97-$G$47:$HB$47)))</f>
        <v>97</v>
      </c>
      <c r="HD12">
        <f>SUMPRODUCT(($G$4:$HB$4="ح")*($G12:$HB12=TRUE)*($G$47:$HB$47&gt;$HC$1-8))</f>
        <v>0</v>
      </c>
      <c r="HE12">
        <f>(COUNTIF($G12:$V12,TRUE)&gt;0)*($W12&lt;&gt;TRUE)+(COUNTIF($X12:$AM12,TRUE)&gt;0)*($AN12&lt;&gt;TRUE)+(COUNTIF($AO12:$BD12,TRUE)&gt;0)*($BE12&lt;&gt;TRUE)+(COUNTIF($BF12:$BU12,TRUE)&gt;0)*($BV12&lt;&gt;TRUE)+(COUNTIF($BW12:$CL12,TRUE)&gt;0)*($CM12&lt;&gt;TRUE)+(COUNTIF($CN12:$DC12,TRUE)&gt;0)*($DD12&lt;&gt;TRUE)+(COUNTIF($DE12:$DT12,TRUE)&gt;0)*($DU12&lt;&gt;TRUE)+(COUNTIF($DV12:$EK12,TRUE)&gt;0)*($EL12&lt;&gt;TRUE)+(COUNTIF($EM12:$FB12,TRUE)&gt;0)*($FC12&lt;&gt;TRUE)+(COUNTIF($FD12:$FS12,TRUE)&gt;0)*($FT12&lt;&gt;TRUE)+(COUNTIF($FU12:$GJ12,TRUE)&gt;0)*($GK12&lt;&gt;TRUE)+(COUNTIF($GL12:$HA12,TRUE)&gt;0)*($HB12&lt;&gt;TRUE)</f>
        <v>0</v>
      </c>
      <c r="HF12">
        <f>IF($HE12=0,0,13-MAX((COUNTIF($G12:$V12,TRUE)&gt;0)*($W12&lt;&gt;TRUE)*12,(COUNTIF($X12:$AM12,TRUE)&gt;0)*($AN12&lt;&gt;TRUE)*11,(COUNTIF($AO12:$BD12,TRUE)&gt;0)*($BE12&lt;&gt;TRUE)*10,(COUNTIF($BF12:$BU12,TRUE)&gt;0)*($BV12&lt;&gt;TRUE)*9,(COUNTIF($BW12:$CL12,TRUE)&gt;0)*($CM12&lt;&gt;TRUE)*8,(COUNTIF($CN12:$DC12,TRUE)&gt;0)*($DD12&lt;&gt;TRUE)*7,(COUNTIF($DE12:$DT12,TRUE)&gt;0)*($DU12&lt;&gt;TRUE)*6,(COUNTIF($DV12:$EK12,TRUE)&gt;0)*($EL12&lt;&gt;TRUE)*5,(COUNTIF($EM12:$FB12,TRUE)&gt;0)*($FC12&lt;&gt;TRUE)*4,(COUNTIF($FD12:$FS12,TRUE)&gt;0)*($FT12&lt;&gt;TRUE)*3,(COUNTIF($FU12:$GJ12,TRUE)&gt;0)*($GK12&lt;&gt;TRUE)*2,(COUNTIF($GL12:$HA12,TRUE)&gt;0)*($HB12&lt;&gt;TRUE)*1))</f>
        <v>0</v>
      </c>
    </row>
    <row r="13" ht="22.5" customHeight="1">
      <c r="A13" s="36" t="n">
        <v>9</v>
      </c>
      <c r="B13" s="97" t="n"/>
      <c r="C13" s="28" t="n"/>
      <c r="D13" s="98" t="str">
        <f>IF($B13="","",IF($HC13=97,"-",IF($HD13=0,"متوقف",SUMPRODUCT(($G$4:$HB$4="ح")*($G$20:$HB$20&gt;0)*($G13:$HB13&lt;&gt;TRUE)*($G$47:$HB$47&gt;$HC$1-8)*($G$47:$HB$47&gt;=$HC13)))))</f>
        <v/>
      </c>
      <c r="E13" s="98" t="str">
        <f>IF(OR($B13="",$HC13=97),"",SUMPRODUCT(($G$4:$HA$4="ح")*($G13:$HA13=TRUE)*($H13:$HB13&lt;&gt;TRUE)*($G$47:$HA$47&gt;$HC$1-8)))</f>
        <v/>
      </c>
      <c r="F13" s="99" t="str">
        <f>IF($B13="","",IF($HE13=0,IF($HC13=97,"-","تمام"),IF($HE13=1,IF(INDEX($G$1:$HB$1,1,17*($HF13-1)+1)="","شهر "&amp;$HF13,INDEX($G$1:$HB$1,1,17*($HF13-1)+1)),IF($HE13=2,"شهرين",$HE13&amp;" شهور"))))</f>
        <v/>
      </c>
      <c r="G13" s="100" t="n"/>
      <c r="H13" s="101" t="n"/>
      <c r="I13" s="100" t="n"/>
      <c r="J13" s="101" t="n"/>
      <c r="K13" s="100" t="n"/>
      <c r="L13" s="101" t="n"/>
      <c r="M13" s="100" t="n"/>
      <c r="N13" s="101" t="n"/>
      <c r="O13" s="100" t="n"/>
      <c r="P13" s="101" t="n"/>
      <c r="Q13" s="100" t="n"/>
      <c r="R13" s="101" t="n"/>
      <c r="S13" s="100" t="n"/>
      <c r="T13" s="101" t="n"/>
      <c r="U13" s="100" t="n"/>
      <c r="V13" s="101" t="n"/>
      <c r="W13" s="102" t="n"/>
      <c r="X13" s="103" t="n"/>
      <c r="Y13" s="104" t="n"/>
      <c r="Z13" s="103" t="n"/>
      <c r="AA13" s="104" t="n"/>
      <c r="AB13" s="103" t="n"/>
      <c r="AC13" s="104" t="n"/>
      <c r="AD13" s="103" t="n"/>
      <c r="AE13" s="104" t="n"/>
      <c r="AF13" s="103" t="n"/>
      <c r="AG13" s="104" t="n"/>
      <c r="AH13" s="103" t="n"/>
      <c r="AI13" s="104" t="n"/>
      <c r="AJ13" s="103" t="n"/>
      <c r="AK13" s="104" t="n"/>
      <c r="AL13" s="103" t="n"/>
      <c r="AM13" s="104" t="n"/>
      <c r="AN13" s="105" t="n"/>
      <c r="AO13" s="106" t="n"/>
      <c r="AP13" s="107" t="n"/>
      <c r="AQ13" s="106" t="n"/>
      <c r="AR13" s="107" t="n"/>
      <c r="AS13" s="106" t="n"/>
      <c r="AT13" s="107" t="n"/>
      <c r="AU13" s="106" t="n"/>
      <c r="AV13" s="107" t="n"/>
      <c r="AW13" s="106" t="n"/>
      <c r="AX13" s="107" t="n"/>
      <c r="AY13" s="106" t="n"/>
      <c r="AZ13" s="107" t="n"/>
      <c r="BA13" s="106" t="n"/>
      <c r="BB13" s="107" t="n"/>
      <c r="BC13" s="106" t="n"/>
      <c r="BD13" s="107" t="n"/>
      <c r="BE13" s="108" t="n"/>
      <c r="BF13" s="109" t="n"/>
      <c r="BG13" s="110" t="n"/>
      <c r="BH13" s="109" t="n"/>
      <c r="BI13" s="110" t="n"/>
      <c r="BJ13" s="109" t="n"/>
      <c r="BK13" s="110" t="n"/>
      <c r="BL13" s="109" t="n"/>
      <c r="BM13" s="110" t="n"/>
      <c r="BN13" s="109" t="n"/>
      <c r="BO13" s="110" t="n"/>
      <c r="BP13" s="109" t="n"/>
      <c r="BQ13" s="110" t="n"/>
      <c r="BR13" s="109" t="n"/>
      <c r="BS13" s="110" t="n"/>
      <c r="BT13" s="109" t="n"/>
      <c r="BU13" s="110" t="n"/>
      <c r="BV13" s="111" t="n"/>
      <c r="BW13" s="112" t="n"/>
      <c r="BX13" s="113" t="n"/>
      <c r="BY13" s="112" t="n"/>
      <c r="BZ13" s="113" t="n"/>
      <c r="CA13" s="112" t="n"/>
      <c r="CB13" s="113" t="n"/>
      <c r="CC13" s="112" t="n"/>
      <c r="CD13" s="113" t="n"/>
      <c r="CE13" s="112" t="n"/>
      <c r="CF13" s="113" t="n"/>
      <c r="CG13" s="112" t="n"/>
      <c r="CH13" s="113" t="n"/>
      <c r="CI13" s="112" t="n"/>
      <c r="CJ13" s="113" t="n"/>
      <c r="CK13" s="112" t="n"/>
      <c r="CL13" s="113" t="n"/>
      <c r="CM13" s="114" t="n"/>
      <c r="CN13" s="115" t="n"/>
      <c r="CO13" s="116" t="n"/>
      <c r="CP13" s="115" t="n"/>
      <c r="CQ13" s="116" t="n"/>
      <c r="CR13" s="115" t="n"/>
      <c r="CS13" s="116" t="n"/>
      <c r="CT13" s="115" t="n"/>
      <c r="CU13" s="116" t="n"/>
      <c r="CV13" s="115" t="n"/>
      <c r="CW13" s="116" t="n"/>
      <c r="CX13" s="115" t="n"/>
      <c r="CY13" s="116" t="n"/>
      <c r="CZ13" s="115" t="n"/>
      <c r="DA13" s="116" t="n"/>
      <c r="DB13" s="115" t="n"/>
      <c r="DC13" s="116" t="n"/>
      <c r="DD13" s="117" t="n"/>
      <c r="DE13" s="118" t="n"/>
      <c r="DF13" s="119" t="n"/>
      <c r="DG13" s="118" t="n"/>
      <c r="DH13" s="119" t="n"/>
      <c r="DI13" s="118" t="n"/>
      <c r="DJ13" s="119" t="n"/>
      <c r="DK13" s="118" t="n"/>
      <c r="DL13" s="119" t="n"/>
      <c r="DM13" s="118" t="n"/>
      <c r="DN13" s="119" t="n"/>
      <c r="DO13" s="118" t="n"/>
      <c r="DP13" s="119" t="n"/>
      <c r="DQ13" s="118" t="n"/>
      <c r="DR13" s="119" t="n"/>
      <c r="DS13" s="118" t="n"/>
      <c r="DT13" s="119" t="n"/>
      <c r="DU13" s="120" t="n"/>
      <c r="DV13" s="121" t="n"/>
      <c r="DW13" s="122" t="n"/>
      <c r="DX13" s="121" t="n"/>
      <c r="DY13" s="122" t="n"/>
      <c r="DZ13" s="121" t="n"/>
      <c r="EA13" s="122" t="n"/>
      <c r="EB13" s="121" t="n"/>
      <c r="EC13" s="122" t="n"/>
      <c r="ED13" s="121" t="n"/>
      <c r="EE13" s="122" t="n"/>
      <c r="EF13" s="121" t="n"/>
      <c r="EG13" s="122" t="n"/>
      <c r="EH13" s="121" t="n"/>
      <c r="EI13" s="122" t="n"/>
      <c r="EJ13" s="121" t="n"/>
      <c r="EK13" s="122" t="n"/>
      <c r="EL13" s="123" t="n"/>
      <c r="EM13" s="124" t="n"/>
      <c r="EN13" s="125" t="n"/>
      <c r="EO13" s="124" t="n"/>
      <c r="EP13" s="125" t="n"/>
      <c r="EQ13" s="124" t="n"/>
      <c r="ER13" s="125" t="n"/>
      <c r="ES13" s="124" t="n"/>
      <c r="ET13" s="125" t="n"/>
      <c r="EU13" s="124" t="n"/>
      <c r="EV13" s="125" t="n"/>
      <c r="EW13" s="124" t="n"/>
      <c r="EX13" s="125" t="n"/>
      <c r="EY13" s="124" t="n"/>
      <c r="EZ13" s="125" t="n"/>
      <c r="FA13" s="124" t="n"/>
      <c r="FB13" s="125" t="n"/>
      <c r="FC13" s="126" t="n"/>
      <c r="FD13" s="127" t="n"/>
      <c r="FE13" s="128" t="n"/>
      <c r="FF13" s="127" t="n"/>
      <c r="FG13" s="128" t="n"/>
      <c r="FH13" s="127" t="n"/>
      <c r="FI13" s="128" t="n"/>
      <c r="FJ13" s="127" t="n"/>
      <c r="FK13" s="128" t="n"/>
      <c r="FL13" s="127" t="n"/>
      <c r="FM13" s="128" t="n"/>
      <c r="FN13" s="127" t="n"/>
      <c r="FO13" s="128" t="n"/>
      <c r="FP13" s="127" t="n"/>
      <c r="FQ13" s="128" t="n"/>
      <c r="FR13" s="127" t="n"/>
      <c r="FS13" s="128" t="n"/>
      <c r="FT13" s="129" t="n"/>
      <c r="FU13" s="130" t="n"/>
      <c r="FV13" s="131" t="n"/>
      <c r="FW13" s="130" t="n"/>
      <c r="FX13" s="131" t="n"/>
      <c r="FY13" s="130" t="n"/>
      <c r="FZ13" s="131" t="n"/>
      <c r="GA13" s="130" t="n"/>
      <c r="GB13" s="131" t="n"/>
      <c r="GC13" s="130" t="n"/>
      <c r="GD13" s="131" t="n"/>
      <c r="GE13" s="130" t="n"/>
      <c r="GF13" s="131" t="n"/>
      <c r="GG13" s="130" t="n"/>
      <c r="GH13" s="131" t="n"/>
      <c r="GI13" s="130" t="n"/>
      <c r="GJ13" s="131" t="n"/>
      <c r="GK13" s="132" t="n"/>
      <c r="GL13" s="133" t="n"/>
      <c r="GM13" s="134" t="n"/>
      <c r="GN13" s="133" t="n"/>
      <c r="GO13" s="134" t="n"/>
      <c r="GP13" s="133" t="n"/>
      <c r="GQ13" s="134" t="n"/>
      <c r="GR13" s="133" t="n"/>
      <c r="GS13" s="134" t="n"/>
      <c r="GT13" s="133" t="n"/>
      <c r="GU13" s="134" t="n"/>
      <c r="GV13" s="133" t="n"/>
      <c r="GW13" s="134" t="n"/>
      <c r="GX13" s="133" t="n"/>
      <c r="GY13" s="134" t="n"/>
      <c r="GZ13" s="133" t="n"/>
      <c r="HA13" s="134" t="n"/>
      <c r="HB13" s="135" t="n"/>
      <c r="HC13">
        <f>97-SUMPRODUCT(MAX(($G$4:$HB$4="ح")*($G13:$HB13=TRUE)*(97-$G$47:$HB$47)))</f>
        <v>97</v>
      </c>
      <c r="HD13">
        <f>SUMPRODUCT(($G$4:$HB$4="ح")*($G13:$HB13=TRUE)*($G$47:$HB$47&gt;$HC$1-8))</f>
        <v>0</v>
      </c>
      <c r="HE13">
        <f>(COUNTIF($G13:$V13,TRUE)&gt;0)*($W13&lt;&gt;TRUE)+(COUNTIF($X13:$AM13,TRUE)&gt;0)*($AN13&lt;&gt;TRUE)+(COUNTIF($AO13:$BD13,TRUE)&gt;0)*($BE13&lt;&gt;TRUE)+(COUNTIF($BF13:$BU13,TRUE)&gt;0)*($BV13&lt;&gt;TRUE)+(COUNTIF($BW13:$CL13,TRUE)&gt;0)*($CM13&lt;&gt;TRUE)+(COUNTIF($CN13:$DC13,TRUE)&gt;0)*($DD13&lt;&gt;TRUE)+(COUNTIF($DE13:$DT13,TRUE)&gt;0)*($DU13&lt;&gt;TRUE)+(COUNTIF($DV13:$EK13,TRUE)&gt;0)*($EL13&lt;&gt;TRUE)+(COUNTIF($EM13:$FB13,TRUE)&gt;0)*($FC13&lt;&gt;TRUE)+(COUNTIF($FD13:$FS13,TRUE)&gt;0)*($FT13&lt;&gt;TRUE)+(COUNTIF($FU13:$GJ13,TRUE)&gt;0)*($GK13&lt;&gt;TRUE)+(COUNTIF($GL13:$HA13,TRUE)&gt;0)*($HB13&lt;&gt;TRUE)</f>
        <v>0</v>
      </c>
      <c r="HF13">
        <f>IF($HE13=0,0,13-MAX((COUNTIF($G13:$V13,TRUE)&gt;0)*($W13&lt;&gt;TRUE)*12,(COUNTIF($X13:$AM13,TRUE)&gt;0)*($AN13&lt;&gt;TRUE)*11,(COUNTIF($AO13:$BD13,TRUE)&gt;0)*($BE13&lt;&gt;TRUE)*10,(COUNTIF($BF13:$BU13,TRUE)&gt;0)*($BV13&lt;&gt;TRUE)*9,(COUNTIF($BW13:$CL13,TRUE)&gt;0)*($CM13&lt;&gt;TRUE)*8,(COUNTIF($CN13:$DC13,TRUE)&gt;0)*($DD13&lt;&gt;TRUE)*7,(COUNTIF($DE13:$DT13,TRUE)&gt;0)*($DU13&lt;&gt;TRUE)*6,(COUNTIF($DV13:$EK13,TRUE)&gt;0)*($EL13&lt;&gt;TRUE)*5,(COUNTIF($EM13:$FB13,TRUE)&gt;0)*($FC13&lt;&gt;TRUE)*4,(COUNTIF($FD13:$FS13,TRUE)&gt;0)*($FT13&lt;&gt;TRUE)*3,(COUNTIF($FU13:$GJ13,TRUE)&gt;0)*($GK13&lt;&gt;TRUE)*2,(COUNTIF($GL13:$HA13,TRUE)&gt;0)*($HB13&lt;&gt;TRUE)*1))</f>
        <v>0</v>
      </c>
    </row>
    <row r="14" ht="22.5" customHeight="1">
      <c r="A14" s="36" t="n">
        <v>10</v>
      </c>
      <c r="B14" s="97" t="n"/>
      <c r="C14" s="28" t="n"/>
      <c r="D14" s="98" t="str">
        <f>IF($B14="","",IF($HC14=97,"-",IF($HD14=0,"متوقف",SUMPRODUCT(($G$4:$HB$4="ح")*($G$20:$HB$20&gt;0)*($G14:$HB14&lt;&gt;TRUE)*($G$47:$HB$47&gt;$HC$1-8)*($G$47:$HB$47&gt;=$HC14)))))</f>
        <v/>
      </c>
      <c r="E14" s="98" t="str">
        <f>IF(OR($B14="",$HC14=97),"",SUMPRODUCT(($G$4:$HA$4="ح")*($G14:$HA14=TRUE)*($H14:$HB14&lt;&gt;TRUE)*($G$47:$HA$47&gt;$HC$1-8)))</f>
        <v/>
      </c>
      <c r="F14" s="99" t="str">
        <f>IF($B14="","",IF($HE14=0,IF($HC14=97,"-","تمام"),IF($HE14=1,IF(INDEX($G$1:$HB$1,1,17*($HF14-1)+1)="","شهر "&amp;$HF14,INDEX($G$1:$HB$1,1,17*($HF14-1)+1)),IF($HE14=2,"شهرين",$HE14&amp;" شهور"))))</f>
        <v/>
      </c>
      <c r="G14" s="100" t="n"/>
      <c r="H14" s="101" t="n"/>
      <c r="I14" s="100" t="n"/>
      <c r="J14" s="101" t="n"/>
      <c r="K14" s="100" t="n"/>
      <c r="L14" s="101" t="n"/>
      <c r="M14" s="100" t="n"/>
      <c r="N14" s="101" t="n"/>
      <c r="O14" s="100" t="n"/>
      <c r="P14" s="101" t="n"/>
      <c r="Q14" s="100" t="n"/>
      <c r="R14" s="101" t="n"/>
      <c r="S14" s="100" t="n"/>
      <c r="T14" s="101" t="n"/>
      <c r="U14" s="100" t="n"/>
      <c r="V14" s="101" t="n"/>
      <c r="W14" s="102" t="n"/>
      <c r="X14" s="103" t="n"/>
      <c r="Y14" s="104" t="n"/>
      <c r="Z14" s="103" t="n"/>
      <c r="AA14" s="104" t="n"/>
      <c r="AB14" s="103" t="n"/>
      <c r="AC14" s="104" t="n"/>
      <c r="AD14" s="103" t="n"/>
      <c r="AE14" s="104" t="n"/>
      <c r="AF14" s="103" t="n"/>
      <c r="AG14" s="104" t="n"/>
      <c r="AH14" s="103" t="n"/>
      <c r="AI14" s="104" t="n"/>
      <c r="AJ14" s="103" t="n"/>
      <c r="AK14" s="104" t="n"/>
      <c r="AL14" s="103" t="n"/>
      <c r="AM14" s="104" t="n"/>
      <c r="AN14" s="105" t="n"/>
      <c r="AO14" s="106" t="n"/>
      <c r="AP14" s="107" t="n"/>
      <c r="AQ14" s="106" t="n"/>
      <c r="AR14" s="107" t="n"/>
      <c r="AS14" s="106" t="n"/>
      <c r="AT14" s="107" t="n"/>
      <c r="AU14" s="106" t="n"/>
      <c r="AV14" s="107" t="n"/>
      <c r="AW14" s="106" t="n"/>
      <c r="AX14" s="107" t="n"/>
      <c r="AY14" s="106" t="n"/>
      <c r="AZ14" s="107" t="n"/>
      <c r="BA14" s="106" t="n"/>
      <c r="BB14" s="107" t="n"/>
      <c r="BC14" s="106" t="n"/>
      <c r="BD14" s="107" t="n"/>
      <c r="BE14" s="108" t="n"/>
      <c r="BF14" s="109" t="n"/>
      <c r="BG14" s="110" t="n"/>
      <c r="BH14" s="109" t="n"/>
      <c r="BI14" s="110" t="n"/>
      <c r="BJ14" s="109" t="n"/>
      <c r="BK14" s="110" t="n"/>
      <c r="BL14" s="109" t="n"/>
      <c r="BM14" s="110" t="n"/>
      <c r="BN14" s="109" t="n"/>
      <c r="BO14" s="110" t="n"/>
      <c r="BP14" s="109" t="n"/>
      <c r="BQ14" s="110" t="n"/>
      <c r="BR14" s="109" t="n"/>
      <c r="BS14" s="110" t="n"/>
      <c r="BT14" s="109" t="n"/>
      <c r="BU14" s="110" t="n"/>
      <c r="BV14" s="111" t="n"/>
      <c r="BW14" s="112" t="n"/>
      <c r="BX14" s="113" t="n"/>
      <c r="BY14" s="112" t="n"/>
      <c r="BZ14" s="113" t="n"/>
      <c r="CA14" s="112" t="n"/>
      <c r="CB14" s="113" t="n"/>
      <c r="CC14" s="112" t="n"/>
      <c r="CD14" s="113" t="n"/>
      <c r="CE14" s="112" t="n"/>
      <c r="CF14" s="113" t="n"/>
      <c r="CG14" s="112" t="n"/>
      <c r="CH14" s="113" t="n"/>
      <c r="CI14" s="112" t="n"/>
      <c r="CJ14" s="113" t="n"/>
      <c r="CK14" s="112" t="n"/>
      <c r="CL14" s="113" t="n"/>
      <c r="CM14" s="114" t="n"/>
      <c r="CN14" s="115" t="n"/>
      <c r="CO14" s="116" t="n"/>
      <c r="CP14" s="115" t="n"/>
      <c r="CQ14" s="116" t="n"/>
      <c r="CR14" s="115" t="n"/>
      <c r="CS14" s="116" t="n"/>
      <c r="CT14" s="115" t="n"/>
      <c r="CU14" s="116" t="n"/>
      <c r="CV14" s="115" t="n"/>
      <c r="CW14" s="116" t="n"/>
      <c r="CX14" s="115" t="n"/>
      <c r="CY14" s="116" t="n"/>
      <c r="CZ14" s="115" t="n"/>
      <c r="DA14" s="116" t="n"/>
      <c r="DB14" s="115" t="n"/>
      <c r="DC14" s="116" t="n"/>
      <c r="DD14" s="117" t="n"/>
      <c r="DE14" s="118" t="n"/>
      <c r="DF14" s="119" t="n"/>
      <c r="DG14" s="118" t="n"/>
      <c r="DH14" s="119" t="n"/>
      <c r="DI14" s="118" t="n"/>
      <c r="DJ14" s="119" t="n"/>
      <c r="DK14" s="118" t="n"/>
      <c r="DL14" s="119" t="n"/>
      <c r="DM14" s="118" t="n"/>
      <c r="DN14" s="119" t="n"/>
      <c r="DO14" s="118" t="n"/>
      <c r="DP14" s="119" t="n"/>
      <c r="DQ14" s="118" t="n"/>
      <c r="DR14" s="119" t="n"/>
      <c r="DS14" s="118" t="n"/>
      <c r="DT14" s="119" t="n"/>
      <c r="DU14" s="120" t="n"/>
      <c r="DV14" s="121" t="n"/>
      <c r="DW14" s="122" t="n"/>
      <c r="DX14" s="121" t="n"/>
      <c r="DY14" s="122" t="n"/>
      <c r="DZ14" s="121" t="n"/>
      <c r="EA14" s="122" t="n"/>
      <c r="EB14" s="121" t="n"/>
      <c r="EC14" s="122" t="n"/>
      <c r="ED14" s="121" t="n"/>
      <c r="EE14" s="122" t="n"/>
      <c r="EF14" s="121" t="n"/>
      <c r="EG14" s="122" t="n"/>
      <c r="EH14" s="121" t="n"/>
      <c r="EI14" s="122" t="n"/>
      <c r="EJ14" s="121" t="n"/>
      <c r="EK14" s="122" t="n"/>
      <c r="EL14" s="123" t="n"/>
      <c r="EM14" s="124" t="n"/>
      <c r="EN14" s="125" t="n"/>
      <c r="EO14" s="124" t="n"/>
      <c r="EP14" s="125" t="n"/>
      <c r="EQ14" s="124" t="n"/>
      <c r="ER14" s="125" t="n"/>
      <c r="ES14" s="124" t="n"/>
      <c r="ET14" s="125" t="n"/>
      <c r="EU14" s="124" t="n"/>
      <c r="EV14" s="125" t="n"/>
      <c r="EW14" s="124" t="n"/>
      <c r="EX14" s="125" t="n"/>
      <c r="EY14" s="124" t="n"/>
      <c r="EZ14" s="125" t="n"/>
      <c r="FA14" s="124" t="n"/>
      <c r="FB14" s="125" t="n"/>
      <c r="FC14" s="126" t="n"/>
      <c r="FD14" s="127" t="n"/>
      <c r="FE14" s="128" t="n"/>
      <c r="FF14" s="127" t="n"/>
      <c r="FG14" s="128" t="n"/>
      <c r="FH14" s="127" t="n"/>
      <c r="FI14" s="128" t="n"/>
      <c r="FJ14" s="127" t="n"/>
      <c r="FK14" s="128" t="n"/>
      <c r="FL14" s="127" t="n"/>
      <c r="FM14" s="128" t="n"/>
      <c r="FN14" s="127" t="n"/>
      <c r="FO14" s="128" t="n"/>
      <c r="FP14" s="127" t="n"/>
      <c r="FQ14" s="128" t="n"/>
      <c r="FR14" s="127" t="n"/>
      <c r="FS14" s="128" t="n"/>
      <c r="FT14" s="129" t="n"/>
      <c r="FU14" s="130" t="n"/>
      <c r="FV14" s="131" t="n"/>
      <c r="FW14" s="130" t="n"/>
      <c r="FX14" s="131" t="n"/>
      <c r="FY14" s="130" t="n"/>
      <c r="FZ14" s="131" t="n"/>
      <c r="GA14" s="130" t="n"/>
      <c r="GB14" s="131" t="n"/>
      <c r="GC14" s="130" t="n"/>
      <c r="GD14" s="131" t="n"/>
      <c r="GE14" s="130" t="n"/>
      <c r="GF14" s="131" t="n"/>
      <c r="GG14" s="130" t="n"/>
      <c r="GH14" s="131" t="n"/>
      <c r="GI14" s="130" t="n"/>
      <c r="GJ14" s="131" t="n"/>
      <c r="GK14" s="132" t="n"/>
      <c r="GL14" s="133" t="n"/>
      <c r="GM14" s="134" t="n"/>
      <c r="GN14" s="133" t="n"/>
      <c r="GO14" s="134" t="n"/>
      <c r="GP14" s="133" t="n"/>
      <c r="GQ14" s="134" t="n"/>
      <c r="GR14" s="133" t="n"/>
      <c r="GS14" s="134" t="n"/>
      <c r="GT14" s="133" t="n"/>
      <c r="GU14" s="134" t="n"/>
      <c r="GV14" s="133" t="n"/>
      <c r="GW14" s="134" t="n"/>
      <c r="GX14" s="133" t="n"/>
      <c r="GY14" s="134" t="n"/>
      <c r="GZ14" s="133" t="n"/>
      <c r="HA14" s="134" t="n"/>
      <c r="HB14" s="135" t="n"/>
      <c r="HC14">
        <f>97-SUMPRODUCT(MAX(($G$4:$HB$4="ح")*($G14:$HB14=TRUE)*(97-$G$47:$HB$47)))</f>
        <v>97</v>
      </c>
      <c r="HD14">
        <f>SUMPRODUCT(($G$4:$HB$4="ح")*($G14:$HB14=TRUE)*($G$47:$HB$47&gt;$HC$1-8))</f>
        <v>0</v>
      </c>
      <c r="HE14">
        <f>(COUNTIF($G14:$V14,TRUE)&gt;0)*($W14&lt;&gt;TRUE)+(COUNTIF($X14:$AM14,TRUE)&gt;0)*($AN14&lt;&gt;TRUE)+(COUNTIF($AO14:$BD14,TRUE)&gt;0)*($BE14&lt;&gt;TRUE)+(COUNTIF($BF14:$BU14,TRUE)&gt;0)*($BV14&lt;&gt;TRUE)+(COUNTIF($BW14:$CL14,TRUE)&gt;0)*($CM14&lt;&gt;TRUE)+(COUNTIF($CN14:$DC14,TRUE)&gt;0)*($DD14&lt;&gt;TRUE)+(COUNTIF($DE14:$DT14,TRUE)&gt;0)*($DU14&lt;&gt;TRUE)+(COUNTIF($DV14:$EK14,TRUE)&gt;0)*($EL14&lt;&gt;TRUE)+(COUNTIF($EM14:$FB14,TRUE)&gt;0)*($FC14&lt;&gt;TRUE)+(COUNTIF($FD14:$FS14,TRUE)&gt;0)*($FT14&lt;&gt;TRUE)+(COUNTIF($FU14:$GJ14,TRUE)&gt;0)*($GK14&lt;&gt;TRUE)+(COUNTIF($GL14:$HA14,TRUE)&gt;0)*($HB14&lt;&gt;TRUE)</f>
        <v>0</v>
      </c>
      <c r="HF14">
        <f>IF($HE14=0,0,13-MAX((COUNTIF($G14:$V14,TRUE)&gt;0)*($W14&lt;&gt;TRUE)*12,(COUNTIF($X14:$AM14,TRUE)&gt;0)*($AN14&lt;&gt;TRUE)*11,(COUNTIF($AO14:$BD14,TRUE)&gt;0)*($BE14&lt;&gt;TRUE)*10,(COUNTIF($BF14:$BU14,TRUE)&gt;0)*($BV14&lt;&gt;TRUE)*9,(COUNTIF($BW14:$CL14,TRUE)&gt;0)*($CM14&lt;&gt;TRUE)*8,(COUNTIF($CN14:$DC14,TRUE)&gt;0)*($DD14&lt;&gt;TRUE)*7,(COUNTIF($DE14:$DT14,TRUE)&gt;0)*($DU14&lt;&gt;TRUE)*6,(COUNTIF($DV14:$EK14,TRUE)&gt;0)*($EL14&lt;&gt;TRUE)*5,(COUNTIF($EM14:$FB14,TRUE)&gt;0)*($FC14&lt;&gt;TRUE)*4,(COUNTIF($FD14:$FS14,TRUE)&gt;0)*($FT14&lt;&gt;TRUE)*3,(COUNTIF($FU14:$GJ14,TRUE)&gt;0)*($GK14&lt;&gt;TRUE)*2,(COUNTIF($GL14:$HA14,TRUE)&gt;0)*($HB14&lt;&gt;TRUE)*1))</f>
        <v>0</v>
      </c>
    </row>
    <row r="15" ht="22.5" customHeight="1">
      <c r="A15" s="36" t="n">
        <v>11</v>
      </c>
      <c r="B15" s="97" t="n"/>
      <c r="C15" s="28" t="n"/>
      <c r="D15" s="98" t="str">
        <f>IF($B15="","",IF($HC15=97,"-",IF($HD15=0,"متوقف",SUMPRODUCT(($G$4:$HB$4="ح")*($G$20:$HB$20&gt;0)*($G15:$HB15&lt;&gt;TRUE)*($G$47:$HB$47&gt;$HC$1-8)*($G$47:$HB$47&gt;=$HC15)))))</f>
        <v/>
      </c>
      <c r="E15" s="98" t="str">
        <f>IF(OR($B15="",$HC15=97),"",SUMPRODUCT(($G$4:$HA$4="ح")*($G15:$HA15=TRUE)*($H15:$HB15&lt;&gt;TRUE)*($G$47:$HA$47&gt;$HC$1-8)))</f>
        <v/>
      </c>
      <c r="F15" s="99" t="str">
        <f>IF($B15="","",IF($HE15=0,IF($HC15=97,"-","تمام"),IF($HE15=1,IF(INDEX($G$1:$HB$1,1,17*($HF15-1)+1)="","شهر "&amp;$HF15,INDEX($G$1:$HB$1,1,17*($HF15-1)+1)),IF($HE15=2,"شهرين",$HE15&amp;" شهور"))))</f>
        <v/>
      </c>
      <c r="G15" s="100" t="n"/>
      <c r="H15" s="101" t="n"/>
      <c r="I15" s="100" t="n"/>
      <c r="J15" s="101" t="n"/>
      <c r="K15" s="100" t="n"/>
      <c r="L15" s="101" t="n"/>
      <c r="M15" s="100" t="n"/>
      <c r="N15" s="101" t="n"/>
      <c r="O15" s="100" t="n"/>
      <c r="P15" s="101" t="n"/>
      <c r="Q15" s="100" t="n"/>
      <c r="R15" s="101" t="n"/>
      <c r="S15" s="100" t="n"/>
      <c r="T15" s="101" t="n"/>
      <c r="U15" s="100" t="n"/>
      <c r="V15" s="101" t="n"/>
      <c r="W15" s="102" t="n"/>
      <c r="X15" s="103" t="n"/>
      <c r="Y15" s="104" t="n"/>
      <c r="Z15" s="103" t="n"/>
      <c r="AA15" s="104" t="n"/>
      <c r="AB15" s="103" t="n"/>
      <c r="AC15" s="104" t="n"/>
      <c r="AD15" s="103" t="n"/>
      <c r="AE15" s="104" t="n"/>
      <c r="AF15" s="103" t="n"/>
      <c r="AG15" s="104" t="n"/>
      <c r="AH15" s="103" t="n"/>
      <c r="AI15" s="104" t="n"/>
      <c r="AJ15" s="103" t="n"/>
      <c r="AK15" s="104" t="n"/>
      <c r="AL15" s="103" t="n"/>
      <c r="AM15" s="104" t="n"/>
      <c r="AN15" s="105" t="n"/>
      <c r="AO15" s="106" t="n"/>
      <c r="AP15" s="107" t="n"/>
      <c r="AQ15" s="106" t="n"/>
      <c r="AR15" s="107" t="n"/>
      <c r="AS15" s="106" t="n"/>
      <c r="AT15" s="107" t="n"/>
      <c r="AU15" s="106" t="n"/>
      <c r="AV15" s="107" t="n"/>
      <c r="AW15" s="106" t="n"/>
      <c r="AX15" s="107" t="n"/>
      <c r="AY15" s="106" t="n"/>
      <c r="AZ15" s="107" t="n"/>
      <c r="BA15" s="106" t="n"/>
      <c r="BB15" s="107" t="n"/>
      <c r="BC15" s="106" t="n"/>
      <c r="BD15" s="107" t="n"/>
      <c r="BE15" s="108" t="n"/>
      <c r="BF15" s="109" t="n"/>
      <c r="BG15" s="110" t="n"/>
      <c r="BH15" s="109" t="n"/>
      <c r="BI15" s="110" t="n"/>
      <c r="BJ15" s="109" t="n"/>
      <c r="BK15" s="110" t="n"/>
      <c r="BL15" s="109" t="n"/>
      <c r="BM15" s="110" t="n"/>
      <c r="BN15" s="109" t="n"/>
      <c r="BO15" s="110" t="n"/>
      <c r="BP15" s="109" t="n"/>
      <c r="BQ15" s="110" t="n"/>
      <c r="BR15" s="109" t="n"/>
      <c r="BS15" s="110" t="n"/>
      <c r="BT15" s="109" t="n"/>
      <c r="BU15" s="110" t="n"/>
      <c r="BV15" s="111" t="n"/>
      <c r="BW15" s="112" t="n"/>
      <c r="BX15" s="113" t="n"/>
      <c r="BY15" s="112" t="n"/>
      <c r="BZ15" s="113" t="n"/>
      <c r="CA15" s="112" t="n"/>
      <c r="CB15" s="113" t="n"/>
      <c r="CC15" s="112" t="n"/>
      <c r="CD15" s="113" t="n"/>
      <c r="CE15" s="112" t="n"/>
      <c r="CF15" s="113" t="n"/>
      <c r="CG15" s="112" t="n"/>
      <c r="CH15" s="113" t="n"/>
      <c r="CI15" s="112" t="n"/>
      <c r="CJ15" s="113" t="n"/>
      <c r="CK15" s="112" t="n"/>
      <c r="CL15" s="113" t="n"/>
      <c r="CM15" s="114" t="n"/>
      <c r="CN15" s="115" t="n"/>
      <c r="CO15" s="116" t="n"/>
      <c r="CP15" s="115" t="n"/>
      <c r="CQ15" s="116" t="n"/>
      <c r="CR15" s="115" t="n"/>
      <c r="CS15" s="116" t="n"/>
      <c r="CT15" s="115" t="n"/>
      <c r="CU15" s="116" t="n"/>
      <c r="CV15" s="115" t="n"/>
      <c r="CW15" s="116" t="n"/>
      <c r="CX15" s="115" t="n"/>
      <c r="CY15" s="116" t="n"/>
      <c r="CZ15" s="115" t="n"/>
      <c r="DA15" s="116" t="n"/>
      <c r="DB15" s="115" t="n"/>
      <c r="DC15" s="116" t="n"/>
      <c r="DD15" s="117" t="n"/>
      <c r="DE15" s="118" t="n"/>
      <c r="DF15" s="119" t="n"/>
      <c r="DG15" s="118" t="n"/>
      <c r="DH15" s="119" t="n"/>
      <c r="DI15" s="118" t="n"/>
      <c r="DJ15" s="119" t="n"/>
      <c r="DK15" s="118" t="n"/>
      <c r="DL15" s="119" t="n"/>
      <c r="DM15" s="118" t="n"/>
      <c r="DN15" s="119" t="n"/>
      <c r="DO15" s="118" t="n"/>
      <c r="DP15" s="119" t="n"/>
      <c r="DQ15" s="118" t="n"/>
      <c r="DR15" s="119" t="n"/>
      <c r="DS15" s="118" t="n"/>
      <c r="DT15" s="119" t="n"/>
      <c r="DU15" s="120" t="n"/>
      <c r="DV15" s="121" t="n"/>
      <c r="DW15" s="122" t="n"/>
      <c r="DX15" s="121" t="n"/>
      <c r="DY15" s="122" t="n"/>
      <c r="DZ15" s="121" t="n"/>
      <c r="EA15" s="122" t="n"/>
      <c r="EB15" s="121" t="n"/>
      <c r="EC15" s="122" t="n"/>
      <c r="ED15" s="121" t="n"/>
      <c r="EE15" s="122" t="n"/>
      <c r="EF15" s="121" t="n"/>
      <c r="EG15" s="122" t="n"/>
      <c r="EH15" s="121" t="n"/>
      <c r="EI15" s="122" t="n"/>
      <c r="EJ15" s="121" t="n"/>
      <c r="EK15" s="122" t="n"/>
      <c r="EL15" s="123" t="n"/>
      <c r="EM15" s="124" t="n"/>
      <c r="EN15" s="125" t="n"/>
      <c r="EO15" s="124" t="n"/>
      <c r="EP15" s="125" t="n"/>
      <c r="EQ15" s="124" t="n"/>
      <c r="ER15" s="125" t="n"/>
      <c r="ES15" s="124" t="n"/>
      <c r="ET15" s="125" t="n"/>
      <c r="EU15" s="124" t="n"/>
      <c r="EV15" s="125" t="n"/>
      <c r="EW15" s="124" t="n"/>
      <c r="EX15" s="125" t="n"/>
      <c r="EY15" s="124" t="n"/>
      <c r="EZ15" s="125" t="n"/>
      <c r="FA15" s="124" t="n"/>
      <c r="FB15" s="125" t="n"/>
      <c r="FC15" s="126" t="n"/>
      <c r="FD15" s="127" t="n"/>
      <c r="FE15" s="128" t="n"/>
      <c r="FF15" s="127" t="n"/>
      <c r="FG15" s="128" t="n"/>
      <c r="FH15" s="127" t="n"/>
      <c r="FI15" s="128" t="n"/>
      <c r="FJ15" s="127" t="n"/>
      <c r="FK15" s="128" t="n"/>
      <c r="FL15" s="127" t="n"/>
      <c r="FM15" s="128" t="n"/>
      <c r="FN15" s="127" t="n"/>
      <c r="FO15" s="128" t="n"/>
      <c r="FP15" s="127" t="n"/>
      <c r="FQ15" s="128" t="n"/>
      <c r="FR15" s="127" t="n"/>
      <c r="FS15" s="128" t="n"/>
      <c r="FT15" s="129" t="n"/>
      <c r="FU15" s="130" t="n"/>
      <c r="FV15" s="131" t="n"/>
      <c r="FW15" s="130" t="n"/>
      <c r="FX15" s="131" t="n"/>
      <c r="FY15" s="130" t="n"/>
      <c r="FZ15" s="131" t="n"/>
      <c r="GA15" s="130" t="n"/>
      <c r="GB15" s="131" t="n"/>
      <c r="GC15" s="130" t="n"/>
      <c r="GD15" s="131" t="n"/>
      <c r="GE15" s="130" t="n"/>
      <c r="GF15" s="131" t="n"/>
      <c r="GG15" s="130" t="n"/>
      <c r="GH15" s="131" t="n"/>
      <c r="GI15" s="130" t="n"/>
      <c r="GJ15" s="131" t="n"/>
      <c r="GK15" s="132" t="n"/>
      <c r="GL15" s="133" t="n"/>
      <c r="GM15" s="134" t="n"/>
      <c r="GN15" s="133" t="n"/>
      <c r="GO15" s="134" t="n"/>
      <c r="GP15" s="133" t="n"/>
      <c r="GQ15" s="134" t="n"/>
      <c r="GR15" s="133" t="n"/>
      <c r="GS15" s="134" t="n"/>
      <c r="GT15" s="133" t="n"/>
      <c r="GU15" s="134" t="n"/>
      <c r="GV15" s="133" t="n"/>
      <c r="GW15" s="134" t="n"/>
      <c r="GX15" s="133" t="n"/>
      <c r="GY15" s="134" t="n"/>
      <c r="GZ15" s="133" t="n"/>
      <c r="HA15" s="134" t="n"/>
      <c r="HB15" s="135" t="n"/>
      <c r="HC15">
        <f>97-SUMPRODUCT(MAX(($G$4:$HB$4="ح")*($G15:$HB15=TRUE)*(97-$G$47:$HB$47)))</f>
        <v>97</v>
      </c>
      <c r="HD15">
        <f>SUMPRODUCT(($G$4:$HB$4="ح")*($G15:$HB15=TRUE)*($G$47:$HB$47&gt;$HC$1-8))</f>
        <v>0</v>
      </c>
      <c r="HE15">
        <f>(COUNTIF($G15:$V15,TRUE)&gt;0)*($W15&lt;&gt;TRUE)+(COUNTIF($X15:$AM15,TRUE)&gt;0)*($AN15&lt;&gt;TRUE)+(COUNTIF($AO15:$BD15,TRUE)&gt;0)*($BE15&lt;&gt;TRUE)+(COUNTIF($BF15:$BU15,TRUE)&gt;0)*($BV15&lt;&gt;TRUE)+(COUNTIF($BW15:$CL15,TRUE)&gt;0)*($CM15&lt;&gt;TRUE)+(COUNTIF($CN15:$DC15,TRUE)&gt;0)*($DD15&lt;&gt;TRUE)+(COUNTIF($DE15:$DT15,TRUE)&gt;0)*($DU15&lt;&gt;TRUE)+(COUNTIF($DV15:$EK15,TRUE)&gt;0)*($EL15&lt;&gt;TRUE)+(COUNTIF($EM15:$FB15,TRUE)&gt;0)*($FC15&lt;&gt;TRUE)+(COUNTIF($FD15:$FS15,TRUE)&gt;0)*($FT15&lt;&gt;TRUE)+(COUNTIF($FU15:$GJ15,TRUE)&gt;0)*($GK15&lt;&gt;TRUE)+(COUNTIF($GL15:$HA15,TRUE)&gt;0)*($HB15&lt;&gt;TRUE)</f>
        <v>0</v>
      </c>
      <c r="HF15">
        <f>IF($HE15=0,0,13-MAX((COUNTIF($G15:$V15,TRUE)&gt;0)*($W15&lt;&gt;TRUE)*12,(COUNTIF($X15:$AM15,TRUE)&gt;0)*($AN15&lt;&gt;TRUE)*11,(COUNTIF($AO15:$BD15,TRUE)&gt;0)*($BE15&lt;&gt;TRUE)*10,(COUNTIF($BF15:$BU15,TRUE)&gt;0)*($BV15&lt;&gt;TRUE)*9,(COUNTIF($BW15:$CL15,TRUE)&gt;0)*($CM15&lt;&gt;TRUE)*8,(COUNTIF($CN15:$DC15,TRUE)&gt;0)*($DD15&lt;&gt;TRUE)*7,(COUNTIF($DE15:$DT15,TRUE)&gt;0)*($DU15&lt;&gt;TRUE)*6,(COUNTIF($DV15:$EK15,TRUE)&gt;0)*($EL15&lt;&gt;TRUE)*5,(COUNTIF($EM15:$FB15,TRUE)&gt;0)*($FC15&lt;&gt;TRUE)*4,(COUNTIF($FD15:$FS15,TRUE)&gt;0)*($FT15&lt;&gt;TRUE)*3,(COUNTIF($FU15:$GJ15,TRUE)&gt;0)*($GK15&lt;&gt;TRUE)*2,(COUNTIF($GL15:$HA15,TRUE)&gt;0)*($HB15&lt;&gt;TRUE)*1))</f>
        <v>0</v>
      </c>
    </row>
    <row r="16" ht="22.5" customHeight="1">
      <c r="A16" s="36" t="n">
        <v>12</v>
      </c>
      <c r="B16" s="97" t="n"/>
      <c r="C16" s="28" t="n"/>
      <c r="D16" s="98" t="str">
        <f>IF($B16="","",IF($HC16=97,"-",IF($HD16=0,"متوقف",SUMPRODUCT(($G$4:$HB$4="ح")*($G$20:$HB$20&gt;0)*($G16:$HB16&lt;&gt;TRUE)*($G$47:$HB$47&gt;$HC$1-8)*($G$47:$HB$47&gt;=$HC16)))))</f>
        <v/>
      </c>
      <c r="E16" s="98" t="str">
        <f>IF(OR($B16="",$HC16=97),"",SUMPRODUCT(($G$4:$HA$4="ح")*($G16:$HA16=TRUE)*($H16:$HB16&lt;&gt;TRUE)*($G$47:$HA$47&gt;$HC$1-8)))</f>
        <v/>
      </c>
      <c r="F16" s="99" t="str">
        <f>IF($B16="","",IF($HE16=0,IF($HC16=97,"-","تمام"),IF($HE16=1,IF(INDEX($G$1:$HB$1,1,17*($HF16-1)+1)="","شهر "&amp;$HF16,INDEX($G$1:$HB$1,1,17*($HF16-1)+1)),IF($HE16=2,"شهرين",$HE16&amp;" شهور"))))</f>
        <v/>
      </c>
      <c r="G16" s="100" t="n"/>
      <c r="H16" s="101" t="n"/>
      <c r="I16" s="100" t="n"/>
      <c r="J16" s="101" t="n"/>
      <c r="K16" s="100" t="n"/>
      <c r="L16" s="101" t="n"/>
      <c r="M16" s="100" t="n"/>
      <c r="N16" s="101" t="n"/>
      <c r="O16" s="100" t="n"/>
      <c r="P16" s="101" t="n"/>
      <c r="Q16" s="100" t="n"/>
      <c r="R16" s="101" t="n"/>
      <c r="S16" s="100" t="n"/>
      <c r="T16" s="101" t="n"/>
      <c r="U16" s="100" t="n"/>
      <c r="V16" s="101" t="n"/>
      <c r="W16" s="102" t="n"/>
      <c r="X16" s="103" t="n"/>
      <c r="Y16" s="104" t="n"/>
      <c r="Z16" s="103" t="n"/>
      <c r="AA16" s="104" t="n"/>
      <c r="AB16" s="103" t="n"/>
      <c r="AC16" s="104" t="n"/>
      <c r="AD16" s="103" t="n"/>
      <c r="AE16" s="104" t="n"/>
      <c r="AF16" s="103" t="n"/>
      <c r="AG16" s="104" t="n"/>
      <c r="AH16" s="103" t="n"/>
      <c r="AI16" s="104" t="n"/>
      <c r="AJ16" s="103" t="n"/>
      <c r="AK16" s="104" t="n"/>
      <c r="AL16" s="103" t="n"/>
      <c r="AM16" s="104" t="n"/>
      <c r="AN16" s="105" t="n"/>
      <c r="AO16" s="106" t="n"/>
      <c r="AP16" s="107" t="n"/>
      <c r="AQ16" s="106" t="n"/>
      <c r="AR16" s="107" t="n"/>
      <c r="AS16" s="106" t="n"/>
      <c r="AT16" s="107" t="n"/>
      <c r="AU16" s="106" t="n"/>
      <c r="AV16" s="107" t="n"/>
      <c r="AW16" s="106" t="n"/>
      <c r="AX16" s="107" t="n"/>
      <c r="AY16" s="106" t="n"/>
      <c r="AZ16" s="107" t="n"/>
      <c r="BA16" s="106" t="n"/>
      <c r="BB16" s="107" t="n"/>
      <c r="BC16" s="106" t="n"/>
      <c r="BD16" s="107" t="n"/>
      <c r="BE16" s="108" t="n"/>
      <c r="BF16" s="109" t="n"/>
      <c r="BG16" s="110" t="n"/>
      <c r="BH16" s="109" t="n"/>
      <c r="BI16" s="110" t="n"/>
      <c r="BJ16" s="109" t="n"/>
      <c r="BK16" s="110" t="n"/>
      <c r="BL16" s="109" t="n"/>
      <c r="BM16" s="110" t="n"/>
      <c r="BN16" s="109" t="n"/>
      <c r="BO16" s="110" t="n"/>
      <c r="BP16" s="109" t="n"/>
      <c r="BQ16" s="110" t="n"/>
      <c r="BR16" s="109" t="n"/>
      <c r="BS16" s="110" t="n"/>
      <c r="BT16" s="109" t="n"/>
      <c r="BU16" s="110" t="n"/>
      <c r="BV16" s="111" t="n"/>
      <c r="BW16" s="112" t="n"/>
      <c r="BX16" s="113" t="n"/>
      <c r="BY16" s="112" t="n"/>
      <c r="BZ16" s="113" t="n"/>
      <c r="CA16" s="112" t="n"/>
      <c r="CB16" s="113" t="n"/>
      <c r="CC16" s="112" t="n"/>
      <c r="CD16" s="113" t="n"/>
      <c r="CE16" s="112" t="n"/>
      <c r="CF16" s="113" t="n"/>
      <c r="CG16" s="112" t="n"/>
      <c r="CH16" s="113" t="n"/>
      <c r="CI16" s="112" t="n"/>
      <c r="CJ16" s="113" t="n"/>
      <c r="CK16" s="112" t="n"/>
      <c r="CL16" s="113" t="n"/>
      <c r="CM16" s="114" t="n"/>
      <c r="CN16" s="115" t="n"/>
      <c r="CO16" s="116" t="n"/>
      <c r="CP16" s="115" t="n"/>
      <c r="CQ16" s="116" t="n"/>
      <c r="CR16" s="115" t="n"/>
      <c r="CS16" s="116" t="n"/>
      <c r="CT16" s="115" t="n"/>
      <c r="CU16" s="116" t="n"/>
      <c r="CV16" s="115" t="n"/>
      <c r="CW16" s="116" t="n"/>
      <c r="CX16" s="115" t="n"/>
      <c r="CY16" s="116" t="n"/>
      <c r="CZ16" s="115" t="n"/>
      <c r="DA16" s="116" t="n"/>
      <c r="DB16" s="115" t="n"/>
      <c r="DC16" s="116" t="n"/>
      <c r="DD16" s="117" t="n"/>
      <c r="DE16" s="118" t="n"/>
      <c r="DF16" s="119" t="n"/>
      <c r="DG16" s="118" t="n"/>
      <c r="DH16" s="119" t="n"/>
      <c r="DI16" s="118" t="n"/>
      <c r="DJ16" s="119" t="n"/>
      <c r="DK16" s="118" t="n"/>
      <c r="DL16" s="119" t="n"/>
      <c r="DM16" s="118" t="n"/>
      <c r="DN16" s="119" t="n"/>
      <c r="DO16" s="118" t="n"/>
      <c r="DP16" s="119" t="n"/>
      <c r="DQ16" s="118" t="n"/>
      <c r="DR16" s="119" t="n"/>
      <c r="DS16" s="118" t="n"/>
      <c r="DT16" s="119" t="n"/>
      <c r="DU16" s="120" t="n"/>
      <c r="DV16" s="121" t="n"/>
      <c r="DW16" s="122" t="n"/>
      <c r="DX16" s="121" t="n"/>
      <c r="DY16" s="122" t="n"/>
      <c r="DZ16" s="121" t="n"/>
      <c r="EA16" s="122" t="n"/>
      <c r="EB16" s="121" t="n"/>
      <c r="EC16" s="122" t="n"/>
      <c r="ED16" s="121" t="n"/>
      <c r="EE16" s="122" t="n"/>
      <c r="EF16" s="121" t="n"/>
      <c r="EG16" s="122" t="n"/>
      <c r="EH16" s="121" t="n"/>
      <c r="EI16" s="122" t="n"/>
      <c r="EJ16" s="121" t="n"/>
      <c r="EK16" s="122" t="n"/>
      <c r="EL16" s="123" t="n"/>
      <c r="EM16" s="124" t="n"/>
      <c r="EN16" s="125" t="n"/>
      <c r="EO16" s="124" t="n"/>
      <c r="EP16" s="125" t="n"/>
      <c r="EQ16" s="124" t="n"/>
      <c r="ER16" s="125" t="n"/>
      <c r="ES16" s="124" t="n"/>
      <c r="ET16" s="125" t="n"/>
      <c r="EU16" s="124" t="n"/>
      <c r="EV16" s="125" t="n"/>
      <c r="EW16" s="124" t="n"/>
      <c r="EX16" s="125" t="n"/>
      <c r="EY16" s="124" t="n"/>
      <c r="EZ16" s="125" t="n"/>
      <c r="FA16" s="124" t="n"/>
      <c r="FB16" s="125" t="n"/>
      <c r="FC16" s="126" t="n"/>
      <c r="FD16" s="127" t="n"/>
      <c r="FE16" s="128" t="n"/>
      <c r="FF16" s="127" t="n"/>
      <c r="FG16" s="128" t="n"/>
      <c r="FH16" s="127" t="n"/>
      <c r="FI16" s="128" t="n"/>
      <c r="FJ16" s="127" t="n"/>
      <c r="FK16" s="128" t="n"/>
      <c r="FL16" s="127" t="n"/>
      <c r="FM16" s="128" t="n"/>
      <c r="FN16" s="127" t="n"/>
      <c r="FO16" s="128" t="n"/>
      <c r="FP16" s="127" t="n"/>
      <c r="FQ16" s="128" t="n"/>
      <c r="FR16" s="127" t="n"/>
      <c r="FS16" s="128" t="n"/>
      <c r="FT16" s="129" t="n"/>
      <c r="FU16" s="130" t="n"/>
      <c r="FV16" s="131" t="n"/>
      <c r="FW16" s="130" t="n"/>
      <c r="FX16" s="131" t="n"/>
      <c r="FY16" s="130" t="n"/>
      <c r="FZ16" s="131" t="n"/>
      <c r="GA16" s="130" t="n"/>
      <c r="GB16" s="131" t="n"/>
      <c r="GC16" s="130" t="n"/>
      <c r="GD16" s="131" t="n"/>
      <c r="GE16" s="130" t="n"/>
      <c r="GF16" s="131" t="n"/>
      <c r="GG16" s="130" t="n"/>
      <c r="GH16" s="131" t="n"/>
      <c r="GI16" s="130" t="n"/>
      <c r="GJ16" s="131" t="n"/>
      <c r="GK16" s="132" t="n"/>
      <c r="GL16" s="133" t="n"/>
      <c r="GM16" s="134" t="n"/>
      <c r="GN16" s="133" t="n"/>
      <c r="GO16" s="134" t="n"/>
      <c r="GP16" s="133" t="n"/>
      <c r="GQ16" s="134" t="n"/>
      <c r="GR16" s="133" t="n"/>
      <c r="GS16" s="134" t="n"/>
      <c r="GT16" s="133" t="n"/>
      <c r="GU16" s="134" t="n"/>
      <c r="GV16" s="133" t="n"/>
      <c r="GW16" s="134" t="n"/>
      <c r="GX16" s="133" t="n"/>
      <c r="GY16" s="134" t="n"/>
      <c r="GZ16" s="133" t="n"/>
      <c r="HA16" s="134" t="n"/>
      <c r="HB16" s="135" t="n"/>
      <c r="HC16">
        <f>97-SUMPRODUCT(MAX(($G$4:$HB$4="ح")*($G16:$HB16=TRUE)*(97-$G$47:$HB$47)))</f>
        <v>97</v>
      </c>
      <c r="HD16">
        <f>SUMPRODUCT(($G$4:$HB$4="ح")*($G16:$HB16=TRUE)*($G$47:$HB$47&gt;$HC$1-8))</f>
        <v>0</v>
      </c>
      <c r="HE16">
        <f>(COUNTIF($G16:$V16,TRUE)&gt;0)*($W16&lt;&gt;TRUE)+(COUNTIF($X16:$AM16,TRUE)&gt;0)*($AN16&lt;&gt;TRUE)+(COUNTIF($AO16:$BD16,TRUE)&gt;0)*($BE16&lt;&gt;TRUE)+(COUNTIF($BF16:$BU16,TRUE)&gt;0)*($BV16&lt;&gt;TRUE)+(COUNTIF($BW16:$CL16,TRUE)&gt;0)*($CM16&lt;&gt;TRUE)+(COUNTIF($CN16:$DC16,TRUE)&gt;0)*($DD16&lt;&gt;TRUE)+(COUNTIF($DE16:$DT16,TRUE)&gt;0)*($DU16&lt;&gt;TRUE)+(COUNTIF($DV16:$EK16,TRUE)&gt;0)*($EL16&lt;&gt;TRUE)+(COUNTIF($EM16:$FB16,TRUE)&gt;0)*($FC16&lt;&gt;TRUE)+(COUNTIF($FD16:$FS16,TRUE)&gt;0)*($FT16&lt;&gt;TRUE)+(COUNTIF($FU16:$GJ16,TRUE)&gt;0)*($GK16&lt;&gt;TRUE)+(COUNTIF($GL16:$HA16,TRUE)&gt;0)*($HB16&lt;&gt;TRUE)</f>
        <v>0</v>
      </c>
      <c r="HF16">
        <f>IF($HE16=0,0,13-MAX((COUNTIF($G16:$V16,TRUE)&gt;0)*($W16&lt;&gt;TRUE)*12,(COUNTIF($X16:$AM16,TRUE)&gt;0)*($AN16&lt;&gt;TRUE)*11,(COUNTIF($AO16:$BD16,TRUE)&gt;0)*($BE16&lt;&gt;TRUE)*10,(COUNTIF($BF16:$BU16,TRUE)&gt;0)*($BV16&lt;&gt;TRUE)*9,(COUNTIF($BW16:$CL16,TRUE)&gt;0)*($CM16&lt;&gt;TRUE)*8,(COUNTIF($CN16:$DC16,TRUE)&gt;0)*($DD16&lt;&gt;TRUE)*7,(COUNTIF($DE16:$DT16,TRUE)&gt;0)*($DU16&lt;&gt;TRUE)*6,(COUNTIF($DV16:$EK16,TRUE)&gt;0)*($EL16&lt;&gt;TRUE)*5,(COUNTIF($EM16:$FB16,TRUE)&gt;0)*($FC16&lt;&gt;TRUE)*4,(COUNTIF($FD16:$FS16,TRUE)&gt;0)*($FT16&lt;&gt;TRUE)*3,(COUNTIF($FU16:$GJ16,TRUE)&gt;0)*($GK16&lt;&gt;TRUE)*2,(COUNTIF($GL16:$HA16,TRUE)&gt;0)*($HB16&lt;&gt;TRUE)*1))</f>
        <v>0</v>
      </c>
    </row>
    <row r="17" ht="22.5" customHeight="1">
      <c r="A17" s="36" t="n">
        <v>13</v>
      </c>
      <c r="B17" s="97" t="n"/>
      <c r="C17" s="28" t="n"/>
      <c r="D17" s="98" t="str">
        <f>IF($B17="","",IF($HC17=97,"-",IF($HD17=0,"متوقف",SUMPRODUCT(($G$4:$HB$4="ح")*($G$20:$HB$20&gt;0)*($G17:$HB17&lt;&gt;TRUE)*($G$47:$HB$47&gt;$HC$1-8)*($G$47:$HB$47&gt;=$HC17)))))</f>
        <v/>
      </c>
      <c r="E17" s="98" t="str">
        <f>IF(OR($B17="",$HC17=97),"",SUMPRODUCT(($G$4:$HA$4="ح")*($G17:$HA17=TRUE)*($H17:$HB17&lt;&gt;TRUE)*($G$47:$HA$47&gt;$HC$1-8)))</f>
        <v/>
      </c>
      <c r="F17" s="99" t="str">
        <f>IF($B17="","",IF($HE17=0,IF($HC17=97,"-","تمام"),IF($HE17=1,IF(INDEX($G$1:$HB$1,1,17*($HF17-1)+1)="","شهر "&amp;$HF17,INDEX($G$1:$HB$1,1,17*($HF17-1)+1)),IF($HE17=2,"شهرين",$HE17&amp;" شهور"))))</f>
        <v/>
      </c>
      <c r="G17" s="100" t="n"/>
      <c r="H17" s="101" t="n"/>
      <c r="I17" s="100" t="n"/>
      <c r="J17" s="101" t="n"/>
      <c r="K17" s="100" t="n"/>
      <c r="L17" s="101" t="n"/>
      <c r="M17" s="100" t="n"/>
      <c r="N17" s="101" t="n"/>
      <c r="O17" s="100" t="n"/>
      <c r="P17" s="101" t="n"/>
      <c r="Q17" s="100" t="n"/>
      <c r="R17" s="101" t="n"/>
      <c r="S17" s="100" t="n"/>
      <c r="T17" s="101" t="n"/>
      <c r="U17" s="100" t="n"/>
      <c r="V17" s="101" t="n"/>
      <c r="W17" s="102" t="n"/>
      <c r="X17" s="103" t="n"/>
      <c r="Y17" s="104" t="n"/>
      <c r="Z17" s="103" t="n"/>
      <c r="AA17" s="104" t="n"/>
      <c r="AB17" s="103" t="n"/>
      <c r="AC17" s="104" t="n"/>
      <c r="AD17" s="103" t="n"/>
      <c r="AE17" s="104" t="n"/>
      <c r="AF17" s="103" t="n"/>
      <c r="AG17" s="104" t="n"/>
      <c r="AH17" s="103" t="n"/>
      <c r="AI17" s="104" t="n"/>
      <c r="AJ17" s="103" t="n"/>
      <c r="AK17" s="104" t="n"/>
      <c r="AL17" s="103" t="n"/>
      <c r="AM17" s="104" t="n"/>
      <c r="AN17" s="105" t="n"/>
      <c r="AO17" s="106" t="n"/>
      <c r="AP17" s="107" t="n"/>
      <c r="AQ17" s="106" t="n"/>
      <c r="AR17" s="107" t="n"/>
      <c r="AS17" s="106" t="n"/>
      <c r="AT17" s="107" t="n"/>
      <c r="AU17" s="106" t="n"/>
      <c r="AV17" s="107" t="n"/>
      <c r="AW17" s="106" t="n"/>
      <c r="AX17" s="107" t="n"/>
      <c r="AY17" s="106" t="n"/>
      <c r="AZ17" s="107" t="n"/>
      <c r="BA17" s="106" t="n"/>
      <c r="BB17" s="107" t="n"/>
      <c r="BC17" s="106" t="n"/>
      <c r="BD17" s="107" t="n"/>
      <c r="BE17" s="108" t="n"/>
      <c r="BF17" s="109" t="n"/>
      <c r="BG17" s="110" t="n"/>
      <c r="BH17" s="109" t="n"/>
      <c r="BI17" s="110" t="n"/>
      <c r="BJ17" s="109" t="n"/>
      <c r="BK17" s="110" t="n"/>
      <c r="BL17" s="109" t="n"/>
      <c r="BM17" s="110" t="n"/>
      <c r="BN17" s="109" t="n"/>
      <c r="BO17" s="110" t="n"/>
      <c r="BP17" s="109" t="n"/>
      <c r="BQ17" s="110" t="n"/>
      <c r="BR17" s="109" t="n"/>
      <c r="BS17" s="110" t="n"/>
      <c r="BT17" s="109" t="n"/>
      <c r="BU17" s="110" t="n"/>
      <c r="BV17" s="111" t="n"/>
      <c r="BW17" s="112" t="n"/>
      <c r="BX17" s="113" t="n"/>
      <c r="BY17" s="112" t="n"/>
      <c r="BZ17" s="113" t="n"/>
      <c r="CA17" s="112" t="n"/>
      <c r="CB17" s="113" t="n"/>
      <c r="CC17" s="112" t="n"/>
      <c r="CD17" s="113" t="n"/>
      <c r="CE17" s="112" t="n"/>
      <c r="CF17" s="113" t="n"/>
      <c r="CG17" s="112" t="n"/>
      <c r="CH17" s="113" t="n"/>
      <c r="CI17" s="112" t="n"/>
      <c r="CJ17" s="113" t="n"/>
      <c r="CK17" s="112" t="n"/>
      <c r="CL17" s="113" t="n"/>
      <c r="CM17" s="114" t="n"/>
      <c r="CN17" s="115" t="n"/>
      <c r="CO17" s="116" t="n"/>
      <c r="CP17" s="115" t="n"/>
      <c r="CQ17" s="116" t="n"/>
      <c r="CR17" s="115" t="n"/>
      <c r="CS17" s="116" t="n"/>
      <c r="CT17" s="115" t="n"/>
      <c r="CU17" s="116" t="n"/>
      <c r="CV17" s="115" t="n"/>
      <c r="CW17" s="116" t="n"/>
      <c r="CX17" s="115" t="n"/>
      <c r="CY17" s="116" t="n"/>
      <c r="CZ17" s="115" t="n"/>
      <c r="DA17" s="116" t="n"/>
      <c r="DB17" s="115" t="n"/>
      <c r="DC17" s="116" t="n"/>
      <c r="DD17" s="117" t="n"/>
      <c r="DE17" s="118" t="n"/>
      <c r="DF17" s="119" t="n"/>
      <c r="DG17" s="118" t="n"/>
      <c r="DH17" s="119" t="n"/>
      <c r="DI17" s="118" t="n"/>
      <c r="DJ17" s="119" t="n"/>
      <c r="DK17" s="118" t="n"/>
      <c r="DL17" s="119" t="n"/>
      <c r="DM17" s="118" t="n"/>
      <c r="DN17" s="119" t="n"/>
      <c r="DO17" s="118" t="n"/>
      <c r="DP17" s="119" t="n"/>
      <c r="DQ17" s="118" t="n"/>
      <c r="DR17" s="119" t="n"/>
      <c r="DS17" s="118" t="n"/>
      <c r="DT17" s="119" t="n"/>
      <c r="DU17" s="120" t="n"/>
      <c r="DV17" s="121" t="n"/>
      <c r="DW17" s="122" t="n"/>
      <c r="DX17" s="121" t="n"/>
      <c r="DY17" s="122" t="n"/>
      <c r="DZ17" s="121" t="n"/>
      <c r="EA17" s="122" t="n"/>
      <c r="EB17" s="121" t="n"/>
      <c r="EC17" s="122" t="n"/>
      <c r="ED17" s="121" t="n"/>
      <c r="EE17" s="122" t="n"/>
      <c r="EF17" s="121" t="n"/>
      <c r="EG17" s="122" t="n"/>
      <c r="EH17" s="121" t="n"/>
      <c r="EI17" s="122" t="n"/>
      <c r="EJ17" s="121" t="n"/>
      <c r="EK17" s="122" t="n"/>
      <c r="EL17" s="123" t="n"/>
      <c r="EM17" s="124" t="n"/>
      <c r="EN17" s="125" t="n"/>
      <c r="EO17" s="124" t="n"/>
      <c r="EP17" s="125" t="n"/>
      <c r="EQ17" s="124" t="n"/>
      <c r="ER17" s="125" t="n"/>
      <c r="ES17" s="124" t="n"/>
      <c r="ET17" s="125" t="n"/>
      <c r="EU17" s="124" t="n"/>
      <c r="EV17" s="125" t="n"/>
      <c r="EW17" s="124" t="n"/>
      <c r="EX17" s="125" t="n"/>
      <c r="EY17" s="124" t="n"/>
      <c r="EZ17" s="125" t="n"/>
      <c r="FA17" s="124" t="n"/>
      <c r="FB17" s="125" t="n"/>
      <c r="FC17" s="126" t="n"/>
      <c r="FD17" s="127" t="n"/>
      <c r="FE17" s="128" t="n"/>
      <c r="FF17" s="127" t="n"/>
      <c r="FG17" s="128" t="n"/>
      <c r="FH17" s="127" t="n"/>
      <c r="FI17" s="128" t="n"/>
      <c r="FJ17" s="127" t="n"/>
      <c r="FK17" s="128" t="n"/>
      <c r="FL17" s="127" t="n"/>
      <c r="FM17" s="128" t="n"/>
      <c r="FN17" s="127" t="n"/>
      <c r="FO17" s="128" t="n"/>
      <c r="FP17" s="127" t="n"/>
      <c r="FQ17" s="128" t="n"/>
      <c r="FR17" s="127" t="n"/>
      <c r="FS17" s="128" t="n"/>
      <c r="FT17" s="129" t="n"/>
      <c r="FU17" s="130" t="n"/>
      <c r="FV17" s="131" t="n"/>
      <c r="FW17" s="130" t="n"/>
      <c r="FX17" s="131" t="n"/>
      <c r="FY17" s="130" t="n"/>
      <c r="FZ17" s="131" t="n"/>
      <c r="GA17" s="130" t="n"/>
      <c r="GB17" s="131" t="n"/>
      <c r="GC17" s="130" t="n"/>
      <c r="GD17" s="131" t="n"/>
      <c r="GE17" s="130" t="n"/>
      <c r="GF17" s="131" t="n"/>
      <c r="GG17" s="130" t="n"/>
      <c r="GH17" s="131" t="n"/>
      <c r="GI17" s="130" t="n"/>
      <c r="GJ17" s="131" t="n"/>
      <c r="GK17" s="132" t="n"/>
      <c r="GL17" s="133" t="n"/>
      <c r="GM17" s="134" t="n"/>
      <c r="GN17" s="133" t="n"/>
      <c r="GO17" s="134" t="n"/>
      <c r="GP17" s="133" t="n"/>
      <c r="GQ17" s="134" t="n"/>
      <c r="GR17" s="133" t="n"/>
      <c r="GS17" s="134" t="n"/>
      <c r="GT17" s="133" t="n"/>
      <c r="GU17" s="134" t="n"/>
      <c r="GV17" s="133" t="n"/>
      <c r="GW17" s="134" t="n"/>
      <c r="GX17" s="133" t="n"/>
      <c r="GY17" s="134" t="n"/>
      <c r="GZ17" s="133" t="n"/>
      <c r="HA17" s="134" t="n"/>
      <c r="HB17" s="135" t="n"/>
      <c r="HC17">
        <f>97-SUMPRODUCT(MAX(($G$4:$HB$4="ح")*($G17:$HB17=TRUE)*(97-$G$47:$HB$47)))</f>
        <v>97</v>
      </c>
      <c r="HD17">
        <f>SUMPRODUCT(($G$4:$HB$4="ح")*($G17:$HB17=TRUE)*($G$47:$HB$47&gt;$HC$1-8))</f>
        <v>0</v>
      </c>
      <c r="HE17">
        <f>(COUNTIF($G17:$V17,TRUE)&gt;0)*($W17&lt;&gt;TRUE)+(COUNTIF($X17:$AM17,TRUE)&gt;0)*($AN17&lt;&gt;TRUE)+(COUNTIF($AO17:$BD17,TRUE)&gt;0)*($BE17&lt;&gt;TRUE)+(COUNTIF($BF17:$BU17,TRUE)&gt;0)*($BV17&lt;&gt;TRUE)+(COUNTIF($BW17:$CL17,TRUE)&gt;0)*($CM17&lt;&gt;TRUE)+(COUNTIF($CN17:$DC17,TRUE)&gt;0)*($DD17&lt;&gt;TRUE)+(COUNTIF($DE17:$DT17,TRUE)&gt;0)*($DU17&lt;&gt;TRUE)+(COUNTIF($DV17:$EK17,TRUE)&gt;0)*($EL17&lt;&gt;TRUE)+(COUNTIF($EM17:$FB17,TRUE)&gt;0)*($FC17&lt;&gt;TRUE)+(COUNTIF($FD17:$FS17,TRUE)&gt;0)*($FT17&lt;&gt;TRUE)+(COUNTIF($FU17:$GJ17,TRUE)&gt;0)*($GK17&lt;&gt;TRUE)+(COUNTIF($GL17:$HA17,TRUE)&gt;0)*($HB17&lt;&gt;TRUE)</f>
        <v>0</v>
      </c>
      <c r="HF17">
        <f>IF($HE17=0,0,13-MAX((COUNTIF($G17:$V17,TRUE)&gt;0)*($W17&lt;&gt;TRUE)*12,(COUNTIF($X17:$AM17,TRUE)&gt;0)*($AN17&lt;&gt;TRUE)*11,(COUNTIF($AO17:$BD17,TRUE)&gt;0)*($BE17&lt;&gt;TRUE)*10,(COUNTIF($BF17:$BU17,TRUE)&gt;0)*($BV17&lt;&gt;TRUE)*9,(COUNTIF($BW17:$CL17,TRUE)&gt;0)*($CM17&lt;&gt;TRUE)*8,(COUNTIF($CN17:$DC17,TRUE)&gt;0)*($DD17&lt;&gt;TRUE)*7,(COUNTIF($DE17:$DT17,TRUE)&gt;0)*($DU17&lt;&gt;TRUE)*6,(COUNTIF($DV17:$EK17,TRUE)&gt;0)*($EL17&lt;&gt;TRUE)*5,(COUNTIF($EM17:$FB17,TRUE)&gt;0)*($FC17&lt;&gt;TRUE)*4,(COUNTIF($FD17:$FS17,TRUE)&gt;0)*($FT17&lt;&gt;TRUE)*3,(COUNTIF($FU17:$GJ17,TRUE)&gt;0)*($GK17&lt;&gt;TRUE)*2,(COUNTIF($GL17:$HA17,TRUE)&gt;0)*($HB17&lt;&gt;TRUE)*1))</f>
        <v>0</v>
      </c>
    </row>
    <row r="18" ht="22.5" customHeight="1">
      <c r="A18" s="36" t="n">
        <v>14</v>
      </c>
      <c r="B18" s="97" t="n"/>
      <c r="C18" s="28" t="n"/>
      <c r="D18" s="98" t="str">
        <f>IF($B18="","",IF($HC18=97,"-",IF($HD18=0,"متوقف",SUMPRODUCT(($G$4:$HB$4="ح")*($G$20:$HB$20&gt;0)*($G18:$HB18&lt;&gt;TRUE)*($G$47:$HB$47&gt;$HC$1-8)*($G$47:$HB$47&gt;=$HC18)))))</f>
        <v/>
      </c>
      <c r="E18" s="98" t="str">
        <f>IF(OR($B18="",$HC18=97),"",SUMPRODUCT(($G$4:$HA$4="ح")*($G18:$HA18=TRUE)*($H18:$HB18&lt;&gt;TRUE)*($G$47:$HA$47&gt;$HC$1-8)))</f>
        <v/>
      </c>
      <c r="F18" s="99" t="str">
        <f>IF($B18="","",IF($HE18=0,IF($HC18=97,"-","تمام"),IF($HE18=1,IF(INDEX($G$1:$HB$1,1,17*($HF18-1)+1)="","شهر "&amp;$HF18,INDEX($G$1:$HB$1,1,17*($HF18-1)+1)),IF($HE18=2,"شهرين",$HE18&amp;" شهور"))))</f>
        <v/>
      </c>
      <c r="G18" s="100" t="n"/>
      <c r="H18" s="101" t="n"/>
      <c r="I18" s="100" t="n"/>
      <c r="J18" s="101" t="n"/>
      <c r="K18" s="100" t="n"/>
      <c r="L18" s="101" t="n"/>
      <c r="M18" s="100" t="n"/>
      <c r="N18" s="101" t="n"/>
      <c r="O18" s="100" t="n"/>
      <c r="P18" s="101" t="n"/>
      <c r="Q18" s="100" t="n"/>
      <c r="R18" s="101" t="n"/>
      <c r="S18" s="100" t="n"/>
      <c r="T18" s="101" t="n"/>
      <c r="U18" s="100" t="n"/>
      <c r="V18" s="101" t="n"/>
      <c r="W18" s="102" t="n"/>
      <c r="X18" s="103" t="n"/>
      <c r="Y18" s="104" t="n"/>
      <c r="Z18" s="103" t="n"/>
      <c r="AA18" s="104" t="n"/>
      <c r="AB18" s="103" t="n"/>
      <c r="AC18" s="104" t="n"/>
      <c r="AD18" s="103" t="n"/>
      <c r="AE18" s="104" t="n"/>
      <c r="AF18" s="103" t="n"/>
      <c r="AG18" s="104" t="n"/>
      <c r="AH18" s="103" t="n"/>
      <c r="AI18" s="104" t="n"/>
      <c r="AJ18" s="103" t="n"/>
      <c r="AK18" s="104" t="n"/>
      <c r="AL18" s="103" t="n"/>
      <c r="AM18" s="104" t="n"/>
      <c r="AN18" s="105" t="n"/>
      <c r="AO18" s="106" t="n"/>
      <c r="AP18" s="107" t="n"/>
      <c r="AQ18" s="106" t="n"/>
      <c r="AR18" s="107" t="n"/>
      <c r="AS18" s="106" t="n"/>
      <c r="AT18" s="107" t="n"/>
      <c r="AU18" s="106" t="n"/>
      <c r="AV18" s="107" t="n"/>
      <c r="AW18" s="106" t="n"/>
      <c r="AX18" s="107" t="n"/>
      <c r="AY18" s="106" t="n"/>
      <c r="AZ18" s="107" t="n"/>
      <c r="BA18" s="106" t="n"/>
      <c r="BB18" s="107" t="n"/>
      <c r="BC18" s="106" t="n"/>
      <c r="BD18" s="107" t="n"/>
      <c r="BE18" s="108" t="n"/>
      <c r="BF18" s="109" t="n"/>
      <c r="BG18" s="110" t="n"/>
      <c r="BH18" s="109" t="n"/>
      <c r="BI18" s="110" t="n"/>
      <c r="BJ18" s="109" t="n"/>
      <c r="BK18" s="110" t="n"/>
      <c r="BL18" s="109" t="n"/>
      <c r="BM18" s="110" t="n"/>
      <c r="BN18" s="109" t="n"/>
      <c r="BO18" s="110" t="n"/>
      <c r="BP18" s="109" t="n"/>
      <c r="BQ18" s="110" t="n"/>
      <c r="BR18" s="109" t="n"/>
      <c r="BS18" s="110" t="n"/>
      <c r="BT18" s="109" t="n"/>
      <c r="BU18" s="110" t="n"/>
      <c r="BV18" s="111" t="n"/>
      <c r="BW18" s="112" t="n"/>
      <c r="BX18" s="113" t="n"/>
      <c r="BY18" s="112" t="n"/>
      <c r="BZ18" s="113" t="n"/>
      <c r="CA18" s="112" t="n"/>
      <c r="CB18" s="113" t="n"/>
      <c r="CC18" s="112" t="n"/>
      <c r="CD18" s="113" t="n"/>
      <c r="CE18" s="112" t="n"/>
      <c r="CF18" s="113" t="n"/>
      <c r="CG18" s="112" t="n"/>
      <c r="CH18" s="113" t="n"/>
      <c r="CI18" s="112" t="n"/>
      <c r="CJ18" s="113" t="n"/>
      <c r="CK18" s="112" t="n"/>
      <c r="CL18" s="113" t="n"/>
      <c r="CM18" s="114" t="n"/>
      <c r="CN18" s="115" t="n"/>
      <c r="CO18" s="116" t="n"/>
      <c r="CP18" s="115" t="n"/>
      <c r="CQ18" s="116" t="n"/>
      <c r="CR18" s="115" t="n"/>
      <c r="CS18" s="116" t="n"/>
      <c r="CT18" s="115" t="n"/>
      <c r="CU18" s="116" t="n"/>
      <c r="CV18" s="115" t="n"/>
      <c r="CW18" s="116" t="n"/>
      <c r="CX18" s="115" t="n"/>
      <c r="CY18" s="116" t="n"/>
      <c r="CZ18" s="115" t="n"/>
      <c r="DA18" s="116" t="n"/>
      <c r="DB18" s="115" t="n"/>
      <c r="DC18" s="116" t="n"/>
      <c r="DD18" s="117" t="n"/>
      <c r="DE18" s="118" t="n"/>
      <c r="DF18" s="119" t="n"/>
      <c r="DG18" s="118" t="n"/>
      <c r="DH18" s="119" t="n"/>
      <c r="DI18" s="118" t="n"/>
      <c r="DJ18" s="119" t="n"/>
      <c r="DK18" s="118" t="n"/>
      <c r="DL18" s="119" t="n"/>
      <c r="DM18" s="118" t="n"/>
      <c r="DN18" s="119" t="n"/>
      <c r="DO18" s="118" t="n"/>
      <c r="DP18" s="119" t="n"/>
      <c r="DQ18" s="118" t="n"/>
      <c r="DR18" s="119" t="n"/>
      <c r="DS18" s="118" t="n"/>
      <c r="DT18" s="119" t="n"/>
      <c r="DU18" s="120" t="n"/>
      <c r="DV18" s="121" t="n"/>
      <c r="DW18" s="122" t="n"/>
      <c r="DX18" s="121" t="n"/>
      <c r="DY18" s="122" t="n"/>
      <c r="DZ18" s="121" t="n"/>
      <c r="EA18" s="122" t="n"/>
      <c r="EB18" s="121" t="n"/>
      <c r="EC18" s="122" t="n"/>
      <c r="ED18" s="121" t="n"/>
      <c r="EE18" s="122" t="n"/>
      <c r="EF18" s="121" t="n"/>
      <c r="EG18" s="122" t="n"/>
      <c r="EH18" s="121" t="n"/>
      <c r="EI18" s="122" t="n"/>
      <c r="EJ18" s="121" t="n"/>
      <c r="EK18" s="122" t="n"/>
      <c r="EL18" s="123" t="n"/>
      <c r="EM18" s="124" t="n"/>
      <c r="EN18" s="125" t="n"/>
      <c r="EO18" s="124" t="n"/>
      <c r="EP18" s="125" t="n"/>
      <c r="EQ18" s="124" t="n"/>
      <c r="ER18" s="125" t="n"/>
      <c r="ES18" s="124" t="n"/>
      <c r="ET18" s="125" t="n"/>
      <c r="EU18" s="124" t="n"/>
      <c r="EV18" s="125" t="n"/>
      <c r="EW18" s="124" t="n"/>
      <c r="EX18" s="125" t="n"/>
      <c r="EY18" s="124" t="n"/>
      <c r="EZ18" s="125" t="n"/>
      <c r="FA18" s="124" t="n"/>
      <c r="FB18" s="125" t="n"/>
      <c r="FC18" s="126" t="n"/>
      <c r="FD18" s="127" t="n"/>
      <c r="FE18" s="128" t="n"/>
      <c r="FF18" s="127" t="n"/>
      <c r="FG18" s="128" t="n"/>
      <c r="FH18" s="127" t="n"/>
      <c r="FI18" s="128" t="n"/>
      <c r="FJ18" s="127" t="n"/>
      <c r="FK18" s="128" t="n"/>
      <c r="FL18" s="127" t="n"/>
      <c r="FM18" s="128" t="n"/>
      <c r="FN18" s="127" t="n"/>
      <c r="FO18" s="128" t="n"/>
      <c r="FP18" s="127" t="n"/>
      <c r="FQ18" s="128" t="n"/>
      <c r="FR18" s="127" t="n"/>
      <c r="FS18" s="128" t="n"/>
      <c r="FT18" s="129" t="n"/>
      <c r="FU18" s="130" t="n"/>
      <c r="FV18" s="131" t="n"/>
      <c r="FW18" s="130" t="n"/>
      <c r="FX18" s="131" t="n"/>
      <c r="FY18" s="130" t="n"/>
      <c r="FZ18" s="131" t="n"/>
      <c r="GA18" s="130" t="n"/>
      <c r="GB18" s="131" t="n"/>
      <c r="GC18" s="130" t="n"/>
      <c r="GD18" s="131" t="n"/>
      <c r="GE18" s="130" t="n"/>
      <c r="GF18" s="131" t="n"/>
      <c r="GG18" s="130" t="n"/>
      <c r="GH18" s="131" t="n"/>
      <c r="GI18" s="130" t="n"/>
      <c r="GJ18" s="131" t="n"/>
      <c r="GK18" s="132" t="n"/>
      <c r="GL18" s="133" t="n"/>
      <c r="GM18" s="134" t="n"/>
      <c r="GN18" s="133" t="n"/>
      <c r="GO18" s="134" t="n"/>
      <c r="GP18" s="133" t="n"/>
      <c r="GQ18" s="134" t="n"/>
      <c r="GR18" s="133" t="n"/>
      <c r="GS18" s="134" t="n"/>
      <c r="GT18" s="133" t="n"/>
      <c r="GU18" s="134" t="n"/>
      <c r="GV18" s="133" t="n"/>
      <c r="GW18" s="134" t="n"/>
      <c r="GX18" s="133" t="n"/>
      <c r="GY18" s="134" t="n"/>
      <c r="GZ18" s="133" t="n"/>
      <c r="HA18" s="134" t="n"/>
      <c r="HB18" s="135" t="n"/>
      <c r="HC18">
        <f>97-SUMPRODUCT(MAX(($G$4:$HB$4="ح")*($G18:$HB18=TRUE)*(97-$G$47:$HB$47)))</f>
        <v>97</v>
      </c>
      <c r="HD18">
        <f>SUMPRODUCT(($G$4:$HB$4="ح")*($G18:$HB18=TRUE)*($G$47:$HB$47&gt;$HC$1-8))</f>
        <v>0</v>
      </c>
      <c r="HE18">
        <f>(COUNTIF($G18:$V18,TRUE)&gt;0)*($W18&lt;&gt;TRUE)+(COUNTIF($X18:$AM18,TRUE)&gt;0)*($AN18&lt;&gt;TRUE)+(COUNTIF($AO18:$BD18,TRUE)&gt;0)*($BE18&lt;&gt;TRUE)+(COUNTIF($BF18:$BU18,TRUE)&gt;0)*($BV18&lt;&gt;TRUE)+(COUNTIF($BW18:$CL18,TRUE)&gt;0)*($CM18&lt;&gt;TRUE)+(COUNTIF($CN18:$DC18,TRUE)&gt;0)*($DD18&lt;&gt;TRUE)+(COUNTIF($DE18:$DT18,TRUE)&gt;0)*($DU18&lt;&gt;TRUE)+(COUNTIF($DV18:$EK18,TRUE)&gt;0)*($EL18&lt;&gt;TRUE)+(COUNTIF($EM18:$FB18,TRUE)&gt;0)*($FC18&lt;&gt;TRUE)+(COUNTIF($FD18:$FS18,TRUE)&gt;0)*($FT18&lt;&gt;TRUE)+(COUNTIF($FU18:$GJ18,TRUE)&gt;0)*($GK18&lt;&gt;TRUE)+(COUNTIF($GL18:$HA18,TRUE)&gt;0)*($HB18&lt;&gt;TRUE)</f>
        <v>0</v>
      </c>
      <c r="HF18">
        <f>IF($HE18=0,0,13-MAX((COUNTIF($G18:$V18,TRUE)&gt;0)*($W18&lt;&gt;TRUE)*12,(COUNTIF($X18:$AM18,TRUE)&gt;0)*($AN18&lt;&gt;TRUE)*11,(COUNTIF($AO18:$BD18,TRUE)&gt;0)*($BE18&lt;&gt;TRUE)*10,(COUNTIF($BF18:$BU18,TRUE)&gt;0)*($BV18&lt;&gt;TRUE)*9,(COUNTIF($BW18:$CL18,TRUE)&gt;0)*($CM18&lt;&gt;TRUE)*8,(COUNTIF($CN18:$DC18,TRUE)&gt;0)*($DD18&lt;&gt;TRUE)*7,(COUNTIF($DE18:$DT18,TRUE)&gt;0)*($DU18&lt;&gt;TRUE)*6,(COUNTIF($DV18:$EK18,TRUE)&gt;0)*($EL18&lt;&gt;TRUE)*5,(COUNTIF($EM18:$FB18,TRUE)&gt;0)*($FC18&lt;&gt;TRUE)*4,(COUNTIF($FD18:$FS18,TRUE)&gt;0)*($FT18&lt;&gt;TRUE)*3,(COUNTIF($FU18:$GJ18,TRUE)&gt;0)*($GK18&lt;&gt;TRUE)*2,(COUNTIF($GL18:$HA18,TRUE)&gt;0)*($HB18&lt;&gt;TRUE)*1))</f>
        <v>0</v>
      </c>
    </row>
    <row r="19" ht="22.5" customHeight="1">
      <c r="A19" s="36" t="n">
        <v>15</v>
      </c>
      <c r="B19" s="97" t="n"/>
      <c r="C19" s="28" t="n"/>
      <c r="D19" s="98" t="str">
        <f>IF($B19="","",IF($HC19=97,"-",IF($HD19=0,"متوقف",SUMPRODUCT(($G$4:$HB$4="ح")*($G$20:$HB$20&gt;0)*($G19:$HB19&lt;&gt;TRUE)*($G$47:$HB$47&gt;$HC$1-8)*($G$47:$HB$47&gt;=$HC19)))))</f>
        <v/>
      </c>
      <c r="E19" s="98" t="str">
        <f>IF(OR($B19="",$HC19=97),"",SUMPRODUCT(($G$4:$HA$4="ح")*($G19:$HA19=TRUE)*($H19:$HB19&lt;&gt;TRUE)*($G$47:$HA$47&gt;$HC$1-8)))</f>
        <v/>
      </c>
      <c r="F19" s="99" t="str">
        <f>IF($B19="","",IF($HE19=0,IF($HC19=97,"-","تمام"),IF($HE19=1,IF(INDEX($G$1:$HB$1,1,17*($HF19-1)+1)="","شهر "&amp;$HF19,INDEX($G$1:$HB$1,1,17*($HF19-1)+1)),IF($HE19=2,"شهرين",$HE19&amp;" شهور"))))</f>
        <v/>
      </c>
      <c r="G19" s="100" t="n"/>
      <c r="H19" s="101" t="n"/>
      <c r="I19" s="100" t="n"/>
      <c r="J19" s="101" t="n"/>
      <c r="K19" s="100" t="n"/>
      <c r="L19" s="101" t="n"/>
      <c r="M19" s="100" t="n"/>
      <c r="N19" s="101" t="n"/>
      <c r="O19" s="100" t="n"/>
      <c r="P19" s="101" t="n"/>
      <c r="Q19" s="100" t="n"/>
      <c r="R19" s="101" t="n"/>
      <c r="S19" s="100" t="n"/>
      <c r="T19" s="101" t="n"/>
      <c r="U19" s="100" t="n"/>
      <c r="V19" s="101" t="n"/>
      <c r="W19" s="102" t="n"/>
      <c r="X19" s="103" t="n"/>
      <c r="Y19" s="104" t="n"/>
      <c r="Z19" s="103" t="n"/>
      <c r="AA19" s="104" t="n"/>
      <c r="AB19" s="103" t="n"/>
      <c r="AC19" s="104" t="n"/>
      <c r="AD19" s="103" t="n"/>
      <c r="AE19" s="104" t="n"/>
      <c r="AF19" s="103" t="n"/>
      <c r="AG19" s="104" t="n"/>
      <c r="AH19" s="103" t="n"/>
      <c r="AI19" s="104" t="n"/>
      <c r="AJ19" s="103" t="n"/>
      <c r="AK19" s="104" t="n"/>
      <c r="AL19" s="103" t="n"/>
      <c r="AM19" s="104" t="n"/>
      <c r="AN19" s="105" t="n"/>
      <c r="AO19" s="106" t="n"/>
      <c r="AP19" s="107" t="n"/>
      <c r="AQ19" s="106" t="n"/>
      <c r="AR19" s="107" t="n"/>
      <c r="AS19" s="106" t="n"/>
      <c r="AT19" s="107" t="n"/>
      <c r="AU19" s="106" t="n"/>
      <c r="AV19" s="107" t="n"/>
      <c r="AW19" s="106" t="n"/>
      <c r="AX19" s="107" t="n"/>
      <c r="AY19" s="106" t="n"/>
      <c r="AZ19" s="107" t="n"/>
      <c r="BA19" s="106" t="n"/>
      <c r="BB19" s="107" t="n"/>
      <c r="BC19" s="106" t="n"/>
      <c r="BD19" s="107" t="n"/>
      <c r="BE19" s="108" t="n"/>
      <c r="BF19" s="109" t="n"/>
      <c r="BG19" s="110" t="n"/>
      <c r="BH19" s="109" t="n"/>
      <c r="BI19" s="110" t="n"/>
      <c r="BJ19" s="109" t="n"/>
      <c r="BK19" s="110" t="n"/>
      <c r="BL19" s="109" t="n"/>
      <c r="BM19" s="110" t="n"/>
      <c r="BN19" s="109" t="n"/>
      <c r="BO19" s="110" t="n"/>
      <c r="BP19" s="109" t="n"/>
      <c r="BQ19" s="110" t="n"/>
      <c r="BR19" s="109" t="n"/>
      <c r="BS19" s="110" t="n"/>
      <c r="BT19" s="109" t="n"/>
      <c r="BU19" s="110" t="n"/>
      <c r="BV19" s="111" t="n"/>
      <c r="BW19" s="112" t="n"/>
      <c r="BX19" s="113" t="n"/>
      <c r="BY19" s="112" t="n"/>
      <c r="BZ19" s="113" t="n"/>
      <c r="CA19" s="112" t="n"/>
      <c r="CB19" s="113" t="n"/>
      <c r="CC19" s="112" t="n"/>
      <c r="CD19" s="113" t="n"/>
      <c r="CE19" s="112" t="n"/>
      <c r="CF19" s="113" t="n"/>
      <c r="CG19" s="112" t="n"/>
      <c r="CH19" s="113" t="n"/>
      <c r="CI19" s="112" t="n"/>
      <c r="CJ19" s="113" t="n"/>
      <c r="CK19" s="112" t="n"/>
      <c r="CL19" s="113" t="n"/>
      <c r="CM19" s="114" t="n"/>
      <c r="CN19" s="115" t="n"/>
      <c r="CO19" s="116" t="n"/>
      <c r="CP19" s="115" t="n"/>
      <c r="CQ19" s="116" t="n"/>
      <c r="CR19" s="115" t="n"/>
      <c r="CS19" s="116" t="n"/>
      <c r="CT19" s="115" t="n"/>
      <c r="CU19" s="116" t="n"/>
      <c r="CV19" s="115" t="n"/>
      <c r="CW19" s="116" t="n"/>
      <c r="CX19" s="115" t="n"/>
      <c r="CY19" s="116" t="n"/>
      <c r="CZ19" s="115" t="n"/>
      <c r="DA19" s="116" t="n"/>
      <c r="DB19" s="115" t="n"/>
      <c r="DC19" s="116" t="n"/>
      <c r="DD19" s="117" t="n"/>
      <c r="DE19" s="118" t="n"/>
      <c r="DF19" s="119" t="n"/>
      <c r="DG19" s="118" t="n"/>
      <c r="DH19" s="119" t="n"/>
      <c r="DI19" s="118" t="n"/>
      <c r="DJ19" s="119" t="n"/>
      <c r="DK19" s="118" t="n"/>
      <c r="DL19" s="119" t="n"/>
      <c r="DM19" s="118" t="n"/>
      <c r="DN19" s="119" t="n"/>
      <c r="DO19" s="118" t="n"/>
      <c r="DP19" s="119" t="n"/>
      <c r="DQ19" s="118" t="n"/>
      <c r="DR19" s="119" t="n"/>
      <c r="DS19" s="118" t="n"/>
      <c r="DT19" s="119" t="n"/>
      <c r="DU19" s="120" t="n"/>
      <c r="DV19" s="121" t="n"/>
      <c r="DW19" s="122" t="n"/>
      <c r="DX19" s="121" t="n"/>
      <c r="DY19" s="122" t="n"/>
      <c r="DZ19" s="121" t="n"/>
      <c r="EA19" s="122" t="n"/>
      <c r="EB19" s="121" t="n"/>
      <c r="EC19" s="122" t="n"/>
      <c r="ED19" s="121" t="n"/>
      <c r="EE19" s="122" t="n"/>
      <c r="EF19" s="121" t="n"/>
      <c r="EG19" s="122" t="n"/>
      <c r="EH19" s="121" t="n"/>
      <c r="EI19" s="122" t="n"/>
      <c r="EJ19" s="121" t="n"/>
      <c r="EK19" s="122" t="n"/>
      <c r="EL19" s="123" t="n"/>
      <c r="EM19" s="124" t="n"/>
      <c r="EN19" s="125" t="n"/>
      <c r="EO19" s="124" t="n"/>
      <c r="EP19" s="125" t="n"/>
      <c r="EQ19" s="124" t="n"/>
      <c r="ER19" s="125" t="n"/>
      <c r="ES19" s="124" t="n"/>
      <c r="ET19" s="125" t="n"/>
      <c r="EU19" s="124" t="n"/>
      <c r="EV19" s="125" t="n"/>
      <c r="EW19" s="124" t="n"/>
      <c r="EX19" s="125" t="n"/>
      <c r="EY19" s="124" t="n"/>
      <c r="EZ19" s="125" t="n"/>
      <c r="FA19" s="124" t="n"/>
      <c r="FB19" s="125" t="n"/>
      <c r="FC19" s="126" t="n"/>
      <c r="FD19" s="127" t="n"/>
      <c r="FE19" s="128" t="n"/>
      <c r="FF19" s="127" t="n"/>
      <c r="FG19" s="128" t="n"/>
      <c r="FH19" s="127" t="n"/>
      <c r="FI19" s="128" t="n"/>
      <c r="FJ19" s="127" t="n"/>
      <c r="FK19" s="128" t="n"/>
      <c r="FL19" s="127" t="n"/>
      <c r="FM19" s="128" t="n"/>
      <c r="FN19" s="127" t="n"/>
      <c r="FO19" s="128" t="n"/>
      <c r="FP19" s="127" t="n"/>
      <c r="FQ19" s="128" t="n"/>
      <c r="FR19" s="127" t="n"/>
      <c r="FS19" s="128" t="n"/>
      <c r="FT19" s="129" t="n"/>
      <c r="FU19" s="130" t="n"/>
      <c r="FV19" s="131" t="n"/>
      <c r="FW19" s="130" t="n"/>
      <c r="FX19" s="131" t="n"/>
      <c r="FY19" s="130" t="n"/>
      <c r="FZ19" s="131" t="n"/>
      <c r="GA19" s="130" t="n"/>
      <c r="GB19" s="131" t="n"/>
      <c r="GC19" s="130" t="n"/>
      <c r="GD19" s="131" t="n"/>
      <c r="GE19" s="130" t="n"/>
      <c r="GF19" s="131" t="n"/>
      <c r="GG19" s="130" t="n"/>
      <c r="GH19" s="131" t="n"/>
      <c r="GI19" s="130" t="n"/>
      <c r="GJ19" s="131" t="n"/>
      <c r="GK19" s="132" t="n"/>
      <c r="GL19" s="133" t="n"/>
      <c r="GM19" s="134" t="n"/>
      <c r="GN19" s="133" t="n"/>
      <c r="GO19" s="134" t="n"/>
      <c r="GP19" s="133" t="n"/>
      <c r="GQ19" s="134" t="n"/>
      <c r="GR19" s="133" t="n"/>
      <c r="GS19" s="134" t="n"/>
      <c r="GT19" s="133" t="n"/>
      <c r="GU19" s="134" t="n"/>
      <c r="GV19" s="133" t="n"/>
      <c r="GW19" s="134" t="n"/>
      <c r="GX19" s="133" t="n"/>
      <c r="GY19" s="134" t="n"/>
      <c r="GZ19" s="133" t="n"/>
      <c r="HA19" s="134" t="n"/>
      <c r="HB19" s="135" t="n"/>
      <c r="HC19">
        <f>97-SUMPRODUCT(MAX(($G$4:$HB$4="ح")*($G19:$HB19=TRUE)*(97-$G$47:$HB$47)))</f>
        <v>97</v>
      </c>
      <c r="HD19">
        <f>SUMPRODUCT(($G$4:$HB$4="ح")*($G19:$HB19=TRUE)*($G$47:$HB$47&gt;$HC$1-8))</f>
        <v>0</v>
      </c>
      <c r="HE19">
        <f>(COUNTIF($G19:$V19,TRUE)&gt;0)*($W19&lt;&gt;TRUE)+(COUNTIF($X19:$AM19,TRUE)&gt;0)*($AN19&lt;&gt;TRUE)+(COUNTIF($AO19:$BD19,TRUE)&gt;0)*($BE19&lt;&gt;TRUE)+(COUNTIF($BF19:$BU19,TRUE)&gt;0)*($BV19&lt;&gt;TRUE)+(COUNTIF($BW19:$CL19,TRUE)&gt;0)*($CM19&lt;&gt;TRUE)+(COUNTIF($CN19:$DC19,TRUE)&gt;0)*($DD19&lt;&gt;TRUE)+(COUNTIF($DE19:$DT19,TRUE)&gt;0)*($DU19&lt;&gt;TRUE)+(COUNTIF($DV19:$EK19,TRUE)&gt;0)*($EL19&lt;&gt;TRUE)+(COUNTIF($EM19:$FB19,TRUE)&gt;0)*($FC19&lt;&gt;TRUE)+(COUNTIF($FD19:$FS19,TRUE)&gt;0)*($FT19&lt;&gt;TRUE)+(COUNTIF($FU19:$GJ19,TRUE)&gt;0)*($GK19&lt;&gt;TRUE)+(COUNTIF($GL19:$HA19,TRUE)&gt;0)*($HB19&lt;&gt;TRUE)</f>
        <v>0</v>
      </c>
      <c r="HF19">
        <f>IF($HE19=0,0,13-MAX((COUNTIF($G19:$V19,TRUE)&gt;0)*($W19&lt;&gt;TRUE)*12,(COUNTIF($X19:$AM19,TRUE)&gt;0)*($AN19&lt;&gt;TRUE)*11,(COUNTIF($AO19:$BD19,TRUE)&gt;0)*($BE19&lt;&gt;TRUE)*10,(COUNTIF($BF19:$BU19,TRUE)&gt;0)*($BV19&lt;&gt;TRUE)*9,(COUNTIF($BW19:$CL19,TRUE)&gt;0)*($CM19&lt;&gt;TRUE)*8,(COUNTIF($CN19:$DC19,TRUE)&gt;0)*($DD19&lt;&gt;TRUE)*7,(COUNTIF($DE19:$DT19,TRUE)&gt;0)*($DU19&lt;&gt;TRUE)*6,(COUNTIF($DV19:$EK19,TRUE)&gt;0)*($EL19&lt;&gt;TRUE)*5,(COUNTIF($EM19:$FB19,TRUE)&gt;0)*($FC19&lt;&gt;TRUE)*4,(COUNTIF($FD19:$FS19,TRUE)&gt;0)*($FT19&lt;&gt;TRUE)*3,(COUNTIF($FU19:$GJ19,TRUE)&gt;0)*($GK19&lt;&gt;TRUE)*2,(COUNTIF($GL19:$HA19,TRUE)&gt;0)*($HB19&lt;&gt;TRUE)*1))</f>
        <v>0</v>
      </c>
    </row>
    <row r="20" ht="16.5" customHeight="1">
      <c r="A20" s="36" t="inlineStr">
        <is>
          <t>العدد</t>
        </is>
      </c>
      <c r="B20" s="4" t="n"/>
      <c r="C20" s="136" t="n"/>
      <c r="D20" s="13" t="n"/>
      <c r="E20" s="13" t="n"/>
      <c r="F20" s="4" t="n"/>
      <c r="G20" s="137">
        <f>COUNTIF(G5:G19,TRUE)</f>
        <v>0</v>
      </c>
      <c r="H20" s="137">
        <f>COUNTIF(H5:H19,TRUE)</f>
        <v>0</v>
      </c>
      <c r="I20" s="137">
        <f>COUNTIF(I5:I19,TRUE)</f>
        <v>0</v>
      </c>
      <c r="J20" s="137">
        <f>COUNTIF(J5:J19,TRUE)</f>
        <v>0</v>
      </c>
      <c r="K20" s="137">
        <f>COUNTIF(K5:K19,TRUE)</f>
        <v>0</v>
      </c>
      <c r="L20" s="137">
        <f>COUNTIF(L5:L19,TRUE)</f>
        <v>0</v>
      </c>
      <c r="M20" s="137">
        <f>COUNTIF(M5:M19,TRUE)</f>
        <v>0</v>
      </c>
      <c r="N20" s="137">
        <f>COUNTIF(N5:N19,TRUE)</f>
        <v>0</v>
      </c>
      <c r="O20" s="137">
        <f>COUNTIF(O5:O19,TRUE)</f>
        <v>0</v>
      </c>
      <c r="P20" s="137">
        <f>COUNTIF(P5:P19,TRUE)</f>
        <v>0</v>
      </c>
      <c r="Q20" s="137">
        <f>COUNTIF(Q5:Q19,TRUE)</f>
        <v>0</v>
      </c>
      <c r="R20" s="137">
        <f>COUNTIF(R5:R19,TRUE)</f>
        <v>0</v>
      </c>
      <c r="S20" s="137">
        <f>COUNTIF(S5:S19,TRUE)</f>
        <v>0</v>
      </c>
      <c r="T20" s="137">
        <f>COUNTIF(T5:T19,TRUE)</f>
        <v>0</v>
      </c>
      <c r="U20" s="137">
        <f>COUNTIF(U5:U19,TRUE)</f>
        <v>0</v>
      </c>
      <c r="V20" s="137">
        <f>COUNTIF(V5:V19,TRUE)</f>
        <v>0</v>
      </c>
      <c r="W20" s="137">
        <f>COUNTIF(W5:W19,TRUE)</f>
        <v>0</v>
      </c>
      <c r="X20" s="137">
        <f>COUNTIF(X5:X19,TRUE)</f>
        <v>0</v>
      </c>
      <c r="Y20" s="137">
        <f>COUNTIF(Y5:Y19,TRUE)</f>
        <v>0</v>
      </c>
      <c r="Z20" s="137">
        <f>COUNTIF(Z5:Z19,TRUE)</f>
        <v>0</v>
      </c>
      <c r="AA20" s="137">
        <f>COUNTIF(AA5:AA19,TRUE)</f>
        <v>0</v>
      </c>
      <c r="AB20" s="137">
        <f>COUNTIF(AB5:AB19,TRUE)</f>
        <v>0</v>
      </c>
      <c r="AC20" s="137">
        <f>COUNTIF(AC5:AC19,TRUE)</f>
        <v>0</v>
      </c>
      <c r="AD20" s="137">
        <f>COUNTIF(AD5:AD19,TRUE)</f>
        <v>0</v>
      </c>
      <c r="AE20" s="137">
        <f>COUNTIF(AE5:AE19,TRUE)</f>
        <v>0</v>
      </c>
      <c r="AF20" s="137">
        <f>COUNTIF(AF5:AF19,TRUE)</f>
        <v>0</v>
      </c>
      <c r="AG20" s="137">
        <f>COUNTIF(AG5:AG19,TRUE)</f>
        <v>0</v>
      </c>
      <c r="AH20" s="137">
        <f>COUNTIF(AH5:AH19,TRUE)</f>
        <v>0</v>
      </c>
      <c r="AI20" s="137">
        <f>COUNTIF(AI5:AI19,TRUE)</f>
        <v>0</v>
      </c>
      <c r="AJ20" s="137">
        <f>COUNTIF(AJ5:AJ19,TRUE)</f>
        <v>0</v>
      </c>
      <c r="AK20" s="137">
        <f>COUNTIF(AK5:AK19,TRUE)</f>
        <v>0</v>
      </c>
      <c r="AL20" s="137">
        <f>COUNTIF(AL5:AL19,TRUE)</f>
        <v>0</v>
      </c>
      <c r="AM20" s="137">
        <f>COUNTIF(AM5:AM19,TRUE)</f>
        <v>0</v>
      </c>
      <c r="AN20" s="137">
        <f>COUNTIF(AN5:AN19,TRUE)</f>
        <v>0</v>
      </c>
      <c r="AO20" s="137">
        <f>COUNTIF(AO5:AO19,TRUE)</f>
        <v>0</v>
      </c>
      <c r="AP20" s="137">
        <f>COUNTIF(AP5:AP19,TRUE)</f>
        <v>0</v>
      </c>
      <c r="AQ20" s="137">
        <f>COUNTIF(AQ5:AQ19,TRUE)</f>
        <v>0</v>
      </c>
      <c r="AR20" s="137">
        <f>COUNTIF(AR5:AR19,TRUE)</f>
        <v>0</v>
      </c>
      <c r="AS20" s="137">
        <f>COUNTIF(AS5:AS19,TRUE)</f>
        <v>0</v>
      </c>
      <c r="AT20" s="137">
        <f>COUNTIF(AT5:AT19,TRUE)</f>
        <v>0</v>
      </c>
      <c r="AU20" s="137">
        <f>COUNTIF(AU5:AU19,TRUE)</f>
        <v>0</v>
      </c>
      <c r="AV20" s="137">
        <f>COUNTIF(AV5:AV19,TRUE)</f>
        <v>0</v>
      </c>
      <c r="AW20" s="137">
        <f>COUNTIF(AW5:AW19,TRUE)</f>
        <v>0</v>
      </c>
      <c r="AX20" s="137">
        <f>COUNTIF(AX5:AX19,TRUE)</f>
        <v>0</v>
      </c>
      <c r="AY20" s="137">
        <f>COUNTIF(AY5:AY19,TRUE)</f>
        <v>0</v>
      </c>
      <c r="AZ20" s="137">
        <f>COUNTIF(AZ5:AZ19,TRUE)</f>
        <v>0</v>
      </c>
      <c r="BA20" s="137">
        <f>COUNTIF(BA5:BA19,TRUE)</f>
        <v>0</v>
      </c>
      <c r="BB20" s="137">
        <f>COUNTIF(BB5:BB19,TRUE)</f>
        <v>0</v>
      </c>
      <c r="BC20" s="137">
        <f>COUNTIF(BC5:BC19,TRUE)</f>
        <v>0</v>
      </c>
      <c r="BD20" s="137">
        <f>COUNTIF(BD5:BD19,TRUE)</f>
        <v>0</v>
      </c>
      <c r="BE20" s="137">
        <f>COUNTIF(BE5:BE19,TRUE)</f>
        <v>0</v>
      </c>
      <c r="BF20" s="137">
        <f>COUNTIF(BF5:BF19,TRUE)</f>
        <v>0</v>
      </c>
      <c r="BG20" s="137">
        <f>COUNTIF(BG5:BG19,TRUE)</f>
        <v>0</v>
      </c>
      <c r="BH20" s="137">
        <f>COUNTIF(BH5:BH19,TRUE)</f>
        <v>0</v>
      </c>
      <c r="BI20" s="137">
        <f>COUNTIF(BI5:BI19,TRUE)</f>
        <v>0</v>
      </c>
      <c r="BJ20" s="137">
        <f>COUNTIF(BJ5:BJ19,TRUE)</f>
        <v>0</v>
      </c>
      <c r="BK20" s="137">
        <f>COUNTIF(BK5:BK19,TRUE)</f>
        <v>0</v>
      </c>
      <c r="BL20" s="137">
        <f>COUNTIF(BL5:BL19,TRUE)</f>
        <v>0</v>
      </c>
      <c r="BM20" s="137">
        <f>COUNTIF(BM5:BM19,TRUE)</f>
        <v>0</v>
      </c>
      <c r="BN20" s="137">
        <f>COUNTIF(BN5:BN19,TRUE)</f>
        <v>0</v>
      </c>
      <c r="BO20" s="137">
        <f>COUNTIF(BO5:BO19,TRUE)</f>
        <v>0</v>
      </c>
      <c r="BP20" s="137">
        <f>COUNTIF(BP5:BP19,TRUE)</f>
        <v>0</v>
      </c>
      <c r="BQ20" s="137">
        <f>COUNTIF(BQ5:BQ19,TRUE)</f>
        <v>0</v>
      </c>
      <c r="BR20" s="137">
        <f>COUNTIF(BR5:BR19,TRUE)</f>
        <v>0</v>
      </c>
      <c r="BS20" s="137">
        <f>COUNTIF(BS5:BS19,TRUE)</f>
        <v>0</v>
      </c>
      <c r="BT20" s="137">
        <f>COUNTIF(BT5:BT19,TRUE)</f>
        <v>0</v>
      </c>
      <c r="BU20" s="137">
        <f>COUNTIF(BU5:BU19,TRUE)</f>
        <v>0</v>
      </c>
      <c r="BV20" s="137">
        <f>COUNTIF(BV5:BV19,TRUE)</f>
        <v>0</v>
      </c>
      <c r="BW20" s="137">
        <f>COUNTIF(BW5:BW19,TRUE)</f>
        <v>0</v>
      </c>
      <c r="BX20" s="137">
        <f>COUNTIF(BX5:BX19,TRUE)</f>
        <v>0</v>
      </c>
      <c r="BY20" s="137">
        <f>COUNTIF(BY5:BY19,TRUE)</f>
        <v>0</v>
      </c>
      <c r="BZ20" s="137">
        <f>COUNTIF(BZ5:BZ19,TRUE)</f>
        <v>0</v>
      </c>
      <c r="CA20" s="137">
        <f>COUNTIF(CA5:CA19,TRUE)</f>
        <v>0</v>
      </c>
      <c r="CB20" s="137">
        <f>COUNTIF(CB5:CB19,TRUE)</f>
        <v>0</v>
      </c>
      <c r="CC20" s="137">
        <f>COUNTIF(CC5:CC19,TRUE)</f>
        <v>0</v>
      </c>
      <c r="CD20" s="137">
        <f>COUNTIF(CD5:CD19,TRUE)</f>
        <v>0</v>
      </c>
      <c r="CE20" s="137">
        <f>COUNTIF(CE5:CE19,TRUE)</f>
        <v>0</v>
      </c>
      <c r="CF20" s="137">
        <f>COUNTIF(CF5:CF19,TRUE)</f>
        <v>0</v>
      </c>
      <c r="CG20" s="137">
        <f>COUNTIF(CG5:CG19,TRUE)</f>
        <v>0</v>
      </c>
      <c r="CH20" s="137">
        <f>COUNTIF(CH5:CH19,TRUE)</f>
        <v>0</v>
      </c>
      <c r="CI20" s="137">
        <f>COUNTIF(CI5:CI19,TRUE)</f>
        <v>0</v>
      </c>
      <c r="CJ20" s="137">
        <f>COUNTIF(CJ5:CJ19,TRUE)</f>
        <v>0</v>
      </c>
      <c r="CK20" s="137">
        <f>COUNTIF(CK5:CK19,TRUE)</f>
        <v>0</v>
      </c>
      <c r="CL20" s="137">
        <f>COUNTIF(CL5:CL19,TRUE)</f>
        <v>0</v>
      </c>
      <c r="CM20" s="137">
        <f>COUNTIF(CM5:CM19,TRUE)</f>
        <v>0</v>
      </c>
      <c r="CN20" s="137">
        <f>COUNTIF(CN5:CN19,TRUE)</f>
        <v>0</v>
      </c>
      <c r="CO20" s="137">
        <f>COUNTIF(CO5:CO19,TRUE)</f>
        <v>0</v>
      </c>
      <c r="CP20" s="137">
        <f>COUNTIF(CP5:CP19,TRUE)</f>
        <v>0</v>
      </c>
      <c r="CQ20" s="137">
        <f>COUNTIF(CQ5:CQ19,TRUE)</f>
        <v>0</v>
      </c>
      <c r="CR20" s="137">
        <f>COUNTIF(CR5:CR19,TRUE)</f>
        <v>0</v>
      </c>
      <c r="CS20" s="137">
        <f>COUNTIF(CS5:CS19,TRUE)</f>
        <v>0</v>
      </c>
      <c r="CT20" s="137">
        <f>COUNTIF(CT5:CT19,TRUE)</f>
        <v>0</v>
      </c>
      <c r="CU20" s="137">
        <f>COUNTIF(CU5:CU19,TRUE)</f>
        <v>0</v>
      </c>
      <c r="CV20" s="137">
        <f>COUNTIF(CV5:CV19,TRUE)</f>
        <v>0</v>
      </c>
      <c r="CW20" s="137">
        <f>COUNTIF(CW5:CW19,TRUE)</f>
        <v>0</v>
      </c>
      <c r="CX20" s="137">
        <f>COUNTIF(CX5:CX19,TRUE)</f>
        <v>0</v>
      </c>
      <c r="CY20" s="137">
        <f>COUNTIF(CY5:CY19,TRUE)</f>
        <v>0</v>
      </c>
      <c r="CZ20" s="137">
        <f>COUNTIF(CZ5:CZ19,TRUE)</f>
        <v>0</v>
      </c>
      <c r="DA20" s="137">
        <f>COUNTIF(DA5:DA19,TRUE)</f>
        <v>0</v>
      </c>
      <c r="DB20" s="137">
        <f>COUNTIF(DB5:DB19,TRUE)</f>
        <v>0</v>
      </c>
      <c r="DC20" s="137">
        <f>COUNTIF(DC5:DC19,TRUE)</f>
        <v>0</v>
      </c>
      <c r="DD20" s="137">
        <f>COUNTIF(DD5:DD19,TRUE)</f>
        <v>0</v>
      </c>
      <c r="DE20" s="137">
        <f>COUNTIF(DE5:DE19,TRUE)</f>
        <v>0</v>
      </c>
      <c r="DF20" s="137">
        <f>COUNTIF(DF5:DF19,TRUE)</f>
        <v>0</v>
      </c>
      <c r="DG20" s="137">
        <f>COUNTIF(DG5:DG19,TRUE)</f>
        <v>0</v>
      </c>
      <c r="DH20" s="137">
        <f>COUNTIF(DH5:DH19,TRUE)</f>
        <v>0</v>
      </c>
      <c r="DI20" s="137">
        <f>COUNTIF(DI5:DI19,TRUE)</f>
        <v>0</v>
      </c>
      <c r="DJ20" s="137">
        <f>COUNTIF(DJ5:DJ19,TRUE)</f>
        <v>0</v>
      </c>
      <c r="DK20" s="137">
        <f>COUNTIF(DK5:DK19,TRUE)</f>
        <v>0</v>
      </c>
      <c r="DL20" s="137">
        <f>COUNTIF(DL5:DL19,TRUE)</f>
        <v>0</v>
      </c>
      <c r="DM20" s="137">
        <f>COUNTIF(DM5:DM19,TRUE)</f>
        <v>0</v>
      </c>
      <c r="DN20" s="137">
        <f>COUNTIF(DN5:DN19,TRUE)</f>
        <v>0</v>
      </c>
      <c r="DO20" s="137">
        <f>COUNTIF(DO5:DO19,TRUE)</f>
        <v>0</v>
      </c>
      <c r="DP20" s="137">
        <f>COUNTIF(DP5:DP19,TRUE)</f>
        <v>0</v>
      </c>
      <c r="DQ20" s="137">
        <f>COUNTIF(DQ5:DQ19,TRUE)</f>
        <v>0</v>
      </c>
      <c r="DR20" s="137">
        <f>COUNTIF(DR5:DR19,TRUE)</f>
        <v>0</v>
      </c>
      <c r="DS20" s="137">
        <f>COUNTIF(DS5:DS19,TRUE)</f>
        <v>0</v>
      </c>
      <c r="DT20" s="137">
        <f>COUNTIF(DT5:DT19,TRUE)</f>
        <v>0</v>
      </c>
      <c r="DU20" s="137">
        <f>COUNTIF(DU5:DU19,TRUE)</f>
        <v>0</v>
      </c>
      <c r="DV20" s="137">
        <f>COUNTIF(DV5:DV19,TRUE)</f>
        <v>0</v>
      </c>
      <c r="DW20" s="137">
        <f>COUNTIF(DW5:DW19,TRUE)</f>
        <v>0</v>
      </c>
      <c r="DX20" s="137">
        <f>COUNTIF(DX5:DX19,TRUE)</f>
        <v>0</v>
      </c>
      <c r="DY20" s="137">
        <f>COUNTIF(DY5:DY19,TRUE)</f>
        <v>0</v>
      </c>
      <c r="DZ20" s="137">
        <f>COUNTIF(DZ5:DZ19,TRUE)</f>
        <v>0</v>
      </c>
      <c r="EA20" s="137">
        <f>COUNTIF(EA5:EA19,TRUE)</f>
        <v>0</v>
      </c>
      <c r="EB20" s="137">
        <f>COUNTIF(EB5:EB19,TRUE)</f>
        <v>0</v>
      </c>
      <c r="EC20" s="137">
        <f>COUNTIF(EC5:EC19,TRUE)</f>
        <v>0</v>
      </c>
      <c r="ED20" s="137">
        <f>COUNTIF(ED5:ED19,TRUE)</f>
        <v>0</v>
      </c>
      <c r="EE20" s="137">
        <f>COUNTIF(EE5:EE19,TRUE)</f>
        <v>0</v>
      </c>
      <c r="EF20" s="137">
        <f>COUNTIF(EF5:EF19,TRUE)</f>
        <v>0</v>
      </c>
      <c r="EG20" s="137">
        <f>COUNTIF(EG5:EG19,TRUE)</f>
        <v>0</v>
      </c>
      <c r="EH20" s="137">
        <f>COUNTIF(EH5:EH19,TRUE)</f>
        <v>0</v>
      </c>
      <c r="EI20" s="137">
        <f>COUNTIF(EI5:EI19,TRUE)</f>
        <v>0</v>
      </c>
      <c r="EJ20" s="137">
        <f>COUNTIF(EJ5:EJ19,TRUE)</f>
        <v>0</v>
      </c>
      <c r="EK20" s="137">
        <f>COUNTIF(EK5:EK19,TRUE)</f>
        <v>0</v>
      </c>
      <c r="EL20" s="137">
        <f>COUNTIF(EL5:EL19,TRUE)</f>
        <v>0</v>
      </c>
      <c r="EM20" s="137">
        <f>COUNTIF(EM5:EM19,TRUE)</f>
        <v>0</v>
      </c>
      <c r="EN20" s="137">
        <f>COUNTIF(EN5:EN19,TRUE)</f>
        <v>0</v>
      </c>
      <c r="EO20" s="137">
        <f>COUNTIF(EO5:EO19,TRUE)</f>
        <v>0</v>
      </c>
      <c r="EP20" s="137">
        <f>COUNTIF(EP5:EP19,TRUE)</f>
        <v>0</v>
      </c>
      <c r="EQ20" s="137">
        <f>COUNTIF(EQ5:EQ19,TRUE)</f>
        <v>0</v>
      </c>
      <c r="ER20" s="137">
        <f>COUNTIF(ER5:ER19,TRUE)</f>
        <v>0</v>
      </c>
      <c r="ES20" s="137">
        <f>COUNTIF(ES5:ES19,TRUE)</f>
        <v>0</v>
      </c>
      <c r="ET20" s="137">
        <f>COUNTIF(ET5:ET19,TRUE)</f>
        <v>0</v>
      </c>
      <c r="EU20" s="137">
        <f>COUNTIF(EU5:EU19,TRUE)</f>
        <v>0</v>
      </c>
      <c r="EV20" s="137">
        <f>COUNTIF(EV5:EV19,TRUE)</f>
        <v>0</v>
      </c>
      <c r="EW20" s="137">
        <f>COUNTIF(EW5:EW19,TRUE)</f>
        <v>0</v>
      </c>
      <c r="EX20" s="137">
        <f>COUNTIF(EX5:EX19,TRUE)</f>
        <v>0</v>
      </c>
      <c r="EY20" s="137">
        <f>COUNTIF(EY5:EY19,TRUE)</f>
        <v>0</v>
      </c>
      <c r="EZ20" s="137">
        <f>COUNTIF(EZ5:EZ19,TRUE)</f>
        <v>0</v>
      </c>
      <c r="FA20" s="137">
        <f>COUNTIF(FA5:FA19,TRUE)</f>
        <v>0</v>
      </c>
      <c r="FB20" s="137">
        <f>COUNTIF(FB5:FB19,TRUE)</f>
        <v>0</v>
      </c>
      <c r="FC20" s="137">
        <f>COUNTIF(FC5:FC19,TRUE)</f>
        <v>0</v>
      </c>
      <c r="FD20" s="137">
        <f>COUNTIF(FD5:FD19,TRUE)</f>
        <v>0</v>
      </c>
      <c r="FE20" s="137">
        <f>COUNTIF(FE5:FE19,TRUE)</f>
        <v>0</v>
      </c>
      <c r="FF20" s="137">
        <f>COUNTIF(FF5:FF19,TRUE)</f>
        <v>0</v>
      </c>
      <c r="FG20" s="137">
        <f>COUNTIF(FG5:FG19,TRUE)</f>
        <v>0</v>
      </c>
      <c r="FH20" s="137">
        <f>COUNTIF(FH5:FH19,TRUE)</f>
        <v>0</v>
      </c>
      <c r="FI20" s="137">
        <f>COUNTIF(FI5:FI19,TRUE)</f>
        <v>0</v>
      </c>
      <c r="FJ20" s="137">
        <f>COUNTIF(FJ5:FJ19,TRUE)</f>
        <v>0</v>
      </c>
      <c r="FK20" s="137">
        <f>COUNTIF(FK5:FK19,TRUE)</f>
        <v>0</v>
      </c>
      <c r="FL20" s="137">
        <f>COUNTIF(FL5:FL19,TRUE)</f>
        <v>0</v>
      </c>
      <c r="FM20" s="137">
        <f>COUNTIF(FM5:FM19,TRUE)</f>
        <v>0</v>
      </c>
      <c r="FN20" s="137">
        <f>COUNTIF(FN5:FN19,TRUE)</f>
        <v>0</v>
      </c>
      <c r="FO20" s="137">
        <f>COUNTIF(FO5:FO19,TRUE)</f>
        <v>0</v>
      </c>
      <c r="FP20" s="137">
        <f>COUNTIF(FP5:FP19,TRUE)</f>
        <v>0</v>
      </c>
      <c r="FQ20" s="137">
        <f>COUNTIF(FQ5:FQ19,TRUE)</f>
        <v>0</v>
      </c>
      <c r="FR20" s="137">
        <f>COUNTIF(FR5:FR19,TRUE)</f>
        <v>0</v>
      </c>
      <c r="FS20" s="137">
        <f>COUNTIF(FS5:FS19,TRUE)</f>
        <v>0</v>
      </c>
      <c r="FT20" s="137">
        <f>COUNTIF(FT5:FT19,TRUE)</f>
        <v>0</v>
      </c>
      <c r="FU20" s="137">
        <f>COUNTIF(FU5:FU19,TRUE)</f>
        <v>0</v>
      </c>
      <c r="FV20" s="137">
        <f>COUNTIF(FV5:FV19,TRUE)</f>
        <v>0</v>
      </c>
      <c r="FW20" s="137">
        <f>COUNTIF(FW5:FW19,TRUE)</f>
        <v>0</v>
      </c>
      <c r="FX20" s="137">
        <f>COUNTIF(FX5:FX19,TRUE)</f>
        <v>0</v>
      </c>
      <c r="FY20" s="137">
        <f>COUNTIF(FY5:FY19,TRUE)</f>
        <v>0</v>
      </c>
      <c r="FZ20" s="137">
        <f>COUNTIF(FZ5:FZ19,TRUE)</f>
        <v>0</v>
      </c>
      <c r="GA20" s="137">
        <f>COUNTIF(GA5:GA19,TRUE)</f>
        <v>0</v>
      </c>
      <c r="GB20" s="137">
        <f>COUNTIF(GB5:GB19,TRUE)</f>
        <v>0</v>
      </c>
      <c r="GC20" s="137">
        <f>COUNTIF(GC5:GC19,TRUE)</f>
        <v>0</v>
      </c>
      <c r="GD20" s="137">
        <f>COUNTIF(GD5:GD19,TRUE)</f>
        <v>0</v>
      </c>
      <c r="GE20" s="137">
        <f>COUNTIF(GE5:GE19,TRUE)</f>
        <v>0</v>
      </c>
      <c r="GF20" s="137">
        <f>COUNTIF(GF5:GF19,TRUE)</f>
        <v>0</v>
      </c>
      <c r="GG20" s="137">
        <f>COUNTIF(GG5:GG19,TRUE)</f>
        <v>0</v>
      </c>
      <c r="GH20" s="137">
        <f>COUNTIF(GH5:GH19,TRUE)</f>
        <v>0</v>
      </c>
      <c r="GI20" s="137">
        <f>COUNTIF(GI5:GI19,TRUE)</f>
        <v>0</v>
      </c>
      <c r="GJ20" s="137">
        <f>COUNTIF(GJ5:GJ19,TRUE)</f>
        <v>0</v>
      </c>
      <c r="GK20" s="137">
        <f>COUNTIF(GK5:GK19,TRUE)</f>
        <v>0</v>
      </c>
      <c r="GL20" s="137">
        <f>COUNTIF(GL5:GL19,TRUE)</f>
        <v>0</v>
      </c>
      <c r="GM20" s="137">
        <f>COUNTIF(GM5:GM19,TRUE)</f>
        <v>0</v>
      </c>
      <c r="GN20" s="137">
        <f>COUNTIF(GN5:GN19,TRUE)</f>
        <v>0</v>
      </c>
      <c r="GO20" s="137">
        <f>COUNTIF(GO5:GO19,TRUE)</f>
        <v>0</v>
      </c>
      <c r="GP20" s="137">
        <f>COUNTIF(GP5:GP19,TRUE)</f>
        <v>0</v>
      </c>
      <c r="GQ20" s="137">
        <f>COUNTIF(GQ5:GQ19,TRUE)</f>
        <v>0</v>
      </c>
      <c r="GR20" s="137">
        <f>COUNTIF(GR5:GR19,TRUE)</f>
        <v>0</v>
      </c>
      <c r="GS20" s="137">
        <f>COUNTIF(GS5:GS19,TRUE)</f>
        <v>0</v>
      </c>
      <c r="GT20" s="137">
        <f>COUNTIF(GT5:GT19,TRUE)</f>
        <v>0</v>
      </c>
      <c r="GU20" s="137">
        <f>COUNTIF(GU5:GU19,TRUE)</f>
        <v>0</v>
      </c>
      <c r="GV20" s="137">
        <f>COUNTIF(GV5:GV19,TRUE)</f>
        <v>0</v>
      </c>
      <c r="GW20" s="137">
        <f>COUNTIF(GW5:GW19,TRUE)</f>
        <v>0</v>
      </c>
      <c r="GX20" s="137">
        <f>COUNTIF(GX5:GX19,TRUE)</f>
        <v>0</v>
      </c>
      <c r="GY20" s="137">
        <f>COUNTIF(GY5:GY19,TRUE)</f>
        <v>0</v>
      </c>
      <c r="GZ20" s="137">
        <f>COUNTIF(GZ5:GZ19,TRUE)</f>
        <v>0</v>
      </c>
      <c r="HA20" s="137">
        <f>COUNTIF(HA5:HA19,TRUE)</f>
        <v>0</v>
      </c>
      <c r="HB20" s="137">
        <f>COUNTIF(HB5:HB19,TRUE)</f>
        <v>0</v>
      </c>
    </row>
    <row r="21" ht="7.5" customHeight="1"/>
    <row r="22" ht="15" customHeight="1">
      <c r="A22" s="138" t="inlineStr">
        <is>
          <t>الحصة الجاية: هنعمل إيه؟</t>
        </is>
      </c>
      <c r="B22" s="4" t="n"/>
      <c r="C22" s="138" t="inlineStr">
        <is>
          <t>ميعادها حسب صفحة المواعيد</t>
        </is>
      </c>
      <c r="D22" s="13" t="n"/>
      <c r="E22" s="13" t="n"/>
      <c r="F22" s="4" t="n"/>
    </row>
    <row r="23" ht="42" customHeight="1">
      <c r="A23" s="139" t="n"/>
      <c r="B23" s="4" t="n"/>
      <c r="C23" s="140" t="str">
        <f>IF($HF$4="","مفيش ميعاد للمجموعة دي في صفحة المواعيد",$HF$4)</f>
        <v>مفيش ميعاد للمجموعة دي في صفحة المواعيد</v>
      </c>
      <c r="D23" s="13" t="n"/>
      <c r="E23" s="13" t="n"/>
      <c r="F23" s="4" t="n"/>
    </row>
    <row r="24" ht="15" customHeight="1">
      <c r="A24" s="138" t="inlineStr">
        <is>
          <t>ميعاد مختلف؟ (اختياري)</t>
        </is>
      </c>
      <c r="B24" s="4" t="n"/>
      <c r="C24" s="141" t="inlineStr">
        <is>
          <t>لو الحصة اتأجلت أو في حصة إضافية، اكتبي ميعادها في الخانة البيضا</t>
        </is>
      </c>
      <c r="D24" s="42" t="n"/>
      <c r="E24" s="42" t="n"/>
      <c r="F24" s="43" t="n"/>
    </row>
    <row r="25" ht="22.5" customHeight="1">
      <c r="A25" s="139" t="n"/>
      <c r="B25" s="4" t="n"/>
      <c r="C25" s="71" t="n"/>
      <c r="D25" s="73" t="n"/>
      <c r="E25" s="73" t="n"/>
      <c r="F25" s="72" t="n"/>
    </row>
    <row r="26" ht="10.5" customHeight="1"/>
    <row r="27" ht="21" customHeight="1">
      <c r="A27" s="76" t="inlineStr">
        <is>
          <t>الدرجات · نوع الامتحان</t>
        </is>
      </c>
      <c r="B27" s="4" t="n"/>
      <c r="C27" s="142" t="inlineStr">
        <is>
          <t>النسبة والترتيب على:</t>
        </is>
      </c>
      <c r="D27" s="13" t="n"/>
      <c r="E27" s="4" t="n"/>
      <c r="F27" s="15" t="inlineStr">
        <is>
          <t>الكل</t>
        </is>
      </c>
      <c r="G27" s="143" t="n"/>
      <c r="H27" s="4" t="n"/>
      <c r="I27" s="143" t="n"/>
      <c r="J27" s="4" t="n"/>
      <c r="K27" s="143" t="n"/>
      <c r="L27" s="4" t="n"/>
      <c r="M27" s="143" t="n"/>
      <c r="N27" s="4" t="n"/>
      <c r="O27" s="143" t="n"/>
      <c r="P27" s="4" t="n"/>
      <c r="Q27" s="143" t="n"/>
      <c r="R27" s="4" t="n"/>
      <c r="S27" s="143" t="n"/>
      <c r="T27" s="4" t="n"/>
      <c r="U27" s="143" t="n"/>
      <c r="V27" s="4" t="n"/>
      <c r="W27" s="144" t="inlineStr">
        <is>
          <t>ملاحظات
(سبب الغياب)</t>
        </is>
      </c>
      <c r="X27" s="143" t="n"/>
      <c r="Y27" s="4" t="n"/>
      <c r="Z27" s="143" t="n"/>
      <c r="AA27" s="4" t="n"/>
      <c r="AB27" s="143" t="n"/>
      <c r="AC27" s="4" t="n"/>
      <c r="AD27" s="143" t="n"/>
      <c r="AE27" s="4" t="n"/>
      <c r="AF27" s="143" t="n"/>
      <c r="AG27" s="4" t="n"/>
      <c r="AH27" s="143" t="n"/>
      <c r="AI27" s="4" t="n"/>
      <c r="AJ27" s="143" t="n"/>
      <c r="AK27" s="4" t="n"/>
      <c r="AL27" s="143" t="n"/>
      <c r="AM27" s="4" t="n"/>
      <c r="AN27" s="145" t="inlineStr">
        <is>
          <t>ملاحظات
(سبب الغياب)</t>
        </is>
      </c>
      <c r="AO27" s="143" t="n"/>
      <c r="AP27" s="4" t="n"/>
      <c r="AQ27" s="143" t="n"/>
      <c r="AR27" s="4" t="n"/>
      <c r="AS27" s="143" t="n"/>
      <c r="AT27" s="4" t="n"/>
      <c r="AU27" s="143" t="n"/>
      <c r="AV27" s="4" t="n"/>
      <c r="AW27" s="143" t="n"/>
      <c r="AX27" s="4" t="n"/>
      <c r="AY27" s="143" t="n"/>
      <c r="AZ27" s="4" t="n"/>
      <c r="BA27" s="143" t="n"/>
      <c r="BB27" s="4" t="n"/>
      <c r="BC27" s="143" t="n"/>
      <c r="BD27" s="4" t="n"/>
      <c r="BE27" s="146" t="inlineStr">
        <is>
          <t>ملاحظات
(سبب الغياب)</t>
        </is>
      </c>
      <c r="BF27" s="143" t="n"/>
      <c r="BG27" s="4" t="n"/>
      <c r="BH27" s="143" t="n"/>
      <c r="BI27" s="4" t="n"/>
      <c r="BJ27" s="143" t="n"/>
      <c r="BK27" s="4" t="n"/>
      <c r="BL27" s="143" t="n"/>
      <c r="BM27" s="4" t="n"/>
      <c r="BN27" s="143" t="n"/>
      <c r="BO27" s="4" t="n"/>
      <c r="BP27" s="143" t="n"/>
      <c r="BQ27" s="4" t="n"/>
      <c r="BR27" s="143" t="n"/>
      <c r="BS27" s="4" t="n"/>
      <c r="BT27" s="143" t="n"/>
      <c r="BU27" s="4" t="n"/>
      <c r="BV27" s="147" t="inlineStr">
        <is>
          <t>ملاحظات
(سبب الغياب)</t>
        </is>
      </c>
      <c r="BW27" s="143" t="n"/>
      <c r="BX27" s="4" t="n"/>
      <c r="BY27" s="143" t="n"/>
      <c r="BZ27" s="4" t="n"/>
      <c r="CA27" s="143" t="n"/>
      <c r="CB27" s="4" t="n"/>
      <c r="CC27" s="143" t="n"/>
      <c r="CD27" s="4" t="n"/>
      <c r="CE27" s="143" t="n"/>
      <c r="CF27" s="4" t="n"/>
      <c r="CG27" s="143" t="n"/>
      <c r="CH27" s="4" t="n"/>
      <c r="CI27" s="143" t="n"/>
      <c r="CJ27" s="4" t="n"/>
      <c r="CK27" s="143" t="n"/>
      <c r="CL27" s="4" t="n"/>
      <c r="CM27" s="148" t="inlineStr">
        <is>
          <t>ملاحظات
(سبب الغياب)</t>
        </is>
      </c>
      <c r="CN27" s="143" t="n"/>
      <c r="CO27" s="4" t="n"/>
      <c r="CP27" s="143" t="n"/>
      <c r="CQ27" s="4" t="n"/>
      <c r="CR27" s="143" t="n"/>
      <c r="CS27" s="4" t="n"/>
      <c r="CT27" s="143" t="n"/>
      <c r="CU27" s="4" t="n"/>
      <c r="CV27" s="143" t="n"/>
      <c r="CW27" s="4" t="n"/>
      <c r="CX27" s="143" t="n"/>
      <c r="CY27" s="4" t="n"/>
      <c r="CZ27" s="143" t="n"/>
      <c r="DA27" s="4" t="n"/>
      <c r="DB27" s="143" t="n"/>
      <c r="DC27" s="4" t="n"/>
      <c r="DD27" s="149" t="inlineStr">
        <is>
          <t>ملاحظات
(سبب الغياب)</t>
        </is>
      </c>
      <c r="DE27" s="143" t="n"/>
      <c r="DF27" s="4" t="n"/>
      <c r="DG27" s="143" t="n"/>
      <c r="DH27" s="4" t="n"/>
      <c r="DI27" s="143" t="n"/>
      <c r="DJ27" s="4" t="n"/>
      <c r="DK27" s="143" t="n"/>
      <c r="DL27" s="4" t="n"/>
      <c r="DM27" s="143" t="n"/>
      <c r="DN27" s="4" t="n"/>
      <c r="DO27" s="143" t="n"/>
      <c r="DP27" s="4" t="n"/>
      <c r="DQ27" s="143" t="n"/>
      <c r="DR27" s="4" t="n"/>
      <c r="DS27" s="143" t="n"/>
      <c r="DT27" s="4" t="n"/>
      <c r="DU27" s="150" t="inlineStr">
        <is>
          <t>ملاحظات
(سبب الغياب)</t>
        </is>
      </c>
      <c r="DV27" s="143" t="n"/>
      <c r="DW27" s="4" t="n"/>
      <c r="DX27" s="143" t="n"/>
      <c r="DY27" s="4" t="n"/>
      <c r="DZ27" s="143" t="n"/>
      <c r="EA27" s="4" t="n"/>
      <c r="EB27" s="143" t="n"/>
      <c r="EC27" s="4" t="n"/>
      <c r="ED27" s="143" t="n"/>
      <c r="EE27" s="4" t="n"/>
      <c r="EF27" s="143" t="n"/>
      <c r="EG27" s="4" t="n"/>
      <c r="EH27" s="143" t="n"/>
      <c r="EI27" s="4" t="n"/>
      <c r="EJ27" s="143" t="n"/>
      <c r="EK27" s="4" t="n"/>
      <c r="EL27" s="151" t="inlineStr">
        <is>
          <t>ملاحظات
(سبب الغياب)</t>
        </is>
      </c>
      <c r="EM27" s="143" t="n"/>
      <c r="EN27" s="4" t="n"/>
      <c r="EO27" s="143" t="n"/>
      <c r="EP27" s="4" t="n"/>
      <c r="EQ27" s="143" t="n"/>
      <c r="ER27" s="4" t="n"/>
      <c r="ES27" s="143" t="n"/>
      <c r="ET27" s="4" t="n"/>
      <c r="EU27" s="143" t="n"/>
      <c r="EV27" s="4" t="n"/>
      <c r="EW27" s="143" t="n"/>
      <c r="EX27" s="4" t="n"/>
      <c r="EY27" s="143" t="n"/>
      <c r="EZ27" s="4" t="n"/>
      <c r="FA27" s="143" t="n"/>
      <c r="FB27" s="4" t="n"/>
      <c r="FC27" s="152" t="inlineStr">
        <is>
          <t>ملاحظات
(سبب الغياب)</t>
        </is>
      </c>
      <c r="FD27" s="143" t="n"/>
      <c r="FE27" s="4" t="n"/>
      <c r="FF27" s="143" t="n"/>
      <c r="FG27" s="4" t="n"/>
      <c r="FH27" s="143" t="n"/>
      <c r="FI27" s="4" t="n"/>
      <c r="FJ27" s="143" t="n"/>
      <c r="FK27" s="4" t="n"/>
      <c r="FL27" s="143" t="n"/>
      <c r="FM27" s="4" t="n"/>
      <c r="FN27" s="143" t="n"/>
      <c r="FO27" s="4" t="n"/>
      <c r="FP27" s="143" t="n"/>
      <c r="FQ27" s="4" t="n"/>
      <c r="FR27" s="143" t="n"/>
      <c r="FS27" s="4" t="n"/>
      <c r="FT27" s="153" t="inlineStr">
        <is>
          <t>ملاحظات
(سبب الغياب)</t>
        </is>
      </c>
      <c r="FU27" s="143" t="n"/>
      <c r="FV27" s="4" t="n"/>
      <c r="FW27" s="143" t="n"/>
      <c r="FX27" s="4" t="n"/>
      <c r="FY27" s="143" t="n"/>
      <c r="FZ27" s="4" t="n"/>
      <c r="GA27" s="143" t="n"/>
      <c r="GB27" s="4" t="n"/>
      <c r="GC27" s="143" t="n"/>
      <c r="GD27" s="4" t="n"/>
      <c r="GE27" s="143" t="n"/>
      <c r="GF27" s="4" t="n"/>
      <c r="GG27" s="143" t="n"/>
      <c r="GH27" s="4" t="n"/>
      <c r="GI27" s="143" t="n"/>
      <c r="GJ27" s="4" t="n"/>
      <c r="GK27" s="154" t="inlineStr">
        <is>
          <t>ملاحظات
(سبب الغياب)</t>
        </is>
      </c>
      <c r="GL27" s="143" t="n"/>
      <c r="GM27" s="4" t="n"/>
      <c r="GN27" s="143" t="n"/>
      <c r="GO27" s="4" t="n"/>
      <c r="GP27" s="143" t="n"/>
      <c r="GQ27" s="4" t="n"/>
      <c r="GR27" s="143" t="n"/>
      <c r="GS27" s="4" t="n"/>
      <c r="GT27" s="143" t="n"/>
      <c r="GU27" s="4" t="n"/>
      <c r="GV27" s="143" t="n"/>
      <c r="GW27" s="4" t="n"/>
      <c r="GX27" s="143" t="n"/>
      <c r="GY27" s="4" t="n"/>
      <c r="GZ27" s="143" t="n"/>
      <c r="HA27" s="4" t="n"/>
      <c r="HB27" s="155" t="inlineStr">
        <is>
          <t>ملاحظات
(سبب الغياب)</t>
        </is>
      </c>
    </row>
    <row r="28" ht="21" customHeight="1">
      <c r="A28" s="142" t="inlineStr">
        <is>
          <t>الدرجة النهائية (من كام)</t>
        </is>
      </c>
      <c r="B28" s="4" t="n"/>
      <c r="C28" s="156" t="inlineStr">
        <is>
          <t>الدرجة ما بتتحسبش من غير نهائية</t>
        </is>
      </c>
      <c r="D28" s="13" t="n"/>
      <c r="E28" s="13" t="n"/>
      <c r="F28" s="4" t="n"/>
      <c r="G28" s="15" t="n"/>
      <c r="H28" s="15" t="n"/>
      <c r="I28" s="15" t="n"/>
      <c r="J28" s="15" t="n"/>
      <c r="K28" s="15" t="n"/>
      <c r="L28" s="15" t="n"/>
      <c r="M28" s="15" t="n"/>
      <c r="N28" s="15" t="n"/>
      <c r="O28" s="15" t="n"/>
      <c r="P28" s="15" t="n"/>
      <c r="Q28" s="15" t="n"/>
      <c r="R28" s="15" t="n"/>
      <c r="S28" s="15" t="n"/>
      <c r="T28" s="15" t="n"/>
      <c r="U28" s="15" t="n"/>
      <c r="V28" s="15" t="n"/>
      <c r="W28" s="75" t="n"/>
      <c r="X28" s="15" t="n"/>
      <c r="Y28" s="15" t="n"/>
      <c r="Z28" s="15" t="n"/>
      <c r="AA28" s="15" t="n"/>
      <c r="AB28" s="15" t="n"/>
      <c r="AC28" s="15" t="n"/>
      <c r="AD28" s="15" t="n"/>
      <c r="AE28" s="15" t="n"/>
      <c r="AF28" s="15" t="n"/>
      <c r="AG28" s="15" t="n"/>
      <c r="AH28" s="15" t="n"/>
      <c r="AI28" s="15" t="n"/>
      <c r="AJ28" s="15" t="n"/>
      <c r="AK28" s="15" t="n"/>
      <c r="AL28" s="15" t="n"/>
      <c r="AM28" s="15" t="n"/>
      <c r="AN28" s="75" t="n"/>
      <c r="AO28" s="15" t="n"/>
      <c r="AP28" s="15" t="n"/>
      <c r="AQ28" s="15" t="n"/>
      <c r="AR28" s="15" t="n"/>
      <c r="AS28" s="15" t="n"/>
      <c r="AT28" s="15" t="n"/>
      <c r="AU28" s="15" t="n"/>
      <c r="AV28" s="15" t="n"/>
      <c r="AW28" s="15" t="n"/>
      <c r="AX28" s="15" t="n"/>
      <c r="AY28" s="15" t="n"/>
      <c r="AZ28" s="15" t="n"/>
      <c r="BA28" s="15" t="n"/>
      <c r="BB28" s="15" t="n"/>
      <c r="BC28" s="15" t="n"/>
      <c r="BD28" s="15" t="n"/>
      <c r="BE28" s="75" t="n"/>
      <c r="BF28" s="15" t="n"/>
      <c r="BG28" s="15" t="n"/>
      <c r="BH28" s="15" t="n"/>
      <c r="BI28" s="15" t="n"/>
      <c r="BJ28" s="15" t="n"/>
      <c r="BK28" s="15" t="n"/>
      <c r="BL28" s="15" t="n"/>
      <c r="BM28" s="15" t="n"/>
      <c r="BN28" s="15" t="n"/>
      <c r="BO28" s="15" t="n"/>
      <c r="BP28" s="15" t="n"/>
      <c r="BQ28" s="15" t="n"/>
      <c r="BR28" s="15" t="n"/>
      <c r="BS28" s="15" t="n"/>
      <c r="BT28" s="15" t="n"/>
      <c r="BU28" s="15" t="n"/>
      <c r="BV28" s="75" t="n"/>
      <c r="BW28" s="15" t="n"/>
      <c r="BX28" s="15" t="n"/>
      <c r="BY28" s="15" t="n"/>
      <c r="BZ28" s="15" t="n"/>
      <c r="CA28" s="15" t="n"/>
      <c r="CB28" s="15" t="n"/>
      <c r="CC28" s="15" t="n"/>
      <c r="CD28" s="15" t="n"/>
      <c r="CE28" s="15" t="n"/>
      <c r="CF28" s="15" t="n"/>
      <c r="CG28" s="15" t="n"/>
      <c r="CH28" s="15" t="n"/>
      <c r="CI28" s="15" t="n"/>
      <c r="CJ28" s="15" t="n"/>
      <c r="CK28" s="15" t="n"/>
      <c r="CL28" s="15" t="n"/>
      <c r="CM28" s="75" t="n"/>
      <c r="CN28" s="15" t="n"/>
      <c r="CO28" s="15" t="n"/>
      <c r="CP28" s="15" t="n"/>
      <c r="CQ28" s="15" t="n"/>
      <c r="CR28" s="15" t="n"/>
      <c r="CS28" s="15" t="n"/>
      <c r="CT28" s="15" t="n"/>
      <c r="CU28" s="15" t="n"/>
      <c r="CV28" s="15" t="n"/>
      <c r="CW28" s="15" t="n"/>
      <c r="CX28" s="15" t="n"/>
      <c r="CY28" s="15" t="n"/>
      <c r="CZ28" s="15" t="n"/>
      <c r="DA28" s="15" t="n"/>
      <c r="DB28" s="15" t="n"/>
      <c r="DC28" s="15" t="n"/>
      <c r="DD28" s="75" t="n"/>
      <c r="DE28" s="15" t="n"/>
      <c r="DF28" s="15" t="n"/>
      <c r="DG28" s="15" t="n"/>
      <c r="DH28" s="15" t="n"/>
      <c r="DI28" s="15" t="n"/>
      <c r="DJ28" s="15" t="n"/>
      <c r="DK28" s="15" t="n"/>
      <c r="DL28" s="15" t="n"/>
      <c r="DM28" s="15" t="n"/>
      <c r="DN28" s="15" t="n"/>
      <c r="DO28" s="15" t="n"/>
      <c r="DP28" s="15" t="n"/>
      <c r="DQ28" s="15" t="n"/>
      <c r="DR28" s="15" t="n"/>
      <c r="DS28" s="15" t="n"/>
      <c r="DT28" s="15" t="n"/>
      <c r="DU28" s="75" t="n"/>
      <c r="DV28" s="15" t="n"/>
      <c r="DW28" s="15" t="n"/>
      <c r="DX28" s="15" t="n"/>
      <c r="DY28" s="15" t="n"/>
      <c r="DZ28" s="15" t="n"/>
      <c r="EA28" s="15" t="n"/>
      <c r="EB28" s="15" t="n"/>
      <c r="EC28" s="15" t="n"/>
      <c r="ED28" s="15" t="n"/>
      <c r="EE28" s="15" t="n"/>
      <c r="EF28" s="15" t="n"/>
      <c r="EG28" s="15" t="n"/>
      <c r="EH28" s="15" t="n"/>
      <c r="EI28" s="15" t="n"/>
      <c r="EJ28" s="15" t="n"/>
      <c r="EK28" s="15" t="n"/>
      <c r="EL28" s="75" t="n"/>
      <c r="EM28" s="15" t="n"/>
      <c r="EN28" s="15" t="n"/>
      <c r="EO28" s="15" t="n"/>
      <c r="EP28" s="15" t="n"/>
      <c r="EQ28" s="15" t="n"/>
      <c r="ER28" s="15" t="n"/>
      <c r="ES28" s="15" t="n"/>
      <c r="ET28" s="15" t="n"/>
      <c r="EU28" s="15" t="n"/>
      <c r="EV28" s="15" t="n"/>
      <c r="EW28" s="15" t="n"/>
      <c r="EX28" s="15" t="n"/>
      <c r="EY28" s="15" t="n"/>
      <c r="EZ28" s="15" t="n"/>
      <c r="FA28" s="15" t="n"/>
      <c r="FB28" s="15" t="n"/>
      <c r="FC28" s="75" t="n"/>
      <c r="FD28" s="15" t="n"/>
      <c r="FE28" s="15" t="n"/>
      <c r="FF28" s="15" t="n"/>
      <c r="FG28" s="15" t="n"/>
      <c r="FH28" s="15" t="n"/>
      <c r="FI28" s="15" t="n"/>
      <c r="FJ28" s="15" t="n"/>
      <c r="FK28" s="15" t="n"/>
      <c r="FL28" s="15" t="n"/>
      <c r="FM28" s="15" t="n"/>
      <c r="FN28" s="15" t="n"/>
      <c r="FO28" s="15" t="n"/>
      <c r="FP28" s="15" t="n"/>
      <c r="FQ28" s="15" t="n"/>
      <c r="FR28" s="15" t="n"/>
      <c r="FS28" s="15" t="n"/>
      <c r="FT28" s="75" t="n"/>
      <c r="FU28" s="15" t="n"/>
      <c r="FV28" s="15" t="n"/>
      <c r="FW28" s="15" t="n"/>
      <c r="FX28" s="15" t="n"/>
      <c r="FY28" s="15" t="n"/>
      <c r="FZ28" s="15" t="n"/>
      <c r="GA28" s="15" t="n"/>
      <c r="GB28" s="15" t="n"/>
      <c r="GC28" s="15" t="n"/>
      <c r="GD28" s="15" t="n"/>
      <c r="GE28" s="15" t="n"/>
      <c r="GF28" s="15" t="n"/>
      <c r="GG28" s="15" t="n"/>
      <c r="GH28" s="15" t="n"/>
      <c r="GI28" s="15" t="n"/>
      <c r="GJ28" s="15" t="n"/>
      <c r="GK28" s="75" t="n"/>
      <c r="GL28" s="15" t="n"/>
      <c r="GM28" s="15" t="n"/>
      <c r="GN28" s="15" t="n"/>
      <c r="GO28" s="15" t="n"/>
      <c r="GP28" s="15" t="n"/>
      <c r="GQ28" s="15" t="n"/>
      <c r="GR28" s="15" t="n"/>
      <c r="GS28" s="15" t="n"/>
      <c r="GT28" s="15" t="n"/>
      <c r="GU28" s="15" t="n"/>
      <c r="GV28" s="15" t="n"/>
      <c r="GW28" s="15" t="n"/>
      <c r="GX28" s="15" t="n"/>
      <c r="GY28" s="15" t="n"/>
      <c r="GZ28" s="15" t="n"/>
      <c r="HA28" s="15" t="n"/>
      <c r="HB28" s="75" t="n"/>
    </row>
    <row r="29" ht="16.5" customHeight="1">
      <c r="A29" s="76" t="inlineStr">
        <is>
          <t>م</t>
        </is>
      </c>
      <c r="B29" s="76" t="inlineStr">
        <is>
          <t>الاسم</t>
        </is>
      </c>
      <c r="C29" s="76" t="inlineStr">
        <is>
          <t>المجموع</t>
        </is>
      </c>
      <c r="D29" s="76" t="inlineStr">
        <is>
          <t>%</t>
        </is>
      </c>
      <c r="E29" s="76" t="inlineStr">
        <is>
          <t>الترتيب</t>
        </is>
      </c>
      <c r="F29" s="76" t="inlineStr">
        <is>
          <t>التقدير</t>
        </is>
      </c>
      <c r="G29" s="157" t="inlineStr">
        <is>
          <t>كويز</t>
        </is>
      </c>
      <c r="H29" s="158" t="inlineStr">
        <is>
          <t>امتحان</t>
        </is>
      </c>
      <c r="I29" s="157" t="inlineStr">
        <is>
          <t>كويز</t>
        </is>
      </c>
      <c r="J29" s="158" t="inlineStr">
        <is>
          <t>امتحان</t>
        </is>
      </c>
      <c r="K29" s="157" t="inlineStr">
        <is>
          <t>كويز</t>
        </is>
      </c>
      <c r="L29" s="158" t="inlineStr">
        <is>
          <t>امتحان</t>
        </is>
      </c>
      <c r="M29" s="157" t="inlineStr">
        <is>
          <t>كويز</t>
        </is>
      </c>
      <c r="N29" s="158" t="inlineStr">
        <is>
          <t>امتحان</t>
        </is>
      </c>
      <c r="O29" s="157" t="inlineStr">
        <is>
          <t>كويز</t>
        </is>
      </c>
      <c r="P29" s="158" t="inlineStr">
        <is>
          <t>امتحان</t>
        </is>
      </c>
      <c r="Q29" s="157" t="inlineStr">
        <is>
          <t>كويز</t>
        </is>
      </c>
      <c r="R29" s="158" t="inlineStr">
        <is>
          <t>امتحان</t>
        </is>
      </c>
      <c r="S29" s="157" t="inlineStr">
        <is>
          <t>كويز</t>
        </is>
      </c>
      <c r="T29" s="158" t="inlineStr">
        <is>
          <t>امتحان</t>
        </is>
      </c>
      <c r="U29" s="157" t="inlineStr">
        <is>
          <t>كويز</t>
        </is>
      </c>
      <c r="V29" s="158" t="inlineStr">
        <is>
          <t>امتحان</t>
        </is>
      </c>
      <c r="W29" s="59" t="inlineStr">
        <is>
          <t>ملاحظات</t>
        </is>
      </c>
      <c r="X29" s="159" t="inlineStr">
        <is>
          <t>كويز</t>
        </is>
      </c>
      <c r="Y29" s="160" t="inlineStr">
        <is>
          <t>امتحان</t>
        </is>
      </c>
      <c r="Z29" s="159" t="inlineStr">
        <is>
          <t>كويز</t>
        </is>
      </c>
      <c r="AA29" s="160" t="inlineStr">
        <is>
          <t>امتحان</t>
        </is>
      </c>
      <c r="AB29" s="159" t="inlineStr">
        <is>
          <t>كويز</t>
        </is>
      </c>
      <c r="AC29" s="160" t="inlineStr">
        <is>
          <t>امتحان</t>
        </is>
      </c>
      <c r="AD29" s="159" t="inlineStr">
        <is>
          <t>كويز</t>
        </is>
      </c>
      <c r="AE29" s="160" t="inlineStr">
        <is>
          <t>امتحان</t>
        </is>
      </c>
      <c r="AF29" s="159" t="inlineStr">
        <is>
          <t>كويز</t>
        </is>
      </c>
      <c r="AG29" s="160" t="inlineStr">
        <is>
          <t>امتحان</t>
        </is>
      </c>
      <c r="AH29" s="159" t="inlineStr">
        <is>
          <t>كويز</t>
        </is>
      </c>
      <c r="AI29" s="160" t="inlineStr">
        <is>
          <t>امتحان</t>
        </is>
      </c>
      <c r="AJ29" s="159" t="inlineStr">
        <is>
          <t>كويز</t>
        </is>
      </c>
      <c r="AK29" s="160" t="inlineStr">
        <is>
          <t>امتحان</t>
        </is>
      </c>
      <c r="AL29" s="159" t="inlineStr">
        <is>
          <t>كويز</t>
        </is>
      </c>
      <c r="AM29" s="160" t="inlineStr">
        <is>
          <t>امتحان</t>
        </is>
      </c>
      <c r="AN29" s="60" t="inlineStr">
        <is>
          <t>ملاحظات</t>
        </is>
      </c>
      <c r="AO29" s="161" t="inlineStr">
        <is>
          <t>كويز</t>
        </is>
      </c>
      <c r="AP29" s="162" t="inlineStr">
        <is>
          <t>امتحان</t>
        </is>
      </c>
      <c r="AQ29" s="161" t="inlineStr">
        <is>
          <t>كويز</t>
        </is>
      </c>
      <c r="AR29" s="162" t="inlineStr">
        <is>
          <t>امتحان</t>
        </is>
      </c>
      <c r="AS29" s="161" t="inlineStr">
        <is>
          <t>كويز</t>
        </is>
      </c>
      <c r="AT29" s="162" t="inlineStr">
        <is>
          <t>امتحان</t>
        </is>
      </c>
      <c r="AU29" s="161" t="inlineStr">
        <is>
          <t>كويز</t>
        </is>
      </c>
      <c r="AV29" s="162" t="inlineStr">
        <is>
          <t>امتحان</t>
        </is>
      </c>
      <c r="AW29" s="161" t="inlineStr">
        <is>
          <t>كويز</t>
        </is>
      </c>
      <c r="AX29" s="162" t="inlineStr">
        <is>
          <t>امتحان</t>
        </is>
      </c>
      <c r="AY29" s="161" t="inlineStr">
        <is>
          <t>كويز</t>
        </is>
      </c>
      <c r="AZ29" s="162" t="inlineStr">
        <is>
          <t>امتحان</t>
        </is>
      </c>
      <c r="BA29" s="161" t="inlineStr">
        <is>
          <t>كويز</t>
        </is>
      </c>
      <c r="BB29" s="162" t="inlineStr">
        <is>
          <t>امتحان</t>
        </is>
      </c>
      <c r="BC29" s="161" t="inlineStr">
        <is>
          <t>كويز</t>
        </is>
      </c>
      <c r="BD29" s="162" t="inlineStr">
        <is>
          <t>امتحان</t>
        </is>
      </c>
      <c r="BE29" s="61" t="inlineStr">
        <is>
          <t>ملاحظات</t>
        </is>
      </c>
      <c r="BF29" s="163" t="inlineStr">
        <is>
          <t>كويز</t>
        </is>
      </c>
      <c r="BG29" s="164" t="inlineStr">
        <is>
          <t>امتحان</t>
        </is>
      </c>
      <c r="BH29" s="163" t="inlineStr">
        <is>
          <t>كويز</t>
        </is>
      </c>
      <c r="BI29" s="164" t="inlineStr">
        <is>
          <t>امتحان</t>
        </is>
      </c>
      <c r="BJ29" s="163" t="inlineStr">
        <is>
          <t>كويز</t>
        </is>
      </c>
      <c r="BK29" s="164" t="inlineStr">
        <is>
          <t>امتحان</t>
        </is>
      </c>
      <c r="BL29" s="163" t="inlineStr">
        <is>
          <t>كويز</t>
        </is>
      </c>
      <c r="BM29" s="164" t="inlineStr">
        <is>
          <t>امتحان</t>
        </is>
      </c>
      <c r="BN29" s="163" t="inlineStr">
        <is>
          <t>كويز</t>
        </is>
      </c>
      <c r="BO29" s="164" t="inlineStr">
        <is>
          <t>امتحان</t>
        </is>
      </c>
      <c r="BP29" s="163" t="inlineStr">
        <is>
          <t>كويز</t>
        </is>
      </c>
      <c r="BQ29" s="164" t="inlineStr">
        <is>
          <t>امتحان</t>
        </is>
      </c>
      <c r="BR29" s="163" t="inlineStr">
        <is>
          <t>كويز</t>
        </is>
      </c>
      <c r="BS29" s="164" t="inlineStr">
        <is>
          <t>امتحان</t>
        </is>
      </c>
      <c r="BT29" s="163" t="inlineStr">
        <is>
          <t>كويز</t>
        </is>
      </c>
      <c r="BU29" s="164" t="inlineStr">
        <is>
          <t>امتحان</t>
        </is>
      </c>
      <c r="BV29" s="62" t="inlineStr">
        <is>
          <t>ملاحظات</t>
        </is>
      </c>
      <c r="BW29" s="165" t="inlineStr">
        <is>
          <t>كويز</t>
        </is>
      </c>
      <c r="BX29" s="166" t="inlineStr">
        <is>
          <t>امتحان</t>
        </is>
      </c>
      <c r="BY29" s="165" t="inlineStr">
        <is>
          <t>كويز</t>
        </is>
      </c>
      <c r="BZ29" s="166" t="inlineStr">
        <is>
          <t>امتحان</t>
        </is>
      </c>
      <c r="CA29" s="165" t="inlineStr">
        <is>
          <t>كويز</t>
        </is>
      </c>
      <c r="CB29" s="166" t="inlineStr">
        <is>
          <t>امتحان</t>
        </is>
      </c>
      <c r="CC29" s="165" t="inlineStr">
        <is>
          <t>كويز</t>
        </is>
      </c>
      <c r="CD29" s="166" t="inlineStr">
        <is>
          <t>امتحان</t>
        </is>
      </c>
      <c r="CE29" s="165" t="inlineStr">
        <is>
          <t>كويز</t>
        </is>
      </c>
      <c r="CF29" s="166" t="inlineStr">
        <is>
          <t>امتحان</t>
        </is>
      </c>
      <c r="CG29" s="165" t="inlineStr">
        <is>
          <t>كويز</t>
        </is>
      </c>
      <c r="CH29" s="166" t="inlineStr">
        <is>
          <t>امتحان</t>
        </is>
      </c>
      <c r="CI29" s="165" t="inlineStr">
        <is>
          <t>كويز</t>
        </is>
      </c>
      <c r="CJ29" s="166" t="inlineStr">
        <is>
          <t>امتحان</t>
        </is>
      </c>
      <c r="CK29" s="165" t="inlineStr">
        <is>
          <t>كويز</t>
        </is>
      </c>
      <c r="CL29" s="166" t="inlineStr">
        <is>
          <t>امتحان</t>
        </is>
      </c>
      <c r="CM29" s="63" t="inlineStr">
        <is>
          <t>ملاحظات</t>
        </is>
      </c>
      <c r="CN29" s="167" t="inlineStr">
        <is>
          <t>كويز</t>
        </is>
      </c>
      <c r="CO29" s="168" t="inlineStr">
        <is>
          <t>امتحان</t>
        </is>
      </c>
      <c r="CP29" s="167" t="inlineStr">
        <is>
          <t>كويز</t>
        </is>
      </c>
      <c r="CQ29" s="168" t="inlineStr">
        <is>
          <t>امتحان</t>
        </is>
      </c>
      <c r="CR29" s="167" t="inlineStr">
        <is>
          <t>كويز</t>
        </is>
      </c>
      <c r="CS29" s="168" t="inlineStr">
        <is>
          <t>امتحان</t>
        </is>
      </c>
      <c r="CT29" s="167" t="inlineStr">
        <is>
          <t>كويز</t>
        </is>
      </c>
      <c r="CU29" s="168" t="inlineStr">
        <is>
          <t>امتحان</t>
        </is>
      </c>
      <c r="CV29" s="167" t="inlineStr">
        <is>
          <t>كويز</t>
        </is>
      </c>
      <c r="CW29" s="168" t="inlineStr">
        <is>
          <t>امتحان</t>
        </is>
      </c>
      <c r="CX29" s="167" t="inlineStr">
        <is>
          <t>كويز</t>
        </is>
      </c>
      <c r="CY29" s="168" t="inlineStr">
        <is>
          <t>امتحان</t>
        </is>
      </c>
      <c r="CZ29" s="167" t="inlineStr">
        <is>
          <t>كويز</t>
        </is>
      </c>
      <c r="DA29" s="168" t="inlineStr">
        <is>
          <t>امتحان</t>
        </is>
      </c>
      <c r="DB29" s="167" t="inlineStr">
        <is>
          <t>كويز</t>
        </is>
      </c>
      <c r="DC29" s="168" t="inlineStr">
        <is>
          <t>امتحان</t>
        </is>
      </c>
      <c r="DD29" s="64" t="inlineStr">
        <is>
          <t>ملاحظات</t>
        </is>
      </c>
      <c r="DE29" s="169" t="inlineStr">
        <is>
          <t>كويز</t>
        </is>
      </c>
      <c r="DF29" s="170" t="inlineStr">
        <is>
          <t>امتحان</t>
        </is>
      </c>
      <c r="DG29" s="169" t="inlineStr">
        <is>
          <t>كويز</t>
        </is>
      </c>
      <c r="DH29" s="170" t="inlineStr">
        <is>
          <t>امتحان</t>
        </is>
      </c>
      <c r="DI29" s="169" t="inlineStr">
        <is>
          <t>كويز</t>
        </is>
      </c>
      <c r="DJ29" s="170" t="inlineStr">
        <is>
          <t>امتحان</t>
        </is>
      </c>
      <c r="DK29" s="169" t="inlineStr">
        <is>
          <t>كويز</t>
        </is>
      </c>
      <c r="DL29" s="170" t="inlineStr">
        <is>
          <t>امتحان</t>
        </is>
      </c>
      <c r="DM29" s="169" t="inlineStr">
        <is>
          <t>كويز</t>
        </is>
      </c>
      <c r="DN29" s="170" t="inlineStr">
        <is>
          <t>امتحان</t>
        </is>
      </c>
      <c r="DO29" s="169" t="inlineStr">
        <is>
          <t>كويز</t>
        </is>
      </c>
      <c r="DP29" s="170" t="inlineStr">
        <is>
          <t>امتحان</t>
        </is>
      </c>
      <c r="DQ29" s="169" t="inlineStr">
        <is>
          <t>كويز</t>
        </is>
      </c>
      <c r="DR29" s="170" t="inlineStr">
        <is>
          <t>امتحان</t>
        </is>
      </c>
      <c r="DS29" s="169" t="inlineStr">
        <is>
          <t>كويز</t>
        </is>
      </c>
      <c r="DT29" s="170" t="inlineStr">
        <is>
          <t>امتحان</t>
        </is>
      </c>
      <c r="DU29" s="65" t="inlineStr">
        <is>
          <t>ملاحظات</t>
        </is>
      </c>
      <c r="DV29" s="171" t="inlineStr">
        <is>
          <t>كويز</t>
        </is>
      </c>
      <c r="DW29" s="172" t="inlineStr">
        <is>
          <t>امتحان</t>
        </is>
      </c>
      <c r="DX29" s="171" t="inlineStr">
        <is>
          <t>كويز</t>
        </is>
      </c>
      <c r="DY29" s="172" t="inlineStr">
        <is>
          <t>امتحان</t>
        </is>
      </c>
      <c r="DZ29" s="171" t="inlineStr">
        <is>
          <t>كويز</t>
        </is>
      </c>
      <c r="EA29" s="172" t="inlineStr">
        <is>
          <t>امتحان</t>
        </is>
      </c>
      <c r="EB29" s="171" t="inlineStr">
        <is>
          <t>كويز</t>
        </is>
      </c>
      <c r="EC29" s="172" t="inlineStr">
        <is>
          <t>امتحان</t>
        </is>
      </c>
      <c r="ED29" s="171" t="inlineStr">
        <is>
          <t>كويز</t>
        </is>
      </c>
      <c r="EE29" s="172" t="inlineStr">
        <is>
          <t>امتحان</t>
        </is>
      </c>
      <c r="EF29" s="171" t="inlineStr">
        <is>
          <t>كويز</t>
        </is>
      </c>
      <c r="EG29" s="172" t="inlineStr">
        <is>
          <t>امتحان</t>
        </is>
      </c>
      <c r="EH29" s="171" t="inlineStr">
        <is>
          <t>كويز</t>
        </is>
      </c>
      <c r="EI29" s="172" t="inlineStr">
        <is>
          <t>امتحان</t>
        </is>
      </c>
      <c r="EJ29" s="171" t="inlineStr">
        <is>
          <t>كويز</t>
        </is>
      </c>
      <c r="EK29" s="172" t="inlineStr">
        <is>
          <t>امتحان</t>
        </is>
      </c>
      <c r="EL29" s="66" t="inlineStr">
        <is>
          <t>ملاحظات</t>
        </is>
      </c>
      <c r="EM29" s="173" t="inlineStr">
        <is>
          <t>كويز</t>
        </is>
      </c>
      <c r="EN29" s="174" t="inlineStr">
        <is>
          <t>امتحان</t>
        </is>
      </c>
      <c r="EO29" s="173" t="inlineStr">
        <is>
          <t>كويز</t>
        </is>
      </c>
      <c r="EP29" s="174" t="inlineStr">
        <is>
          <t>امتحان</t>
        </is>
      </c>
      <c r="EQ29" s="173" t="inlineStr">
        <is>
          <t>كويز</t>
        </is>
      </c>
      <c r="ER29" s="174" t="inlineStr">
        <is>
          <t>امتحان</t>
        </is>
      </c>
      <c r="ES29" s="173" t="inlineStr">
        <is>
          <t>كويز</t>
        </is>
      </c>
      <c r="ET29" s="174" t="inlineStr">
        <is>
          <t>امتحان</t>
        </is>
      </c>
      <c r="EU29" s="173" t="inlineStr">
        <is>
          <t>كويز</t>
        </is>
      </c>
      <c r="EV29" s="174" t="inlineStr">
        <is>
          <t>امتحان</t>
        </is>
      </c>
      <c r="EW29" s="173" t="inlineStr">
        <is>
          <t>كويز</t>
        </is>
      </c>
      <c r="EX29" s="174" t="inlineStr">
        <is>
          <t>امتحان</t>
        </is>
      </c>
      <c r="EY29" s="173" t="inlineStr">
        <is>
          <t>كويز</t>
        </is>
      </c>
      <c r="EZ29" s="174" t="inlineStr">
        <is>
          <t>امتحان</t>
        </is>
      </c>
      <c r="FA29" s="173" t="inlineStr">
        <is>
          <t>كويز</t>
        </is>
      </c>
      <c r="FB29" s="174" t="inlineStr">
        <is>
          <t>امتحان</t>
        </is>
      </c>
      <c r="FC29" s="67" t="inlineStr">
        <is>
          <t>ملاحظات</t>
        </is>
      </c>
      <c r="FD29" s="175" t="inlineStr">
        <is>
          <t>كويز</t>
        </is>
      </c>
      <c r="FE29" s="176" t="inlineStr">
        <is>
          <t>امتحان</t>
        </is>
      </c>
      <c r="FF29" s="175" t="inlineStr">
        <is>
          <t>كويز</t>
        </is>
      </c>
      <c r="FG29" s="176" t="inlineStr">
        <is>
          <t>امتحان</t>
        </is>
      </c>
      <c r="FH29" s="175" t="inlineStr">
        <is>
          <t>كويز</t>
        </is>
      </c>
      <c r="FI29" s="176" t="inlineStr">
        <is>
          <t>امتحان</t>
        </is>
      </c>
      <c r="FJ29" s="175" t="inlineStr">
        <is>
          <t>كويز</t>
        </is>
      </c>
      <c r="FK29" s="176" t="inlineStr">
        <is>
          <t>امتحان</t>
        </is>
      </c>
      <c r="FL29" s="175" t="inlineStr">
        <is>
          <t>كويز</t>
        </is>
      </c>
      <c r="FM29" s="176" t="inlineStr">
        <is>
          <t>امتحان</t>
        </is>
      </c>
      <c r="FN29" s="175" t="inlineStr">
        <is>
          <t>كويز</t>
        </is>
      </c>
      <c r="FO29" s="176" t="inlineStr">
        <is>
          <t>امتحان</t>
        </is>
      </c>
      <c r="FP29" s="175" t="inlineStr">
        <is>
          <t>كويز</t>
        </is>
      </c>
      <c r="FQ29" s="176" t="inlineStr">
        <is>
          <t>امتحان</t>
        </is>
      </c>
      <c r="FR29" s="175" t="inlineStr">
        <is>
          <t>كويز</t>
        </is>
      </c>
      <c r="FS29" s="176" t="inlineStr">
        <is>
          <t>امتحان</t>
        </is>
      </c>
      <c r="FT29" s="68" t="inlineStr">
        <is>
          <t>ملاحظات</t>
        </is>
      </c>
      <c r="FU29" s="177" t="inlineStr">
        <is>
          <t>كويز</t>
        </is>
      </c>
      <c r="FV29" s="178" t="inlineStr">
        <is>
          <t>امتحان</t>
        </is>
      </c>
      <c r="FW29" s="177" t="inlineStr">
        <is>
          <t>كويز</t>
        </is>
      </c>
      <c r="FX29" s="178" t="inlineStr">
        <is>
          <t>امتحان</t>
        </is>
      </c>
      <c r="FY29" s="177" t="inlineStr">
        <is>
          <t>كويز</t>
        </is>
      </c>
      <c r="FZ29" s="178" t="inlineStr">
        <is>
          <t>امتحان</t>
        </is>
      </c>
      <c r="GA29" s="177" t="inlineStr">
        <is>
          <t>كويز</t>
        </is>
      </c>
      <c r="GB29" s="178" t="inlineStr">
        <is>
          <t>امتحان</t>
        </is>
      </c>
      <c r="GC29" s="177" t="inlineStr">
        <is>
          <t>كويز</t>
        </is>
      </c>
      <c r="GD29" s="178" t="inlineStr">
        <is>
          <t>امتحان</t>
        </is>
      </c>
      <c r="GE29" s="177" t="inlineStr">
        <is>
          <t>كويز</t>
        </is>
      </c>
      <c r="GF29" s="178" t="inlineStr">
        <is>
          <t>امتحان</t>
        </is>
      </c>
      <c r="GG29" s="177" t="inlineStr">
        <is>
          <t>كويز</t>
        </is>
      </c>
      <c r="GH29" s="178" t="inlineStr">
        <is>
          <t>امتحان</t>
        </is>
      </c>
      <c r="GI29" s="177" t="inlineStr">
        <is>
          <t>كويز</t>
        </is>
      </c>
      <c r="GJ29" s="178" t="inlineStr">
        <is>
          <t>امتحان</t>
        </is>
      </c>
      <c r="GK29" s="69" t="inlineStr">
        <is>
          <t>ملاحظات</t>
        </is>
      </c>
      <c r="GL29" s="179" t="inlineStr">
        <is>
          <t>كويز</t>
        </is>
      </c>
      <c r="GM29" s="180" t="inlineStr">
        <is>
          <t>امتحان</t>
        </is>
      </c>
      <c r="GN29" s="179" t="inlineStr">
        <is>
          <t>كويز</t>
        </is>
      </c>
      <c r="GO29" s="180" t="inlineStr">
        <is>
          <t>امتحان</t>
        </is>
      </c>
      <c r="GP29" s="179" t="inlineStr">
        <is>
          <t>كويز</t>
        </is>
      </c>
      <c r="GQ29" s="180" t="inlineStr">
        <is>
          <t>امتحان</t>
        </is>
      </c>
      <c r="GR29" s="179" t="inlineStr">
        <is>
          <t>كويز</t>
        </is>
      </c>
      <c r="GS29" s="180" t="inlineStr">
        <is>
          <t>امتحان</t>
        </is>
      </c>
      <c r="GT29" s="179" t="inlineStr">
        <is>
          <t>كويز</t>
        </is>
      </c>
      <c r="GU29" s="180" t="inlineStr">
        <is>
          <t>امتحان</t>
        </is>
      </c>
      <c r="GV29" s="179" t="inlineStr">
        <is>
          <t>كويز</t>
        </is>
      </c>
      <c r="GW29" s="180" t="inlineStr">
        <is>
          <t>امتحان</t>
        </is>
      </c>
      <c r="GX29" s="179" t="inlineStr">
        <is>
          <t>كويز</t>
        </is>
      </c>
      <c r="GY29" s="180" t="inlineStr">
        <is>
          <t>امتحان</t>
        </is>
      </c>
      <c r="GZ29" s="179" t="inlineStr">
        <is>
          <t>كويز</t>
        </is>
      </c>
      <c r="HA29" s="180" t="inlineStr">
        <is>
          <t>امتحان</t>
        </is>
      </c>
      <c r="HB29" s="70" t="inlineStr">
        <is>
          <t>ملاحظات</t>
        </is>
      </c>
    </row>
    <row r="30" ht="22.5" customHeight="1">
      <c r="A30" s="36" t="n">
        <v>1</v>
      </c>
      <c r="B30" s="181" t="str">
        <f>IF($B5="","",$B5)</f>
        <v/>
      </c>
      <c r="C30" s="136" t="str">
        <f>IF(OR($B30="",$HD30=0),"",ROUND($HC30,2)&amp;" / "&amp;$HD30)</f>
        <v/>
      </c>
      <c r="D30" s="182" t="str">
        <f>IF(OR($B30="",$HD30=0),"",$HC30/$HD30)</f>
        <v/>
      </c>
      <c r="E30" s="98" t="str">
        <f>IF($D30="","",RANK($D30,$D$30:$D$44))</f>
        <v/>
      </c>
      <c r="F30" s="99" t="str">
        <f>IF($D30="","",IF($D30&gt;=0.85,"ممتاز",IF($D30&gt;=0.75,"جيد جداً",IF($D30&gt;=0.65,"جيد",IF($D30&gt;=0.5,"مقبول","ضعيف")))))</f>
        <v/>
      </c>
      <c r="G30" s="100" t="n"/>
      <c r="H30" s="101" t="n"/>
      <c r="I30" s="100" t="n"/>
      <c r="J30" s="101" t="n"/>
      <c r="K30" s="100" t="n"/>
      <c r="L30" s="101" t="n"/>
      <c r="M30" s="100" t="n"/>
      <c r="N30" s="101" t="n"/>
      <c r="O30" s="100" t="n"/>
      <c r="P30" s="101" t="n"/>
      <c r="Q30" s="100" t="n"/>
      <c r="R30" s="101" t="n"/>
      <c r="S30" s="100" t="n"/>
      <c r="T30" s="101" t="n"/>
      <c r="U30" s="100" t="n"/>
      <c r="V30" s="101" t="n"/>
      <c r="W30" s="183" t="n"/>
      <c r="X30" s="103" t="n"/>
      <c r="Y30" s="104" t="n"/>
      <c r="Z30" s="103" t="n"/>
      <c r="AA30" s="104" t="n"/>
      <c r="AB30" s="103" t="n"/>
      <c r="AC30" s="104" t="n"/>
      <c r="AD30" s="103" t="n"/>
      <c r="AE30" s="104" t="n"/>
      <c r="AF30" s="103" t="n"/>
      <c r="AG30" s="104" t="n"/>
      <c r="AH30" s="103" t="n"/>
      <c r="AI30" s="104" t="n"/>
      <c r="AJ30" s="103" t="n"/>
      <c r="AK30" s="104" t="n"/>
      <c r="AL30" s="103" t="n"/>
      <c r="AM30" s="104" t="n"/>
      <c r="AN30" s="184" t="n"/>
      <c r="AO30" s="106" t="n"/>
      <c r="AP30" s="107" t="n"/>
      <c r="AQ30" s="106" t="n"/>
      <c r="AR30" s="107" t="n"/>
      <c r="AS30" s="106" t="n"/>
      <c r="AT30" s="107" t="n"/>
      <c r="AU30" s="106" t="n"/>
      <c r="AV30" s="107" t="n"/>
      <c r="AW30" s="106" t="n"/>
      <c r="AX30" s="107" t="n"/>
      <c r="AY30" s="106" t="n"/>
      <c r="AZ30" s="107" t="n"/>
      <c r="BA30" s="106" t="n"/>
      <c r="BB30" s="107" t="n"/>
      <c r="BC30" s="106" t="n"/>
      <c r="BD30" s="107" t="n"/>
      <c r="BE30" s="185" t="n"/>
      <c r="BF30" s="109" t="n"/>
      <c r="BG30" s="110" t="n"/>
      <c r="BH30" s="109" t="n"/>
      <c r="BI30" s="110" t="n"/>
      <c r="BJ30" s="109" t="n"/>
      <c r="BK30" s="110" t="n"/>
      <c r="BL30" s="109" t="n"/>
      <c r="BM30" s="110" t="n"/>
      <c r="BN30" s="109" t="n"/>
      <c r="BO30" s="110" t="n"/>
      <c r="BP30" s="109" t="n"/>
      <c r="BQ30" s="110" t="n"/>
      <c r="BR30" s="109" t="n"/>
      <c r="BS30" s="110" t="n"/>
      <c r="BT30" s="109" t="n"/>
      <c r="BU30" s="110" t="n"/>
      <c r="BV30" s="186" t="n"/>
      <c r="BW30" s="112" t="n"/>
      <c r="BX30" s="113" t="n"/>
      <c r="BY30" s="112" t="n"/>
      <c r="BZ30" s="113" t="n"/>
      <c r="CA30" s="112" t="n"/>
      <c r="CB30" s="113" t="n"/>
      <c r="CC30" s="112" t="n"/>
      <c r="CD30" s="113" t="n"/>
      <c r="CE30" s="112" t="n"/>
      <c r="CF30" s="113" t="n"/>
      <c r="CG30" s="112" t="n"/>
      <c r="CH30" s="113" t="n"/>
      <c r="CI30" s="112" t="n"/>
      <c r="CJ30" s="113" t="n"/>
      <c r="CK30" s="112" t="n"/>
      <c r="CL30" s="113" t="n"/>
      <c r="CM30" s="187" t="n"/>
      <c r="CN30" s="115" t="n"/>
      <c r="CO30" s="116" t="n"/>
      <c r="CP30" s="115" t="n"/>
      <c r="CQ30" s="116" t="n"/>
      <c r="CR30" s="115" t="n"/>
      <c r="CS30" s="116" t="n"/>
      <c r="CT30" s="115" t="n"/>
      <c r="CU30" s="116" t="n"/>
      <c r="CV30" s="115" t="n"/>
      <c r="CW30" s="116" t="n"/>
      <c r="CX30" s="115" t="n"/>
      <c r="CY30" s="116" t="n"/>
      <c r="CZ30" s="115" t="n"/>
      <c r="DA30" s="116" t="n"/>
      <c r="DB30" s="115" t="n"/>
      <c r="DC30" s="116" t="n"/>
      <c r="DD30" s="188" t="n"/>
      <c r="DE30" s="118" t="n"/>
      <c r="DF30" s="119" t="n"/>
      <c r="DG30" s="118" t="n"/>
      <c r="DH30" s="119" t="n"/>
      <c r="DI30" s="118" t="n"/>
      <c r="DJ30" s="119" t="n"/>
      <c r="DK30" s="118" t="n"/>
      <c r="DL30" s="119" t="n"/>
      <c r="DM30" s="118" t="n"/>
      <c r="DN30" s="119" t="n"/>
      <c r="DO30" s="118" t="n"/>
      <c r="DP30" s="119" t="n"/>
      <c r="DQ30" s="118" t="n"/>
      <c r="DR30" s="119" t="n"/>
      <c r="DS30" s="118" t="n"/>
      <c r="DT30" s="119" t="n"/>
      <c r="DU30" s="189" t="n"/>
      <c r="DV30" s="121" t="n"/>
      <c r="DW30" s="122" t="n"/>
      <c r="DX30" s="121" t="n"/>
      <c r="DY30" s="122" t="n"/>
      <c r="DZ30" s="121" t="n"/>
      <c r="EA30" s="122" t="n"/>
      <c r="EB30" s="121" t="n"/>
      <c r="EC30" s="122" t="n"/>
      <c r="ED30" s="121" t="n"/>
      <c r="EE30" s="122" t="n"/>
      <c r="EF30" s="121" t="n"/>
      <c r="EG30" s="122" t="n"/>
      <c r="EH30" s="121" t="n"/>
      <c r="EI30" s="122" t="n"/>
      <c r="EJ30" s="121" t="n"/>
      <c r="EK30" s="122" t="n"/>
      <c r="EL30" s="190" t="n"/>
      <c r="EM30" s="124" t="n"/>
      <c r="EN30" s="125" t="n"/>
      <c r="EO30" s="124" t="n"/>
      <c r="EP30" s="125" t="n"/>
      <c r="EQ30" s="124" t="n"/>
      <c r="ER30" s="125" t="n"/>
      <c r="ES30" s="124" t="n"/>
      <c r="ET30" s="125" t="n"/>
      <c r="EU30" s="124" t="n"/>
      <c r="EV30" s="125" t="n"/>
      <c r="EW30" s="124" t="n"/>
      <c r="EX30" s="125" t="n"/>
      <c r="EY30" s="124" t="n"/>
      <c r="EZ30" s="125" t="n"/>
      <c r="FA30" s="124" t="n"/>
      <c r="FB30" s="125" t="n"/>
      <c r="FC30" s="191" t="n"/>
      <c r="FD30" s="127" t="n"/>
      <c r="FE30" s="128" t="n"/>
      <c r="FF30" s="127" t="n"/>
      <c r="FG30" s="128" t="n"/>
      <c r="FH30" s="127" t="n"/>
      <c r="FI30" s="128" t="n"/>
      <c r="FJ30" s="127" t="n"/>
      <c r="FK30" s="128" t="n"/>
      <c r="FL30" s="127" t="n"/>
      <c r="FM30" s="128" t="n"/>
      <c r="FN30" s="127" t="n"/>
      <c r="FO30" s="128" t="n"/>
      <c r="FP30" s="127" t="n"/>
      <c r="FQ30" s="128" t="n"/>
      <c r="FR30" s="127" t="n"/>
      <c r="FS30" s="128" t="n"/>
      <c r="FT30" s="192" t="n"/>
      <c r="FU30" s="130" t="n"/>
      <c r="FV30" s="131" t="n"/>
      <c r="FW30" s="130" t="n"/>
      <c r="FX30" s="131" t="n"/>
      <c r="FY30" s="130" t="n"/>
      <c r="FZ30" s="131" t="n"/>
      <c r="GA30" s="130" t="n"/>
      <c r="GB30" s="131" t="n"/>
      <c r="GC30" s="130" t="n"/>
      <c r="GD30" s="131" t="n"/>
      <c r="GE30" s="130" t="n"/>
      <c r="GF30" s="131" t="n"/>
      <c r="GG30" s="130" t="n"/>
      <c r="GH30" s="131" t="n"/>
      <c r="GI30" s="130" t="n"/>
      <c r="GJ30" s="131" t="n"/>
      <c r="GK30" s="193" t="n"/>
      <c r="GL30" s="133" t="n"/>
      <c r="GM30" s="134" t="n"/>
      <c r="GN30" s="133" t="n"/>
      <c r="GO30" s="134" t="n"/>
      <c r="GP30" s="133" t="n"/>
      <c r="GQ30" s="134" t="n"/>
      <c r="GR30" s="133" t="n"/>
      <c r="GS30" s="134" t="n"/>
      <c r="GT30" s="133" t="n"/>
      <c r="GU30" s="134" t="n"/>
      <c r="GV30" s="133" t="n"/>
      <c r="GW30" s="134" t="n"/>
      <c r="GX30" s="133" t="n"/>
      <c r="GY30" s="134" t="n"/>
      <c r="GZ30" s="133" t="n"/>
      <c r="HA30" s="134" t="n"/>
      <c r="HB30" s="194" t="n"/>
      <c r="HC30">
        <f>SUMIFS($G30:$HB30,$G$46:$HB$46,"&gt;="&amp;$HD$1,$G$46:$HB$46,"&lt;="&amp;$HD$2,$G$29:$HB$29,"&lt;&gt;ملاحظات",$G$28:$HB$28,"&gt;0")</f>
        <v>0</v>
      </c>
      <c r="HD30">
        <f>SUMIFS($G$28:$HB$28,$G$46:$HB$46,"&gt;="&amp;$HD$1,$G$46:$HB$46,"&lt;="&amp;$HD$2,$G$29:$HB$29,"&lt;&gt;ملاحظات",$G30:$HB30,"&gt;=0")</f>
        <v>0</v>
      </c>
    </row>
    <row r="31" ht="22.5" customHeight="1">
      <c r="A31" s="36" t="n">
        <v>2</v>
      </c>
      <c r="B31" s="181" t="str">
        <f>IF($B6="","",$B6)</f>
        <v/>
      </c>
      <c r="C31" s="136" t="str">
        <f>IF(OR($B31="",$HD31=0),"",ROUND($HC31,2)&amp;" / "&amp;$HD31)</f>
        <v/>
      </c>
      <c r="D31" s="182" t="str">
        <f>IF(OR($B31="",$HD31=0),"",$HC31/$HD31)</f>
        <v/>
      </c>
      <c r="E31" s="98" t="str">
        <f>IF($D31="","",RANK($D31,$D$30:$D$44))</f>
        <v/>
      </c>
      <c r="F31" s="99" t="str">
        <f>IF($D31="","",IF($D31&gt;=0.85,"ممتاز",IF($D31&gt;=0.75,"جيد جداً",IF($D31&gt;=0.65,"جيد",IF($D31&gt;=0.5,"مقبول","ضعيف")))))</f>
        <v/>
      </c>
      <c r="G31" s="100" t="n"/>
      <c r="H31" s="101" t="n"/>
      <c r="I31" s="100" t="n"/>
      <c r="J31" s="101" t="n"/>
      <c r="K31" s="100" t="n"/>
      <c r="L31" s="101" t="n"/>
      <c r="M31" s="100" t="n"/>
      <c r="N31" s="101" t="n"/>
      <c r="O31" s="100" t="n"/>
      <c r="P31" s="101" t="n"/>
      <c r="Q31" s="100" t="n"/>
      <c r="R31" s="101" t="n"/>
      <c r="S31" s="100" t="n"/>
      <c r="T31" s="101" t="n"/>
      <c r="U31" s="100" t="n"/>
      <c r="V31" s="101" t="n"/>
      <c r="W31" s="183" t="n"/>
      <c r="X31" s="103" t="n"/>
      <c r="Y31" s="104" t="n"/>
      <c r="Z31" s="103" t="n"/>
      <c r="AA31" s="104" t="n"/>
      <c r="AB31" s="103" t="n"/>
      <c r="AC31" s="104" t="n"/>
      <c r="AD31" s="103" t="n"/>
      <c r="AE31" s="104" t="n"/>
      <c r="AF31" s="103" t="n"/>
      <c r="AG31" s="104" t="n"/>
      <c r="AH31" s="103" t="n"/>
      <c r="AI31" s="104" t="n"/>
      <c r="AJ31" s="103" t="n"/>
      <c r="AK31" s="104" t="n"/>
      <c r="AL31" s="103" t="n"/>
      <c r="AM31" s="104" t="n"/>
      <c r="AN31" s="184" t="n"/>
      <c r="AO31" s="106" t="n"/>
      <c r="AP31" s="107" t="n"/>
      <c r="AQ31" s="106" t="n"/>
      <c r="AR31" s="107" t="n"/>
      <c r="AS31" s="106" t="n"/>
      <c r="AT31" s="107" t="n"/>
      <c r="AU31" s="106" t="n"/>
      <c r="AV31" s="107" t="n"/>
      <c r="AW31" s="106" t="n"/>
      <c r="AX31" s="107" t="n"/>
      <c r="AY31" s="106" t="n"/>
      <c r="AZ31" s="107" t="n"/>
      <c r="BA31" s="106" t="n"/>
      <c r="BB31" s="107" t="n"/>
      <c r="BC31" s="106" t="n"/>
      <c r="BD31" s="107" t="n"/>
      <c r="BE31" s="185" t="n"/>
      <c r="BF31" s="109" t="n"/>
      <c r="BG31" s="110" t="n"/>
      <c r="BH31" s="109" t="n"/>
      <c r="BI31" s="110" t="n"/>
      <c r="BJ31" s="109" t="n"/>
      <c r="BK31" s="110" t="n"/>
      <c r="BL31" s="109" t="n"/>
      <c r="BM31" s="110" t="n"/>
      <c r="BN31" s="109" t="n"/>
      <c r="BO31" s="110" t="n"/>
      <c r="BP31" s="109" t="n"/>
      <c r="BQ31" s="110" t="n"/>
      <c r="BR31" s="109" t="n"/>
      <c r="BS31" s="110" t="n"/>
      <c r="BT31" s="109" t="n"/>
      <c r="BU31" s="110" t="n"/>
      <c r="BV31" s="186" t="n"/>
      <c r="BW31" s="112" t="n"/>
      <c r="BX31" s="113" t="n"/>
      <c r="BY31" s="112" t="n"/>
      <c r="BZ31" s="113" t="n"/>
      <c r="CA31" s="112" t="n"/>
      <c r="CB31" s="113" t="n"/>
      <c r="CC31" s="112" t="n"/>
      <c r="CD31" s="113" t="n"/>
      <c r="CE31" s="112" t="n"/>
      <c r="CF31" s="113" t="n"/>
      <c r="CG31" s="112" t="n"/>
      <c r="CH31" s="113" t="n"/>
      <c r="CI31" s="112" t="n"/>
      <c r="CJ31" s="113" t="n"/>
      <c r="CK31" s="112" t="n"/>
      <c r="CL31" s="113" t="n"/>
      <c r="CM31" s="187" t="n"/>
      <c r="CN31" s="115" t="n"/>
      <c r="CO31" s="116" t="n"/>
      <c r="CP31" s="115" t="n"/>
      <c r="CQ31" s="116" t="n"/>
      <c r="CR31" s="115" t="n"/>
      <c r="CS31" s="116" t="n"/>
      <c r="CT31" s="115" t="n"/>
      <c r="CU31" s="116" t="n"/>
      <c r="CV31" s="115" t="n"/>
      <c r="CW31" s="116" t="n"/>
      <c r="CX31" s="115" t="n"/>
      <c r="CY31" s="116" t="n"/>
      <c r="CZ31" s="115" t="n"/>
      <c r="DA31" s="116" t="n"/>
      <c r="DB31" s="115" t="n"/>
      <c r="DC31" s="116" t="n"/>
      <c r="DD31" s="188" t="n"/>
      <c r="DE31" s="118" t="n"/>
      <c r="DF31" s="119" t="n"/>
      <c r="DG31" s="118" t="n"/>
      <c r="DH31" s="119" t="n"/>
      <c r="DI31" s="118" t="n"/>
      <c r="DJ31" s="119" t="n"/>
      <c r="DK31" s="118" t="n"/>
      <c r="DL31" s="119" t="n"/>
      <c r="DM31" s="118" t="n"/>
      <c r="DN31" s="119" t="n"/>
      <c r="DO31" s="118" t="n"/>
      <c r="DP31" s="119" t="n"/>
      <c r="DQ31" s="118" t="n"/>
      <c r="DR31" s="119" t="n"/>
      <c r="DS31" s="118" t="n"/>
      <c r="DT31" s="119" t="n"/>
      <c r="DU31" s="189" t="n"/>
      <c r="DV31" s="121" t="n"/>
      <c r="DW31" s="122" t="n"/>
      <c r="DX31" s="121" t="n"/>
      <c r="DY31" s="122" t="n"/>
      <c r="DZ31" s="121" t="n"/>
      <c r="EA31" s="122" t="n"/>
      <c r="EB31" s="121" t="n"/>
      <c r="EC31" s="122" t="n"/>
      <c r="ED31" s="121" t="n"/>
      <c r="EE31" s="122" t="n"/>
      <c r="EF31" s="121" t="n"/>
      <c r="EG31" s="122" t="n"/>
      <c r="EH31" s="121" t="n"/>
      <c r="EI31" s="122" t="n"/>
      <c r="EJ31" s="121" t="n"/>
      <c r="EK31" s="122" t="n"/>
      <c r="EL31" s="190" t="n"/>
      <c r="EM31" s="124" t="n"/>
      <c r="EN31" s="125" t="n"/>
      <c r="EO31" s="124" t="n"/>
      <c r="EP31" s="125" t="n"/>
      <c r="EQ31" s="124" t="n"/>
      <c r="ER31" s="125" t="n"/>
      <c r="ES31" s="124" t="n"/>
      <c r="ET31" s="125" t="n"/>
      <c r="EU31" s="124" t="n"/>
      <c r="EV31" s="125" t="n"/>
      <c r="EW31" s="124" t="n"/>
      <c r="EX31" s="125" t="n"/>
      <c r="EY31" s="124" t="n"/>
      <c r="EZ31" s="125" t="n"/>
      <c r="FA31" s="124" t="n"/>
      <c r="FB31" s="125" t="n"/>
      <c r="FC31" s="191" t="n"/>
      <c r="FD31" s="127" t="n"/>
      <c r="FE31" s="128" t="n"/>
      <c r="FF31" s="127" t="n"/>
      <c r="FG31" s="128" t="n"/>
      <c r="FH31" s="127" t="n"/>
      <c r="FI31" s="128" t="n"/>
      <c r="FJ31" s="127" t="n"/>
      <c r="FK31" s="128" t="n"/>
      <c r="FL31" s="127" t="n"/>
      <c r="FM31" s="128" t="n"/>
      <c r="FN31" s="127" t="n"/>
      <c r="FO31" s="128" t="n"/>
      <c r="FP31" s="127" t="n"/>
      <c r="FQ31" s="128" t="n"/>
      <c r="FR31" s="127" t="n"/>
      <c r="FS31" s="128" t="n"/>
      <c r="FT31" s="192" t="n"/>
      <c r="FU31" s="130" t="n"/>
      <c r="FV31" s="131" t="n"/>
      <c r="FW31" s="130" t="n"/>
      <c r="FX31" s="131" t="n"/>
      <c r="FY31" s="130" t="n"/>
      <c r="FZ31" s="131" t="n"/>
      <c r="GA31" s="130" t="n"/>
      <c r="GB31" s="131" t="n"/>
      <c r="GC31" s="130" t="n"/>
      <c r="GD31" s="131" t="n"/>
      <c r="GE31" s="130" t="n"/>
      <c r="GF31" s="131" t="n"/>
      <c r="GG31" s="130" t="n"/>
      <c r="GH31" s="131" t="n"/>
      <c r="GI31" s="130" t="n"/>
      <c r="GJ31" s="131" t="n"/>
      <c r="GK31" s="193" t="n"/>
      <c r="GL31" s="133" t="n"/>
      <c r="GM31" s="134" t="n"/>
      <c r="GN31" s="133" t="n"/>
      <c r="GO31" s="134" t="n"/>
      <c r="GP31" s="133" t="n"/>
      <c r="GQ31" s="134" t="n"/>
      <c r="GR31" s="133" t="n"/>
      <c r="GS31" s="134" t="n"/>
      <c r="GT31" s="133" t="n"/>
      <c r="GU31" s="134" t="n"/>
      <c r="GV31" s="133" t="n"/>
      <c r="GW31" s="134" t="n"/>
      <c r="GX31" s="133" t="n"/>
      <c r="GY31" s="134" t="n"/>
      <c r="GZ31" s="133" t="n"/>
      <c r="HA31" s="134" t="n"/>
      <c r="HB31" s="194" t="n"/>
      <c r="HC31">
        <f>SUMIFS($G31:$HB31,$G$46:$HB$46,"&gt;="&amp;$HD$1,$G$46:$HB$46,"&lt;="&amp;$HD$2,$G$29:$HB$29,"&lt;&gt;ملاحظات",$G$28:$HB$28,"&gt;0")</f>
        <v>0</v>
      </c>
      <c r="HD31">
        <f>SUMIFS($G$28:$HB$28,$G$46:$HB$46,"&gt;="&amp;$HD$1,$G$46:$HB$46,"&lt;="&amp;$HD$2,$G$29:$HB$29,"&lt;&gt;ملاحظات",$G31:$HB31,"&gt;=0")</f>
        <v>0</v>
      </c>
    </row>
    <row r="32" ht="22.5" customHeight="1">
      <c r="A32" s="36" t="n">
        <v>3</v>
      </c>
      <c r="B32" s="181" t="str">
        <f>IF($B7="","",$B7)</f>
        <v/>
      </c>
      <c r="C32" s="136" t="str">
        <f>IF(OR($B32="",$HD32=0),"",ROUND($HC32,2)&amp;" / "&amp;$HD32)</f>
        <v/>
      </c>
      <c r="D32" s="182" t="str">
        <f>IF(OR($B32="",$HD32=0),"",$HC32/$HD32)</f>
        <v/>
      </c>
      <c r="E32" s="98" t="str">
        <f>IF($D32="","",RANK($D32,$D$30:$D$44))</f>
        <v/>
      </c>
      <c r="F32" s="99" t="str">
        <f>IF($D32="","",IF($D32&gt;=0.85,"ممتاز",IF($D32&gt;=0.75,"جيد جداً",IF($D32&gt;=0.65,"جيد",IF($D32&gt;=0.5,"مقبول","ضعيف")))))</f>
        <v/>
      </c>
      <c r="G32" s="100" t="n"/>
      <c r="H32" s="101" t="n"/>
      <c r="I32" s="100" t="n"/>
      <c r="J32" s="101" t="n"/>
      <c r="K32" s="100" t="n"/>
      <c r="L32" s="101" t="n"/>
      <c r="M32" s="100" t="n"/>
      <c r="N32" s="101" t="n"/>
      <c r="O32" s="100" t="n"/>
      <c r="P32" s="101" t="n"/>
      <c r="Q32" s="100" t="n"/>
      <c r="R32" s="101" t="n"/>
      <c r="S32" s="100" t="n"/>
      <c r="T32" s="101" t="n"/>
      <c r="U32" s="100" t="n"/>
      <c r="V32" s="101" t="n"/>
      <c r="W32" s="183" t="n"/>
      <c r="X32" s="103" t="n"/>
      <c r="Y32" s="104" t="n"/>
      <c r="Z32" s="103" t="n"/>
      <c r="AA32" s="104" t="n"/>
      <c r="AB32" s="103" t="n"/>
      <c r="AC32" s="104" t="n"/>
      <c r="AD32" s="103" t="n"/>
      <c r="AE32" s="104" t="n"/>
      <c r="AF32" s="103" t="n"/>
      <c r="AG32" s="104" t="n"/>
      <c r="AH32" s="103" t="n"/>
      <c r="AI32" s="104" t="n"/>
      <c r="AJ32" s="103" t="n"/>
      <c r="AK32" s="104" t="n"/>
      <c r="AL32" s="103" t="n"/>
      <c r="AM32" s="104" t="n"/>
      <c r="AN32" s="184" t="n"/>
      <c r="AO32" s="106" t="n"/>
      <c r="AP32" s="107" t="n"/>
      <c r="AQ32" s="106" t="n"/>
      <c r="AR32" s="107" t="n"/>
      <c r="AS32" s="106" t="n"/>
      <c r="AT32" s="107" t="n"/>
      <c r="AU32" s="106" t="n"/>
      <c r="AV32" s="107" t="n"/>
      <c r="AW32" s="106" t="n"/>
      <c r="AX32" s="107" t="n"/>
      <c r="AY32" s="106" t="n"/>
      <c r="AZ32" s="107" t="n"/>
      <c r="BA32" s="106" t="n"/>
      <c r="BB32" s="107" t="n"/>
      <c r="BC32" s="106" t="n"/>
      <c r="BD32" s="107" t="n"/>
      <c r="BE32" s="185" t="n"/>
      <c r="BF32" s="109" t="n"/>
      <c r="BG32" s="110" t="n"/>
      <c r="BH32" s="109" t="n"/>
      <c r="BI32" s="110" t="n"/>
      <c r="BJ32" s="109" t="n"/>
      <c r="BK32" s="110" t="n"/>
      <c r="BL32" s="109" t="n"/>
      <c r="BM32" s="110" t="n"/>
      <c r="BN32" s="109" t="n"/>
      <c r="BO32" s="110" t="n"/>
      <c r="BP32" s="109" t="n"/>
      <c r="BQ32" s="110" t="n"/>
      <c r="BR32" s="109" t="n"/>
      <c r="BS32" s="110" t="n"/>
      <c r="BT32" s="109" t="n"/>
      <c r="BU32" s="110" t="n"/>
      <c r="BV32" s="186" t="n"/>
      <c r="BW32" s="112" t="n"/>
      <c r="BX32" s="113" t="n"/>
      <c r="BY32" s="112" t="n"/>
      <c r="BZ32" s="113" t="n"/>
      <c r="CA32" s="112" t="n"/>
      <c r="CB32" s="113" t="n"/>
      <c r="CC32" s="112" t="n"/>
      <c r="CD32" s="113" t="n"/>
      <c r="CE32" s="112" t="n"/>
      <c r="CF32" s="113" t="n"/>
      <c r="CG32" s="112" t="n"/>
      <c r="CH32" s="113" t="n"/>
      <c r="CI32" s="112" t="n"/>
      <c r="CJ32" s="113" t="n"/>
      <c r="CK32" s="112" t="n"/>
      <c r="CL32" s="113" t="n"/>
      <c r="CM32" s="187" t="n"/>
      <c r="CN32" s="115" t="n"/>
      <c r="CO32" s="116" t="n"/>
      <c r="CP32" s="115" t="n"/>
      <c r="CQ32" s="116" t="n"/>
      <c r="CR32" s="115" t="n"/>
      <c r="CS32" s="116" t="n"/>
      <c r="CT32" s="115" t="n"/>
      <c r="CU32" s="116" t="n"/>
      <c r="CV32" s="115" t="n"/>
      <c r="CW32" s="116" t="n"/>
      <c r="CX32" s="115" t="n"/>
      <c r="CY32" s="116" t="n"/>
      <c r="CZ32" s="115" t="n"/>
      <c r="DA32" s="116" t="n"/>
      <c r="DB32" s="115" t="n"/>
      <c r="DC32" s="116" t="n"/>
      <c r="DD32" s="188" t="n"/>
      <c r="DE32" s="118" t="n"/>
      <c r="DF32" s="119" t="n"/>
      <c r="DG32" s="118" t="n"/>
      <c r="DH32" s="119" t="n"/>
      <c r="DI32" s="118" t="n"/>
      <c r="DJ32" s="119" t="n"/>
      <c r="DK32" s="118" t="n"/>
      <c r="DL32" s="119" t="n"/>
      <c r="DM32" s="118" t="n"/>
      <c r="DN32" s="119" t="n"/>
      <c r="DO32" s="118" t="n"/>
      <c r="DP32" s="119" t="n"/>
      <c r="DQ32" s="118" t="n"/>
      <c r="DR32" s="119" t="n"/>
      <c r="DS32" s="118" t="n"/>
      <c r="DT32" s="119" t="n"/>
      <c r="DU32" s="189" t="n"/>
      <c r="DV32" s="121" t="n"/>
      <c r="DW32" s="122" t="n"/>
      <c r="DX32" s="121" t="n"/>
      <c r="DY32" s="122" t="n"/>
      <c r="DZ32" s="121" t="n"/>
      <c r="EA32" s="122" t="n"/>
      <c r="EB32" s="121" t="n"/>
      <c r="EC32" s="122" t="n"/>
      <c r="ED32" s="121" t="n"/>
      <c r="EE32" s="122" t="n"/>
      <c r="EF32" s="121" t="n"/>
      <c r="EG32" s="122" t="n"/>
      <c r="EH32" s="121" t="n"/>
      <c r="EI32" s="122" t="n"/>
      <c r="EJ32" s="121" t="n"/>
      <c r="EK32" s="122" t="n"/>
      <c r="EL32" s="190" t="n"/>
      <c r="EM32" s="124" t="n"/>
      <c r="EN32" s="125" t="n"/>
      <c r="EO32" s="124" t="n"/>
      <c r="EP32" s="125" t="n"/>
      <c r="EQ32" s="124" t="n"/>
      <c r="ER32" s="125" t="n"/>
      <c r="ES32" s="124" t="n"/>
      <c r="ET32" s="125" t="n"/>
      <c r="EU32" s="124" t="n"/>
      <c r="EV32" s="125" t="n"/>
      <c r="EW32" s="124" t="n"/>
      <c r="EX32" s="125" t="n"/>
      <c r="EY32" s="124" t="n"/>
      <c r="EZ32" s="125" t="n"/>
      <c r="FA32" s="124" t="n"/>
      <c r="FB32" s="125" t="n"/>
      <c r="FC32" s="191" t="n"/>
      <c r="FD32" s="127" t="n"/>
      <c r="FE32" s="128" t="n"/>
      <c r="FF32" s="127" t="n"/>
      <c r="FG32" s="128" t="n"/>
      <c r="FH32" s="127" t="n"/>
      <c r="FI32" s="128" t="n"/>
      <c r="FJ32" s="127" t="n"/>
      <c r="FK32" s="128" t="n"/>
      <c r="FL32" s="127" t="n"/>
      <c r="FM32" s="128" t="n"/>
      <c r="FN32" s="127" t="n"/>
      <c r="FO32" s="128" t="n"/>
      <c r="FP32" s="127" t="n"/>
      <c r="FQ32" s="128" t="n"/>
      <c r="FR32" s="127" t="n"/>
      <c r="FS32" s="128" t="n"/>
      <c r="FT32" s="192" t="n"/>
      <c r="FU32" s="130" t="n"/>
      <c r="FV32" s="131" t="n"/>
      <c r="FW32" s="130" t="n"/>
      <c r="FX32" s="131" t="n"/>
      <c r="FY32" s="130" t="n"/>
      <c r="FZ32" s="131" t="n"/>
      <c r="GA32" s="130" t="n"/>
      <c r="GB32" s="131" t="n"/>
      <c r="GC32" s="130" t="n"/>
      <c r="GD32" s="131" t="n"/>
      <c r="GE32" s="130" t="n"/>
      <c r="GF32" s="131" t="n"/>
      <c r="GG32" s="130" t="n"/>
      <c r="GH32" s="131" t="n"/>
      <c r="GI32" s="130" t="n"/>
      <c r="GJ32" s="131" t="n"/>
      <c r="GK32" s="193" t="n"/>
      <c r="GL32" s="133" t="n"/>
      <c r="GM32" s="134" t="n"/>
      <c r="GN32" s="133" t="n"/>
      <c r="GO32" s="134" t="n"/>
      <c r="GP32" s="133" t="n"/>
      <c r="GQ32" s="134" t="n"/>
      <c r="GR32" s="133" t="n"/>
      <c r="GS32" s="134" t="n"/>
      <c r="GT32" s="133" t="n"/>
      <c r="GU32" s="134" t="n"/>
      <c r="GV32" s="133" t="n"/>
      <c r="GW32" s="134" t="n"/>
      <c r="GX32" s="133" t="n"/>
      <c r="GY32" s="134" t="n"/>
      <c r="GZ32" s="133" t="n"/>
      <c r="HA32" s="134" t="n"/>
      <c r="HB32" s="194" t="n"/>
      <c r="HC32">
        <f>SUMIFS($G32:$HB32,$G$46:$HB$46,"&gt;="&amp;$HD$1,$G$46:$HB$46,"&lt;="&amp;$HD$2,$G$29:$HB$29,"&lt;&gt;ملاحظات",$G$28:$HB$28,"&gt;0")</f>
        <v>0</v>
      </c>
      <c r="HD32">
        <f>SUMIFS($G$28:$HB$28,$G$46:$HB$46,"&gt;="&amp;$HD$1,$G$46:$HB$46,"&lt;="&amp;$HD$2,$G$29:$HB$29,"&lt;&gt;ملاحظات",$G32:$HB32,"&gt;=0")</f>
        <v>0</v>
      </c>
    </row>
    <row r="33" ht="22.5" customHeight="1">
      <c r="A33" s="36" t="n">
        <v>4</v>
      </c>
      <c r="B33" s="181" t="str">
        <f>IF($B8="","",$B8)</f>
        <v/>
      </c>
      <c r="C33" s="136" t="str">
        <f>IF(OR($B33="",$HD33=0),"",ROUND($HC33,2)&amp;" / "&amp;$HD33)</f>
        <v/>
      </c>
      <c r="D33" s="182" t="str">
        <f>IF(OR($B33="",$HD33=0),"",$HC33/$HD33)</f>
        <v/>
      </c>
      <c r="E33" s="98" t="str">
        <f>IF($D33="","",RANK($D33,$D$30:$D$44))</f>
        <v/>
      </c>
      <c r="F33" s="99" t="str">
        <f>IF($D33="","",IF($D33&gt;=0.85,"ممتاز",IF($D33&gt;=0.75,"جيد جداً",IF($D33&gt;=0.65,"جيد",IF($D33&gt;=0.5,"مقبول","ضعيف")))))</f>
        <v/>
      </c>
      <c r="G33" s="100" t="n"/>
      <c r="H33" s="101" t="n"/>
      <c r="I33" s="100" t="n"/>
      <c r="J33" s="101" t="n"/>
      <c r="K33" s="100" t="n"/>
      <c r="L33" s="101" t="n"/>
      <c r="M33" s="100" t="n"/>
      <c r="N33" s="101" t="n"/>
      <c r="O33" s="100" t="n"/>
      <c r="P33" s="101" t="n"/>
      <c r="Q33" s="100" t="n"/>
      <c r="R33" s="101" t="n"/>
      <c r="S33" s="100" t="n"/>
      <c r="T33" s="101" t="n"/>
      <c r="U33" s="100" t="n"/>
      <c r="V33" s="101" t="n"/>
      <c r="W33" s="183" t="n"/>
      <c r="X33" s="103" t="n"/>
      <c r="Y33" s="104" t="n"/>
      <c r="Z33" s="103" t="n"/>
      <c r="AA33" s="104" t="n"/>
      <c r="AB33" s="103" t="n"/>
      <c r="AC33" s="104" t="n"/>
      <c r="AD33" s="103" t="n"/>
      <c r="AE33" s="104" t="n"/>
      <c r="AF33" s="103" t="n"/>
      <c r="AG33" s="104" t="n"/>
      <c r="AH33" s="103" t="n"/>
      <c r="AI33" s="104" t="n"/>
      <c r="AJ33" s="103" t="n"/>
      <c r="AK33" s="104" t="n"/>
      <c r="AL33" s="103" t="n"/>
      <c r="AM33" s="104" t="n"/>
      <c r="AN33" s="184" t="n"/>
      <c r="AO33" s="106" t="n"/>
      <c r="AP33" s="107" t="n"/>
      <c r="AQ33" s="106" t="n"/>
      <c r="AR33" s="107" t="n"/>
      <c r="AS33" s="106" t="n"/>
      <c r="AT33" s="107" t="n"/>
      <c r="AU33" s="106" t="n"/>
      <c r="AV33" s="107" t="n"/>
      <c r="AW33" s="106" t="n"/>
      <c r="AX33" s="107" t="n"/>
      <c r="AY33" s="106" t="n"/>
      <c r="AZ33" s="107" t="n"/>
      <c r="BA33" s="106" t="n"/>
      <c r="BB33" s="107" t="n"/>
      <c r="BC33" s="106" t="n"/>
      <c r="BD33" s="107" t="n"/>
      <c r="BE33" s="185" t="n"/>
      <c r="BF33" s="109" t="n"/>
      <c r="BG33" s="110" t="n"/>
      <c r="BH33" s="109" t="n"/>
      <c r="BI33" s="110" t="n"/>
      <c r="BJ33" s="109" t="n"/>
      <c r="BK33" s="110" t="n"/>
      <c r="BL33" s="109" t="n"/>
      <c r="BM33" s="110" t="n"/>
      <c r="BN33" s="109" t="n"/>
      <c r="BO33" s="110" t="n"/>
      <c r="BP33" s="109" t="n"/>
      <c r="BQ33" s="110" t="n"/>
      <c r="BR33" s="109" t="n"/>
      <c r="BS33" s="110" t="n"/>
      <c r="BT33" s="109" t="n"/>
      <c r="BU33" s="110" t="n"/>
      <c r="BV33" s="186" t="n"/>
      <c r="BW33" s="112" t="n"/>
      <c r="BX33" s="113" t="n"/>
      <c r="BY33" s="112" t="n"/>
      <c r="BZ33" s="113" t="n"/>
      <c r="CA33" s="112" t="n"/>
      <c r="CB33" s="113" t="n"/>
      <c r="CC33" s="112" t="n"/>
      <c r="CD33" s="113" t="n"/>
      <c r="CE33" s="112" t="n"/>
      <c r="CF33" s="113" t="n"/>
      <c r="CG33" s="112" t="n"/>
      <c r="CH33" s="113" t="n"/>
      <c r="CI33" s="112" t="n"/>
      <c r="CJ33" s="113" t="n"/>
      <c r="CK33" s="112" t="n"/>
      <c r="CL33" s="113" t="n"/>
      <c r="CM33" s="187" t="n"/>
      <c r="CN33" s="115" t="n"/>
      <c r="CO33" s="116" t="n"/>
      <c r="CP33" s="115" t="n"/>
      <c r="CQ33" s="116" t="n"/>
      <c r="CR33" s="115" t="n"/>
      <c r="CS33" s="116" t="n"/>
      <c r="CT33" s="115" t="n"/>
      <c r="CU33" s="116" t="n"/>
      <c r="CV33" s="115" t="n"/>
      <c r="CW33" s="116" t="n"/>
      <c r="CX33" s="115" t="n"/>
      <c r="CY33" s="116" t="n"/>
      <c r="CZ33" s="115" t="n"/>
      <c r="DA33" s="116" t="n"/>
      <c r="DB33" s="115" t="n"/>
      <c r="DC33" s="116" t="n"/>
      <c r="DD33" s="188" t="n"/>
      <c r="DE33" s="118" t="n"/>
      <c r="DF33" s="119" t="n"/>
      <c r="DG33" s="118" t="n"/>
      <c r="DH33" s="119" t="n"/>
      <c r="DI33" s="118" t="n"/>
      <c r="DJ33" s="119" t="n"/>
      <c r="DK33" s="118" t="n"/>
      <c r="DL33" s="119" t="n"/>
      <c r="DM33" s="118" t="n"/>
      <c r="DN33" s="119" t="n"/>
      <c r="DO33" s="118" t="n"/>
      <c r="DP33" s="119" t="n"/>
      <c r="DQ33" s="118" t="n"/>
      <c r="DR33" s="119" t="n"/>
      <c r="DS33" s="118" t="n"/>
      <c r="DT33" s="119" t="n"/>
      <c r="DU33" s="189" t="n"/>
      <c r="DV33" s="121" t="n"/>
      <c r="DW33" s="122" t="n"/>
      <c r="DX33" s="121" t="n"/>
      <c r="DY33" s="122" t="n"/>
      <c r="DZ33" s="121" t="n"/>
      <c r="EA33" s="122" t="n"/>
      <c r="EB33" s="121" t="n"/>
      <c r="EC33" s="122" t="n"/>
      <c r="ED33" s="121" t="n"/>
      <c r="EE33" s="122" t="n"/>
      <c r="EF33" s="121" t="n"/>
      <c r="EG33" s="122" t="n"/>
      <c r="EH33" s="121" t="n"/>
      <c r="EI33" s="122" t="n"/>
      <c r="EJ33" s="121" t="n"/>
      <c r="EK33" s="122" t="n"/>
      <c r="EL33" s="190" t="n"/>
      <c r="EM33" s="124" t="n"/>
      <c r="EN33" s="125" t="n"/>
      <c r="EO33" s="124" t="n"/>
      <c r="EP33" s="125" t="n"/>
      <c r="EQ33" s="124" t="n"/>
      <c r="ER33" s="125" t="n"/>
      <c r="ES33" s="124" t="n"/>
      <c r="ET33" s="125" t="n"/>
      <c r="EU33" s="124" t="n"/>
      <c r="EV33" s="125" t="n"/>
      <c r="EW33" s="124" t="n"/>
      <c r="EX33" s="125" t="n"/>
      <c r="EY33" s="124" t="n"/>
      <c r="EZ33" s="125" t="n"/>
      <c r="FA33" s="124" t="n"/>
      <c r="FB33" s="125" t="n"/>
      <c r="FC33" s="191" t="n"/>
      <c r="FD33" s="127" t="n"/>
      <c r="FE33" s="128" t="n"/>
      <c r="FF33" s="127" t="n"/>
      <c r="FG33" s="128" t="n"/>
      <c r="FH33" s="127" t="n"/>
      <c r="FI33" s="128" t="n"/>
      <c r="FJ33" s="127" t="n"/>
      <c r="FK33" s="128" t="n"/>
      <c r="FL33" s="127" t="n"/>
      <c r="FM33" s="128" t="n"/>
      <c r="FN33" s="127" t="n"/>
      <c r="FO33" s="128" t="n"/>
      <c r="FP33" s="127" t="n"/>
      <c r="FQ33" s="128" t="n"/>
      <c r="FR33" s="127" t="n"/>
      <c r="FS33" s="128" t="n"/>
      <c r="FT33" s="192" t="n"/>
      <c r="FU33" s="130" t="n"/>
      <c r="FV33" s="131" t="n"/>
      <c r="FW33" s="130" t="n"/>
      <c r="FX33" s="131" t="n"/>
      <c r="FY33" s="130" t="n"/>
      <c r="FZ33" s="131" t="n"/>
      <c r="GA33" s="130" t="n"/>
      <c r="GB33" s="131" t="n"/>
      <c r="GC33" s="130" t="n"/>
      <c r="GD33" s="131" t="n"/>
      <c r="GE33" s="130" t="n"/>
      <c r="GF33" s="131" t="n"/>
      <c r="GG33" s="130" t="n"/>
      <c r="GH33" s="131" t="n"/>
      <c r="GI33" s="130" t="n"/>
      <c r="GJ33" s="131" t="n"/>
      <c r="GK33" s="193" t="n"/>
      <c r="GL33" s="133" t="n"/>
      <c r="GM33" s="134" t="n"/>
      <c r="GN33" s="133" t="n"/>
      <c r="GO33" s="134" t="n"/>
      <c r="GP33" s="133" t="n"/>
      <c r="GQ33" s="134" t="n"/>
      <c r="GR33" s="133" t="n"/>
      <c r="GS33" s="134" t="n"/>
      <c r="GT33" s="133" t="n"/>
      <c r="GU33" s="134" t="n"/>
      <c r="GV33" s="133" t="n"/>
      <c r="GW33" s="134" t="n"/>
      <c r="GX33" s="133" t="n"/>
      <c r="GY33" s="134" t="n"/>
      <c r="GZ33" s="133" t="n"/>
      <c r="HA33" s="134" t="n"/>
      <c r="HB33" s="194" t="n"/>
      <c r="HC33">
        <f>SUMIFS($G33:$HB33,$G$46:$HB$46,"&gt;="&amp;$HD$1,$G$46:$HB$46,"&lt;="&amp;$HD$2,$G$29:$HB$29,"&lt;&gt;ملاحظات",$G$28:$HB$28,"&gt;0")</f>
        <v>0</v>
      </c>
      <c r="HD33">
        <f>SUMIFS($G$28:$HB$28,$G$46:$HB$46,"&gt;="&amp;$HD$1,$G$46:$HB$46,"&lt;="&amp;$HD$2,$G$29:$HB$29,"&lt;&gt;ملاحظات",$G33:$HB33,"&gt;=0")</f>
        <v>0</v>
      </c>
    </row>
    <row r="34" ht="22.5" customHeight="1">
      <c r="A34" s="36" t="n">
        <v>5</v>
      </c>
      <c r="B34" s="181" t="str">
        <f>IF($B9="","",$B9)</f>
        <v/>
      </c>
      <c r="C34" s="136" t="str">
        <f>IF(OR($B34="",$HD34=0),"",ROUND($HC34,2)&amp;" / "&amp;$HD34)</f>
        <v/>
      </c>
      <c r="D34" s="182" t="str">
        <f>IF(OR($B34="",$HD34=0),"",$HC34/$HD34)</f>
        <v/>
      </c>
      <c r="E34" s="98" t="str">
        <f>IF($D34="","",RANK($D34,$D$30:$D$44))</f>
        <v/>
      </c>
      <c r="F34" s="99" t="str">
        <f>IF($D34="","",IF($D34&gt;=0.85,"ممتاز",IF($D34&gt;=0.75,"جيد جداً",IF($D34&gt;=0.65,"جيد",IF($D34&gt;=0.5,"مقبول","ضعيف")))))</f>
        <v/>
      </c>
      <c r="G34" s="100" t="n"/>
      <c r="H34" s="101" t="n"/>
      <c r="I34" s="100" t="n"/>
      <c r="J34" s="101" t="n"/>
      <c r="K34" s="100" t="n"/>
      <c r="L34" s="101" t="n"/>
      <c r="M34" s="100" t="n"/>
      <c r="N34" s="101" t="n"/>
      <c r="O34" s="100" t="n"/>
      <c r="P34" s="101" t="n"/>
      <c r="Q34" s="100" t="n"/>
      <c r="R34" s="101" t="n"/>
      <c r="S34" s="100" t="n"/>
      <c r="T34" s="101" t="n"/>
      <c r="U34" s="100" t="n"/>
      <c r="V34" s="101" t="n"/>
      <c r="W34" s="183" t="n"/>
      <c r="X34" s="103" t="n"/>
      <c r="Y34" s="104" t="n"/>
      <c r="Z34" s="103" t="n"/>
      <c r="AA34" s="104" t="n"/>
      <c r="AB34" s="103" t="n"/>
      <c r="AC34" s="104" t="n"/>
      <c r="AD34" s="103" t="n"/>
      <c r="AE34" s="104" t="n"/>
      <c r="AF34" s="103" t="n"/>
      <c r="AG34" s="104" t="n"/>
      <c r="AH34" s="103" t="n"/>
      <c r="AI34" s="104" t="n"/>
      <c r="AJ34" s="103" t="n"/>
      <c r="AK34" s="104" t="n"/>
      <c r="AL34" s="103" t="n"/>
      <c r="AM34" s="104" t="n"/>
      <c r="AN34" s="184" t="n"/>
      <c r="AO34" s="106" t="n"/>
      <c r="AP34" s="107" t="n"/>
      <c r="AQ34" s="106" t="n"/>
      <c r="AR34" s="107" t="n"/>
      <c r="AS34" s="106" t="n"/>
      <c r="AT34" s="107" t="n"/>
      <c r="AU34" s="106" t="n"/>
      <c r="AV34" s="107" t="n"/>
      <c r="AW34" s="106" t="n"/>
      <c r="AX34" s="107" t="n"/>
      <c r="AY34" s="106" t="n"/>
      <c r="AZ34" s="107" t="n"/>
      <c r="BA34" s="106" t="n"/>
      <c r="BB34" s="107" t="n"/>
      <c r="BC34" s="106" t="n"/>
      <c r="BD34" s="107" t="n"/>
      <c r="BE34" s="185" t="n"/>
      <c r="BF34" s="109" t="n"/>
      <c r="BG34" s="110" t="n"/>
      <c r="BH34" s="109" t="n"/>
      <c r="BI34" s="110" t="n"/>
      <c r="BJ34" s="109" t="n"/>
      <c r="BK34" s="110" t="n"/>
      <c r="BL34" s="109" t="n"/>
      <c r="BM34" s="110" t="n"/>
      <c r="BN34" s="109" t="n"/>
      <c r="BO34" s="110" t="n"/>
      <c r="BP34" s="109" t="n"/>
      <c r="BQ34" s="110" t="n"/>
      <c r="BR34" s="109" t="n"/>
      <c r="BS34" s="110" t="n"/>
      <c r="BT34" s="109" t="n"/>
      <c r="BU34" s="110" t="n"/>
      <c r="BV34" s="186" t="n"/>
      <c r="BW34" s="112" t="n"/>
      <c r="BX34" s="113" t="n"/>
      <c r="BY34" s="112" t="n"/>
      <c r="BZ34" s="113" t="n"/>
      <c r="CA34" s="112" t="n"/>
      <c r="CB34" s="113" t="n"/>
      <c r="CC34" s="112" t="n"/>
      <c r="CD34" s="113" t="n"/>
      <c r="CE34" s="112" t="n"/>
      <c r="CF34" s="113" t="n"/>
      <c r="CG34" s="112" t="n"/>
      <c r="CH34" s="113" t="n"/>
      <c r="CI34" s="112" t="n"/>
      <c r="CJ34" s="113" t="n"/>
      <c r="CK34" s="112" t="n"/>
      <c r="CL34" s="113" t="n"/>
      <c r="CM34" s="187" t="n"/>
      <c r="CN34" s="115" t="n"/>
      <c r="CO34" s="116" t="n"/>
      <c r="CP34" s="115" t="n"/>
      <c r="CQ34" s="116" t="n"/>
      <c r="CR34" s="115" t="n"/>
      <c r="CS34" s="116" t="n"/>
      <c r="CT34" s="115" t="n"/>
      <c r="CU34" s="116" t="n"/>
      <c r="CV34" s="115" t="n"/>
      <c r="CW34" s="116" t="n"/>
      <c r="CX34" s="115" t="n"/>
      <c r="CY34" s="116" t="n"/>
      <c r="CZ34" s="115" t="n"/>
      <c r="DA34" s="116" t="n"/>
      <c r="DB34" s="115" t="n"/>
      <c r="DC34" s="116" t="n"/>
      <c r="DD34" s="188" t="n"/>
      <c r="DE34" s="118" t="n"/>
      <c r="DF34" s="119" t="n"/>
      <c r="DG34" s="118" t="n"/>
      <c r="DH34" s="119" t="n"/>
      <c r="DI34" s="118" t="n"/>
      <c r="DJ34" s="119" t="n"/>
      <c r="DK34" s="118" t="n"/>
      <c r="DL34" s="119" t="n"/>
      <c r="DM34" s="118" t="n"/>
      <c r="DN34" s="119" t="n"/>
      <c r="DO34" s="118" t="n"/>
      <c r="DP34" s="119" t="n"/>
      <c r="DQ34" s="118" t="n"/>
      <c r="DR34" s="119" t="n"/>
      <c r="DS34" s="118" t="n"/>
      <c r="DT34" s="119" t="n"/>
      <c r="DU34" s="189" t="n"/>
      <c r="DV34" s="121" t="n"/>
      <c r="DW34" s="122" t="n"/>
      <c r="DX34" s="121" t="n"/>
      <c r="DY34" s="122" t="n"/>
      <c r="DZ34" s="121" t="n"/>
      <c r="EA34" s="122" t="n"/>
      <c r="EB34" s="121" t="n"/>
      <c r="EC34" s="122" t="n"/>
      <c r="ED34" s="121" t="n"/>
      <c r="EE34" s="122" t="n"/>
      <c r="EF34" s="121" t="n"/>
      <c r="EG34" s="122" t="n"/>
      <c r="EH34" s="121" t="n"/>
      <c r="EI34" s="122" t="n"/>
      <c r="EJ34" s="121" t="n"/>
      <c r="EK34" s="122" t="n"/>
      <c r="EL34" s="190" t="n"/>
      <c r="EM34" s="124" t="n"/>
      <c r="EN34" s="125" t="n"/>
      <c r="EO34" s="124" t="n"/>
      <c r="EP34" s="125" t="n"/>
      <c r="EQ34" s="124" t="n"/>
      <c r="ER34" s="125" t="n"/>
      <c r="ES34" s="124" t="n"/>
      <c r="ET34" s="125" t="n"/>
      <c r="EU34" s="124" t="n"/>
      <c r="EV34" s="125" t="n"/>
      <c r="EW34" s="124" t="n"/>
      <c r="EX34" s="125" t="n"/>
      <c r="EY34" s="124" t="n"/>
      <c r="EZ34" s="125" t="n"/>
      <c r="FA34" s="124" t="n"/>
      <c r="FB34" s="125" t="n"/>
      <c r="FC34" s="191" t="n"/>
      <c r="FD34" s="127" t="n"/>
      <c r="FE34" s="128" t="n"/>
      <c r="FF34" s="127" t="n"/>
      <c r="FG34" s="128" t="n"/>
      <c r="FH34" s="127" t="n"/>
      <c r="FI34" s="128" t="n"/>
      <c r="FJ34" s="127" t="n"/>
      <c r="FK34" s="128" t="n"/>
      <c r="FL34" s="127" t="n"/>
      <c r="FM34" s="128" t="n"/>
      <c r="FN34" s="127" t="n"/>
      <c r="FO34" s="128" t="n"/>
      <c r="FP34" s="127" t="n"/>
      <c r="FQ34" s="128" t="n"/>
      <c r="FR34" s="127" t="n"/>
      <c r="FS34" s="128" t="n"/>
      <c r="FT34" s="192" t="n"/>
      <c r="FU34" s="130" t="n"/>
      <c r="FV34" s="131" t="n"/>
      <c r="FW34" s="130" t="n"/>
      <c r="FX34" s="131" t="n"/>
      <c r="FY34" s="130" t="n"/>
      <c r="FZ34" s="131" t="n"/>
      <c r="GA34" s="130" t="n"/>
      <c r="GB34" s="131" t="n"/>
      <c r="GC34" s="130" t="n"/>
      <c r="GD34" s="131" t="n"/>
      <c r="GE34" s="130" t="n"/>
      <c r="GF34" s="131" t="n"/>
      <c r="GG34" s="130" t="n"/>
      <c r="GH34" s="131" t="n"/>
      <c r="GI34" s="130" t="n"/>
      <c r="GJ34" s="131" t="n"/>
      <c r="GK34" s="193" t="n"/>
      <c r="GL34" s="133" t="n"/>
      <c r="GM34" s="134" t="n"/>
      <c r="GN34" s="133" t="n"/>
      <c r="GO34" s="134" t="n"/>
      <c r="GP34" s="133" t="n"/>
      <c r="GQ34" s="134" t="n"/>
      <c r="GR34" s="133" t="n"/>
      <c r="GS34" s="134" t="n"/>
      <c r="GT34" s="133" t="n"/>
      <c r="GU34" s="134" t="n"/>
      <c r="GV34" s="133" t="n"/>
      <c r="GW34" s="134" t="n"/>
      <c r="GX34" s="133" t="n"/>
      <c r="GY34" s="134" t="n"/>
      <c r="GZ34" s="133" t="n"/>
      <c r="HA34" s="134" t="n"/>
      <c r="HB34" s="194" t="n"/>
      <c r="HC34">
        <f>SUMIFS($G34:$HB34,$G$46:$HB$46,"&gt;="&amp;$HD$1,$G$46:$HB$46,"&lt;="&amp;$HD$2,$G$29:$HB$29,"&lt;&gt;ملاحظات",$G$28:$HB$28,"&gt;0")</f>
        <v>0</v>
      </c>
      <c r="HD34">
        <f>SUMIFS($G$28:$HB$28,$G$46:$HB$46,"&gt;="&amp;$HD$1,$G$46:$HB$46,"&lt;="&amp;$HD$2,$G$29:$HB$29,"&lt;&gt;ملاحظات",$G34:$HB34,"&gt;=0")</f>
        <v>0</v>
      </c>
    </row>
    <row r="35" ht="22.5" customHeight="1">
      <c r="A35" s="36" t="n">
        <v>6</v>
      </c>
      <c r="B35" s="181" t="str">
        <f>IF($B10="","",$B10)</f>
        <v/>
      </c>
      <c r="C35" s="136" t="str">
        <f>IF(OR($B35="",$HD35=0),"",ROUND($HC35,2)&amp;" / "&amp;$HD35)</f>
        <v/>
      </c>
      <c r="D35" s="182" t="str">
        <f>IF(OR($B35="",$HD35=0),"",$HC35/$HD35)</f>
        <v/>
      </c>
      <c r="E35" s="98" t="str">
        <f>IF($D35="","",RANK($D35,$D$30:$D$44))</f>
        <v/>
      </c>
      <c r="F35" s="99" t="str">
        <f>IF($D35="","",IF($D35&gt;=0.85,"ممتاز",IF($D35&gt;=0.75,"جيد جداً",IF($D35&gt;=0.65,"جيد",IF($D35&gt;=0.5,"مقبول","ضعيف")))))</f>
        <v/>
      </c>
      <c r="G35" s="100" t="n"/>
      <c r="H35" s="101" t="n"/>
      <c r="I35" s="100" t="n"/>
      <c r="J35" s="101" t="n"/>
      <c r="K35" s="100" t="n"/>
      <c r="L35" s="101" t="n"/>
      <c r="M35" s="100" t="n"/>
      <c r="N35" s="101" t="n"/>
      <c r="O35" s="100" t="n"/>
      <c r="P35" s="101" t="n"/>
      <c r="Q35" s="100" t="n"/>
      <c r="R35" s="101" t="n"/>
      <c r="S35" s="100" t="n"/>
      <c r="T35" s="101" t="n"/>
      <c r="U35" s="100" t="n"/>
      <c r="V35" s="101" t="n"/>
      <c r="W35" s="183" t="n"/>
      <c r="X35" s="103" t="n"/>
      <c r="Y35" s="104" t="n"/>
      <c r="Z35" s="103" t="n"/>
      <c r="AA35" s="104" t="n"/>
      <c r="AB35" s="103" t="n"/>
      <c r="AC35" s="104" t="n"/>
      <c r="AD35" s="103" t="n"/>
      <c r="AE35" s="104" t="n"/>
      <c r="AF35" s="103" t="n"/>
      <c r="AG35" s="104" t="n"/>
      <c r="AH35" s="103" t="n"/>
      <c r="AI35" s="104" t="n"/>
      <c r="AJ35" s="103" t="n"/>
      <c r="AK35" s="104" t="n"/>
      <c r="AL35" s="103" t="n"/>
      <c r="AM35" s="104" t="n"/>
      <c r="AN35" s="184" t="n"/>
      <c r="AO35" s="106" t="n"/>
      <c r="AP35" s="107" t="n"/>
      <c r="AQ35" s="106" t="n"/>
      <c r="AR35" s="107" t="n"/>
      <c r="AS35" s="106" t="n"/>
      <c r="AT35" s="107" t="n"/>
      <c r="AU35" s="106" t="n"/>
      <c r="AV35" s="107" t="n"/>
      <c r="AW35" s="106" t="n"/>
      <c r="AX35" s="107" t="n"/>
      <c r="AY35" s="106" t="n"/>
      <c r="AZ35" s="107" t="n"/>
      <c r="BA35" s="106" t="n"/>
      <c r="BB35" s="107" t="n"/>
      <c r="BC35" s="106" t="n"/>
      <c r="BD35" s="107" t="n"/>
      <c r="BE35" s="185" t="n"/>
      <c r="BF35" s="109" t="n"/>
      <c r="BG35" s="110" t="n"/>
      <c r="BH35" s="109" t="n"/>
      <c r="BI35" s="110" t="n"/>
      <c r="BJ35" s="109" t="n"/>
      <c r="BK35" s="110" t="n"/>
      <c r="BL35" s="109" t="n"/>
      <c r="BM35" s="110" t="n"/>
      <c r="BN35" s="109" t="n"/>
      <c r="BO35" s="110" t="n"/>
      <c r="BP35" s="109" t="n"/>
      <c r="BQ35" s="110" t="n"/>
      <c r="BR35" s="109" t="n"/>
      <c r="BS35" s="110" t="n"/>
      <c r="BT35" s="109" t="n"/>
      <c r="BU35" s="110" t="n"/>
      <c r="BV35" s="186" t="n"/>
      <c r="BW35" s="112" t="n"/>
      <c r="BX35" s="113" t="n"/>
      <c r="BY35" s="112" t="n"/>
      <c r="BZ35" s="113" t="n"/>
      <c r="CA35" s="112" t="n"/>
      <c r="CB35" s="113" t="n"/>
      <c r="CC35" s="112" t="n"/>
      <c r="CD35" s="113" t="n"/>
      <c r="CE35" s="112" t="n"/>
      <c r="CF35" s="113" t="n"/>
      <c r="CG35" s="112" t="n"/>
      <c r="CH35" s="113" t="n"/>
      <c r="CI35" s="112" t="n"/>
      <c r="CJ35" s="113" t="n"/>
      <c r="CK35" s="112" t="n"/>
      <c r="CL35" s="113" t="n"/>
      <c r="CM35" s="187" t="n"/>
      <c r="CN35" s="115" t="n"/>
      <c r="CO35" s="116" t="n"/>
      <c r="CP35" s="115" t="n"/>
      <c r="CQ35" s="116" t="n"/>
      <c r="CR35" s="115" t="n"/>
      <c r="CS35" s="116" t="n"/>
      <c r="CT35" s="115" t="n"/>
      <c r="CU35" s="116" t="n"/>
      <c r="CV35" s="115" t="n"/>
      <c r="CW35" s="116" t="n"/>
      <c r="CX35" s="115" t="n"/>
      <c r="CY35" s="116" t="n"/>
      <c r="CZ35" s="115" t="n"/>
      <c r="DA35" s="116" t="n"/>
      <c r="DB35" s="115" t="n"/>
      <c r="DC35" s="116" t="n"/>
      <c r="DD35" s="188" t="n"/>
      <c r="DE35" s="118" t="n"/>
      <c r="DF35" s="119" t="n"/>
      <c r="DG35" s="118" t="n"/>
      <c r="DH35" s="119" t="n"/>
      <c r="DI35" s="118" t="n"/>
      <c r="DJ35" s="119" t="n"/>
      <c r="DK35" s="118" t="n"/>
      <c r="DL35" s="119" t="n"/>
      <c r="DM35" s="118" t="n"/>
      <c r="DN35" s="119" t="n"/>
      <c r="DO35" s="118" t="n"/>
      <c r="DP35" s="119" t="n"/>
      <c r="DQ35" s="118" t="n"/>
      <c r="DR35" s="119" t="n"/>
      <c r="DS35" s="118" t="n"/>
      <c r="DT35" s="119" t="n"/>
      <c r="DU35" s="189" t="n"/>
      <c r="DV35" s="121" t="n"/>
      <c r="DW35" s="122" t="n"/>
      <c r="DX35" s="121" t="n"/>
      <c r="DY35" s="122" t="n"/>
      <c r="DZ35" s="121" t="n"/>
      <c r="EA35" s="122" t="n"/>
      <c r="EB35" s="121" t="n"/>
      <c r="EC35" s="122" t="n"/>
      <c r="ED35" s="121" t="n"/>
      <c r="EE35" s="122" t="n"/>
      <c r="EF35" s="121" t="n"/>
      <c r="EG35" s="122" t="n"/>
      <c r="EH35" s="121" t="n"/>
      <c r="EI35" s="122" t="n"/>
      <c r="EJ35" s="121" t="n"/>
      <c r="EK35" s="122" t="n"/>
      <c r="EL35" s="190" t="n"/>
      <c r="EM35" s="124" t="n"/>
      <c r="EN35" s="125" t="n"/>
      <c r="EO35" s="124" t="n"/>
      <c r="EP35" s="125" t="n"/>
      <c r="EQ35" s="124" t="n"/>
      <c r="ER35" s="125" t="n"/>
      <c r="ES35" s="124" t="n"/>
      <c r="ET35" s="125" t="n"/>
      <c r="EU35" s="124" t="n"/>
      <c r="EV35" s="125" t="n"/>
      <c r="EW35" s="124" t="n"/>
      <c r="EX35" s="125" t="n"/>
      <c r="EY35" s="124" t="n"/>
      <c r="EZ35" s="125" t="n"/>
      <c r="FA35" s="124" t="n"/>
      <c r="FB35" s="125" t="n"/>
      <c r="FC35" s="191" t="n"/>
      <c r="FD35" s="127" t="n"/>
      <c r="FE35" s="128" t="n"/>
      <c r="FF35" s="127" t="n"/>
      <c r="FG35" s="128" t="n"/>
      <c r="FH35" s="127" t="n"/>
      <c r="FI35" s="128" t="n"/>
      <c r="FJ35" s="127" t="n"/>
      <c r="FK35" s="128" t="n"/>
      <c r="FL35" s="127" t="n"/>
      <c r="FM35" s="128" t="n"/>
      <c r="FN35" s="127" t="n"/>
      <c r="FO35" s="128" t="n"/>
      <c r="FP35" s="127" t="n"/>
      <c r="FQ35" s="128" t="n"/>
      <c r="FR35" s="127" t="n"/>
      <c r="FS35" s="128" t="n"/>
      <c r="FT35" s="192" t="n"/>
      <c r="FU35" s="130" t="n"/>
      <c r="FV35" s="131" t="n"/>
      <c r="FW35" s="130" t="n"/>
      <c r="FX35" s="131" t="n"/>
      <c r="FY35" s="130" t="n"/>
      <c r="FZ35" s="131" t="n"/>
      <c r="GA35" s="130" t="n"/>
      <c r="GB35" s="131" t="n"/>
      <c r="GC35" s="130" t="n"/>
      <c r="GD35" s="131" t="n"/>
      <c r="GE35" s="130" t="n"/>
      <c r="GF35" s="131" t="n"/>
      <c r="GG35" s="130" t="n"/>
      <c r="GH35" s="131" t="n"/>
      <c r="GI35" s="130" t="n"/>
      <c r="GJ35" s="131" t="n"/>
      <c r="GK35" s="193" t="n"/>
      <c r="GL35" s="133" t="n"/>
      <c r="GM35" s="134" t="n"/>
      <c r="GN35" s="133" t="n"/>
      <c r="GO35" s="134" t="n"/>
      <c r="GP35" s="133" t="n"/>
      <c r="GQ35" s="134" t="n"/>
      <c r="GR35" s="133" t="n"/>
      <c r="GS35" s="134" t="n"/>
      <c r="GT35" s="133" t="n"/>
      <c r="GU35" s="134" t="n"/>
      <c r="GV35" s="133" t="n"/>
      <c r="GW35" s="134" t="n"/>
      <c r="GX35" s="133" t="n"/>
      <c r="GY35" s="134" t="n"/>
      <c r="GZ35" s="133" t="n"/>
      <c r="HA35" s="134" t="n"/>
      <c r="HB35" s="194" t="n"/>
      <c r="HC35">
        <f>SUMIFS($G35:$HB35,$G$46:$HB$46,"&gt;="&amp;$HD$1,$G$46:$HB$46,"&lt;="&amp;$HD$2,$G$29:$HB$29,"&lt;&gt;ملاحظات",$G$28:$HB$28,"&gt;0")</f>
        <v>0</v>
      </c>
      <c r="HD35">
        <f>SUMIFS($G$28:$HB$28,$G$46:$HB$46,"&gt;="&amp;$HD$1,$G$46:$HB$46,"&lt;="&amp;$HD$2,$G$29:$HB$29,"&lt;&gt;ملاحظات",$G35:$HB35,"&gt;=0")</f>
        <v>0</v>
      </c>
    </row>
    <row r="36" ht="22.5" customHeight="1">
      <c r="A36" s="36" t="n">
        <v>7</v>
      </c>
      <c r="B36" s="181" t="str">
        <f>IF($B11="","",$B11)</f>
        <v/>
      </c>
      <c r="C36" s="136" t="str">
        <f>IF(OR($B36="",$HD36=0),"",ROUND($HC36,2)&amp;" / "&amp;$HD36)</f>
        <v/>
      </c>
      <c r="D36" s="182" t="str">
        <f>IF(OR($B36="",$HD36=0),"",$HC36/$HD36)</f>
        <v/>
      </c>
      <c r="E36" s="98" t="str">
        <f>IF($D36="","",RANK($D36,$D$30:$D$44))</f>
        <v/>
      </c>
      <c r="F36" s="99" t="str">
        <f>IF($D36="","",IF($D36&gt;=0.85,"ممتاز",IF($D36&gt;=0.75,"جيد جداً",IF($D36&gt;=0.65,"جيد",IF($D36&gt;=0.5,"مقبول","ضعيف")))))</f>
        <v/>
      </c>
      <c r="G36" s="100" t="n"/>
      <c r="H36" s="101" t="n"/>
      <c r="I36" s="100" t="n"/>
      <c r="J36" s="101" t="n"/>
      <c r="K36" s="100" t="n"/>
      <c r="L36" s="101" t="n"/>
      <c r="M36" s="100" t="n"/>
      <c r="N36" s="101" t="n"/>
      <c r="O36" s="100" t="n"/>
      <c r="P36" s="101" t="n"/>
      <c r="Q36" s="100" t="n"/>
      <c r="R36" s="101" t="n"/>
      <c r="S36" s="100" t="n"/>
      <c r="T36" s="101" t="n"/>
      <c r="U36" s="100" t="n"/>
      <c r="V36" s="101" t="n"/>
      <c r="W36" s="183" t="n"/>
      <c r="X36" s="103" t="n"/>
      <c r="Y36" s="104" t="n"/>
      <c r="Z36" s="103" t="n"/>
      <c r="AA36" s="104" t="n"/>
      <c r="AB36" s="103" t="n"/>
      <c r="AC36" s="104" t="n"/>
      <c r="AD36" s="103" t="n"/>
      <c r="AE36" s="104" t="n"/>
      <c r="AF36" s="103" t="n"/>
      <c r="AG36" s="104" t="n"/>
      <c r="AH36" s="103" t="n"/>
      <c r="AI36" s="104" t="n"/>
      <c r="AJ36" s="103" t="n"/>
      <c r="AK36" s="104" t="n"/>
      <c r="AL36" s="103" t="n"/>
      <c r="AM36" s="104" t="n"/>
      <c r="AN36" s="184" t="n"/>
      <c r="AO36" s="106" t="n"/>
      <c r="AP36" s="107" t="n"/>
      <c r="AQ36" s="106" t="n"/>
      <c r="AR36" s="107" t="n"/>
      <c r="AS36" s="106" t="n"/>
      <c r="AT36" s="107" t="n"/>
      <c r="AU36" s="106" t="n"/>
      <c r="AV36" s="107" t="n"/>
      <c r="AW36" s="106" t="n"/>
      <c r="AX36" s="107" t="n"/>
      <c r="AY36" s="106" t="n"/>
      <c r="AZ36" s="107" t="n"/>
      <c r="BA36" s="106" t="n"/>
      <c r="BB36" s="107" t="n"/>
      <c r="BC36" s="106" t="n"/>
      <c r="BD36" s="107" t="n"/>
      <c r="BE36" s="185" t="n"/>
      <c r="BF36" s="109" t="n"/>
      <c r="BG36" s="110" t="n"/>
      <c r="BH36" s="109" t="n"/>
      <c r="BI36" s="110" t="n"/>
      <c r="BJ36" s="109" t="n"/>
      <c r="BK36" s="110" t="n"/>
      <c r="BL36" s="109" t="n"/>
      <c r="BM36" s="110" t="n"/>
      <c r="BN36" s="109" t="n"/>
      <c r="BO36" s="110" t="n"/>
      <c r="BP36" s="109" t="n"/>
      <c r="BQ36" s="110" t="n"/>
      <c r="BR36" s="109" t="n"/>
      <c r="BS36" s="110" t="n"/>
      <c r="BT36" s="109" t="n"/>
      <c r="BU36" s="110" t="n"/>
      <c r="BV36" s="186" t="n"/>
      <c r="BW36" s="112" t="n"/>
      <c r="BX36" s="113" t="n"/>
      <c r="BY36" s="112" t="n"/>
      <c r="BZ36" s="113" t="n"/>
      <c r="CA36" s="112" t="n"/>
      <c r="CB36" s="113" t="n"/>
      <c r="CC36" s="112" t="n"/>
      <c r="CD36" s="113" t="n"/>
      <c r="CE36" s="112" t="n"/>
      <c r="CF36" s="113" t="n"/>
      <c r="CG36" s="112" t="n"/>
      <c r="CH36" s="113" t="n"/>
      <c r="CI36" s="112" t="n"/>
      <c r="CJ36" s="113" t="n"/>
      <c r="CK36" s="112" t="n"/>
      <c r="CL36" s="113" t="n"/>
      <c r="CM36" s="187" t="n"/>
      <c r="CN36" s="115" t="n"/>
      <c r="CO36" s="116" t="n"/>
      <c r="CP36" s="115" t="n"/>
      <c r="CQ36" s="116" t="n"/>
      <c r="CR36" s="115" t="n"/>
      <c r="CS36" s="116" t="n"/>
      <c r="CT36" s="115" t="n"/>
      <c r="CU36" s="116" t="n"/>
      <c r="CV36" s="115" t="n"/>
      <c r="CW36" s="116" t="n"/>
      <c r="CX36" s="115" t="n"/>
      <c r="CY36" s="116" t="n"/>
      <c r="CZ36" s="115" t="n"/>
      <c r="DA36" s="116" t="n"/>
      <c r="DB36" s="115" t="n"/>
      <c r="DC36" s="116" t="n"/>
      <c r="DD36" s="188" t="n"/>
      <c r="DE36" s="118" t="n"/>
      <c r="DF36" s="119" t="n"/>
      <c r="DG36" s="118" t="n"/>
      <c r="DH36" s="119" t="n"/>
      <c r="DI36" s="118" t="n"/>
      <c r="DJ36" s="119" t="n"/>
      <c r="DK36" s="118" t="n"/>
      <c r="DL36" s="119" t="n"/>
      <c r="DM36" s="118" t="n"/>
      <c r="DN36" s="119" t="n"/>
      <c r="DO36" s="118" t="n"/>
      <c r="DP36" s="119" t="n"/>
      <c r="DQ36" s="118" t="n"/>
      <c r="DR36" s="119" t="n"/>
      <c r="DS36" s="118" t="n"/>
      <c r="DT36" s="119" t="n"/>
      <c r="DU36" s="189" t="n"/>
      <c r="DV36" s="121" t="n"/>
      <c r="DW36" s="122" t="n"/>
      <c r="DX36" s="121" t="n"/>
      <c r="DY36" s="122" t="n"/>
      <c r="DZ36" s="121" t="n"/>
      <c r="EA36" s="122" t="n"/>
      <c r="EB36" s="121" t="n"/>
      <c r="EC36" s="122" t="n"/>
      <c r="ED36" s="121" t="n"/>
      <c r="EE36" s="122" t="n"/>
      <c r="EF36" s="121" t="n"/>
      <c r="EG36" s="122" t="n"/>
      <c r="EH36" s="121" t="n"/>
      <c r="EI36" s="122" t="n"/>
      <c r="EJ36" s="121" t="n"/>
      <c r="EK36" s="122" t="n"/>
      <c r="EL36" s="190" t="n"/>
      <c r="EM36" s="124" t="n"/>
      <c r="EN36" s="125" t="n"/>
      <c r="EO36" s="124" t="n"/>
      <c r="EP36" s="125" t="n"/>
      <c r="EQ36" s="124" t="n"/>
      <c r="ER36" s="125" t="n"/>
      <c r="ES36" s="124" t="n"/>
      <c r="ET36" s="125" t="n"/>
      <c r="EU36" s="124" t="n"/>
      <c r="EV36" s="125" t="n"/>
      <c r="EW36" s="124" t="n"/>
      <c r="EX36" s="125" t="n"/>
      <c r="EY36" s="124" t="n"/>
      <c r="EZ36" s="125" t="n"/>
      <c r="FA36" s="124" t="n"/>
      <c r="FB36" s="125" t="n"/>
      <c r="FC36" s="191" t="n"/>
      <c r="FD36" s="127" t="n"/>
      <c r="FE36" s="128" t="n"/>
      <c r="FF36" s="127" t="n"/>
      <c r="FG36" s="128" t="n"/>
      <c r="FH36" s="127" t="n"/>
      <c r="FI36" s="128" t="n"/>
      <c r="FJ36" s="127" t="n"/>
      <c r="FK36" s="128" t="n"/>
      <c r="FL36" s="127" t="n"/>
      <c r="FM36" s="128" t="n"/>
      <c r="FN36" s="127" t="n"/>
      <c r="FO36" s="128" t="n"/>
      <c r="FP36" s="127" t="n"/>
      <c r="FQ36" s="128" t="n"/>
      <c r="FR36" s="127" t="n"/>
      <c r="FS36" s="128" t="n"/>
      <c r="FT36" s="192" t="n"/>
      <c r="FU36" s="130" t="n"/>
      <c r="FV36" s="131" t="n"/>
      <c r="FW36" s="130" t="n"/>
      <c r="FX36" s="131" t="n"/>
      <c r="FY36" s="130" t="n"/>
      <c r="FZ36" s="131" t="n"/>
      <c r="GA36" s="130" t="n"/>
      <c r="GB36" s="131" t="n"/>
      <c r="GC36" s="130" t="n"/>
      <c r="GD36" s="131" t="n"/>
      <c r="GE36" s="130" t="n"/>
      <c r="GF36" s="131" t="n"/>
      <c r="GG36" s="130" t="n"/>
      <c r="GH36" s="131" t="n"/>
      <c r="GI36" s="130" t="n"/>
      <c r="GJ36" s="131" t="n"/>
      <c r="GK36" s="193" t="n"/>
      <c r="GL36" s="133" t="n"/>
      <c r="GM36" s="134" t="n"/>
      <c r="GN36" s="133" t="n"/>
      <c r="GO36" s="134" t="n"/>
      <c r="GP36" s="133" t="n"/>
      <c r="GQ36" s="134" t="n"/>
      <c r="GR36" s="133" t="n"/>
      <c r="GS36" s="134" t="n"/>
      <c r="GT36" s="133" t="n"/>
      <c r="GU36" s="134" t="n"/>
      <c r="GV36" s="133" t="n"/>
      <c r="GW36" s="134" t="n"/>
      <c r="GX36" s="133" t="n"/>
      <c r="GY36" s="134" t="n"/>
      <c r="GZ36" s="133" t="n"/>
      <c r="HA36" s="134" t="n"/>
      <c r="HB36" s="194" t="n"/>
      <c r="HC36">
        <f>SUMIFS($G36:$HB36,$G$46:$HB$46,"&gt;="&amp;$HD$1,$G$46:$HB$46,"&lt;="&amp;$HD$2,$G$29:$HB$29,"&lt;&gt;ملاحظات",$G$28:$HB$28,"&gt;0")</f>
        <v>0</v>
      </c>
      <c r="HD36">
        <f>SUMIFS($G$28:$HB$28,$G$46:$HB$46,"&gt;="&amp;$HD$1,$G$46:$HB$46,"&lt;="&amp;$HD$2,$G$29:$HB$29,"&lt;&gt;ملاحظات",$G36:$HB36,"&gt;=0")</f>
        <v>0</v>
      </c>
    </row>
    <row r="37" ht="22.5" customHeight="1">
      <c r="A37" s="36" t="n">
        <v>8</v>
      </c>
      <c r="B37" s="181" t="str">
        <f>IF($B12="","",$B12)</f>
        <v/>
      </c>
      <c r="C37" s="136" t="str">
        <f>IF(OR($B37="",$HD37=0),"",ROUND($HC37,2)&amp;" / "&amp;$HD37)</f>
        <v/>
      </c>
      <c r="D37" s="182" t="str">
        <f>IF(OR($B37="",$HD37=0),"",$HC37/$HD37)</f>
        <v/>
      </c>
      <c r="E37" s="98" t="str">
        <f>IF($D37="","",RANK($D37,$D$30:$D$44))</f>
        <v/>
      </c>
      <c r="F37" s="99" t="str">
        <f>IF($D37="","",IF($D37&gt;=0.85,"ممتاز",IF($D37&gt;=0.75,"جيد جداً",IF($D37&gt;=0.65,"جيد",IF($D37&gt;=0.5,"مقبول","ضعيف")))))</f>
        <v/>
      </c>
      <c r="G37" s="100" t="n"/>
      <c r="H37" s="101" t="n"/>
      <c r="I37" s="100" t="n"/>
      <c r="J37" s="101" t="n"/>
      <c r="K37" s="100" t="n"/>
      <c r="L37" s="101" t="n"/>
      <c r="M37" s="100" t="n"/>
      <c r="N37" s="101" t="n"/>
      <c r="O37" s="100" t="n"/>
      <c r="P37" s="101" t="n"/>
      <c r="Q37" s="100" t="n"/>
      <c r="R37" s="101" t="n"/>
      <c r="S37" s="100" t="n"/>
      <c r="T37" s="101" t="n"/>
      <c r="U37" s="100" t="n"/>
      <c r="V37" s="101" t="n"/>
      <c r="W37" s="183" t="n"/>
      <c r="X37" s="103" t="n"/>
      <c r="Y37" s="104" t="n"/>
      <c r="Z37" s="103" t="n"/>
      <c r="AA37" s="104" t="n"/>
      <c r="AB37" s="103" t="n"/>
      <c r="AC37" s="104" t="n"/>
      <c r="AD37" s="103" t="n"/>
      <c r="AE37" s="104" t="n"/>
      <c r="AF37" s="103" t="n"/>
      <c r="AG37" s="104" t="n"/>
      <c r="AH37" s="103" t="n"/>
      <c r="AI37" s="104" t="n"/>
      <c r="AJ37" s="103" t="n"/>
      <c r="AK37" s="104" t="n"/>
      <c r="AL37" s="103" t="n"/>
      <c r="AM37" s="104" t="n"/>
      <c r="AN37" s="184" t="n"/>
      <c r="AO37" s="106" t="n"/>
      <c r="AP37" s="107" t="n"/>
      <c r="AQ37" s="106" t="n"/>
      <c r="AR37" s="107" t="n"/>
      <c r="AS37" s="106" t="n"/>
      <c r="AT37" s="107" t="n"/>
      <c r="AU37" s="106" t="n"/>
      <c r="AV37" s="107" t="n"/>
      <c r="AW37" s="106" t="n"/>
      <c r="AX37" s="107" t="n"/>
      <c r="AY37" s="106" t="n"/>
      <c r="AZ37" s="107" t="n"/>
      <c r="BA37" s="106" t="n"/>
      <c r="BB37" s="107" t="n"/>
      <c r="BC37" s="106" t="n"/>
      <c r="BD37" s="107" t="n"/>
      <c r="BE37" s="185" t="n"/>
      <c r="BF37" s="109" t="n"/>
      <c r="BG37" s="110" t="n"/>
      <c r="BH37" s="109" t="n"/>
      <c r="BI37" s="110" t="n"/>
      <c r="BJ37" s="109" t="n"/>
      <c r="BK37" s="110" t="n"/>
      <c r="BL37" s="109" t="n"/>
      <c r="BM37" s="110" t="n"/>
      <c r="BN37" s="109" t="n"/>
      <c r="BO37" s="110" t="n"/>
      <c r="BP37" s="109" t="n"/>
      <c r="BQ37" s="110" t="n"/>
      <c r="BR37" s="109" t="n"/>
      <c r="BS37" s="110" t="n"/>
      <c r="BT37" s="109" t="n"/>
      <c r="BU37" s="110" t="n"/>
      <c r="BV37" s="186" t="n"/>
      <c r="BW37" s="112" t="n"/>
      <c r="BX37" s="113" t="n"/>
      <c r="BY37" s="112" t="n"/>
      <c r="BZ37" s="113" t="n"/>
      <c r="CA37" s="112" t="n"/>
      <c r="CB37" s="113" t="n"/>
      <c r="CC37" s="112" t="n"/>
      <c r="CD37" s="113" t="n"/>
      <c r="CE37" s="112" t="n"/>
      <c r="CF37" s="113" t="n"/>
      <c r="CG37" s="112" t="n"/>
      <c r="CH37" s="113" t="n"/>
      <c r="CI37" s="112" t="n"/>
      <c r="CJ37" s="113" t="n"/>
      <c r="CK37" s="112" t="n"/>
      <c r="CL37" s="113" t="n"/>
      <c r="CM37" s="187" t="n"/>
      <c r="CN37" s="115" t="n"/>
      <c r="CO37" s="116" t="n"/>
      <c r="CP37" s="115" t="n"/>
      <c r="CQ37" s="116" t="n"/>
      <c r="CR37" s="115" t="n"/>
      <c r="CS37" s="116" t="n"/>
      <c r="CT37" s="115" t="n"/>
      <c r="CU37" s="116" t="n"/>
      <c r="CV37" s="115" t="n"/>
      <c r="CW37" s="116" t="n"/>
      <c r="CX37" s="115" t="n"/>
      <c r="CY37" s="116" t="n"/>
      <c r="CZ37" s="115" t="n"/>
      <c r="DA37" s="116" t="n"/>
      <c r="DB37" s="115" t="n"/>
      <c r="DC37" s="116" t="n"/>
      <c r="DD37" s="188" t="n"/>
      <c r="DE37" s="118" t="n"/>
      <c r="DF37" s="119" t="n"/>
      <c r="DG37" s="118" t="n"/>
      <c r="DH37" s="119" t="n"/>
      <c r="DI37" s="118" t="n"/>
      <c r="DJ37" s="119" t="n"/>
      <c r="DK37" s="118" t="n"/>
      <c r="DL37" s="119" t="n"/>
      <c r="DM37" s="118" t="n"/>
      <c r="DN37" s="119" t="n"/>
      <c r="DO37" s="118" t="n"/>
      <c r="DP37" s="119" t="n"/>
      <c r="DQ37" s="118" t="n"/>
      <c r="DR37" s="119" t="n"/>
      <c r="DS37" s="118" t="n"/>
      <c r="DT37" s="119" t="n"/>
      <c r="DU37" s="189" t="n"/>
      <c r="DV37" s="121" t="n"/>
      <c r="DW37" s="122" t="n"/>
      <c r="DX37" s="121" t="n"/>
      <c r="DY37" s="122" t="n"/>
      <c r="DZ37" s="121" t="n"/>
      <c r="EA37" s="122" t="n"/>
      <c r="EB37" s="121" t="n"/>
      <c r="EC37" s="122" t="n"/>
      <c r="ED37" s="121" t="n"/>
      <c r="EE37" s="122" t="n"/>
      <c r="EF37" s="121" t="n"/>
      <c r="EG37" s="122" t="n"/>
      <c r="EH37" s="121" t="n"/>
      <c r="EI37" s="122" t="n"/>
      <c r="EJ37" s="121" t="n"/>
      <c r="EK37" s="122" t="n"/>
      <c r="EL37" s="190" t="n"/>
      <c r="EM37" s="124" t="n"/>
      <c r="EN37" s="125" t="n"/>
      <c r="EO37" s="124" t="n"/>
      <c r="EP37" s="125" t="n"/>
      <c r="EQ37" s="124" t="n"/>
      <c r="ER37" s="125" t="n"/>
      <c r="ES37" s="124" t="n"/>
      <c r="ET37" s="125" t="n"/>
      <c r="EU37" s="124" t="n"/>
      <c r="EV37" s="125" t="n"/>
      <c r="EW37" s="124" t="n"/>
      <c r="EX37" s="125" t="n"/>
      <c r="EY37" s="124" t="n"/>
      <c r="EZ37" s="125" t="n"/>
      <c r="FA37" s="124" t="n"/>
      <c r="FB37" s="125" t="n"/>
      <c r="FC37" s="191" t="n"/>
      <c r="FD37" s="127" t="n"/>
      <c r="FE37" s="128" t="n"/>
      <c r="FF37" s="127" t="n"/>
      <c r="FG37" s="128" t="n"/>
      <c r="FH37" s="127" t="n"/>
      <c r="FI37" s="128" t="n"/>
      <c r="FJ37" s="127" t="n"/>
      <c r="FK37" s="128" t="n"/>
      <c r="FL37" s="127" t="n"/>
      <c r="FM37" s="128" t="n"/>
      <c r="FN37" s="127" t="n"/>
      <c r="FO37" s="128" t="n"/>
      <c r="FP37" s="127" t="n"/>
      <c r="FQ37" s="128" t="n"/>
      <c r="FR37" s="127" t="n"/>
      <c r="FS37" s="128" t="n"/>
      <c r="FT37" s="192" t="n"/>
      <c r="FU37" s="130" t="n"/>
      <c r="FV37" s="131" t="n"/>
      <c r="FW37" s="130" t="n"/>
      <c r="FX37" s="131" t="n"/>
      <c r="FY37" s="130" t="n"/>
      <c r="FZ37" s="131" t="n"/>
      <c r="GA37" s="130" t="n"/>
      <c r="GB37" s="131" t="n"/>
      <c r="GC37" s="130" t="n"/>
      <c r="GD37" s="131" t="n"/>
      <c r="GE37" s="130" t="n"/>
      <c r="GF37" s="131" t="n"/>
      <c r="GG37" s="130" t="n"/>
      <c r="GH37" s="131" t="n"/>
      <c r="GI37" s="130" t="n"/>
      <c r="GJ37" s="131" t="n"/>
      <c r="GK37" s="193" t="n"/>
      <c r="GL37" s="133" t="n"/>
      <c r="GM37" s="134" t="n"/>
      <c r="GN37" s="133" t="n"/>
      <c r="GO37" s="134" t="n"/>
      <c r="GP37" s="133" t="n"/>
      <c r="GQ37" s="134" t="n"/>
      <c r="GR37" s="133" t="n"/>
      <c r="GS37" s="134" t="n"/>
      <c r="GT37" s="133" t="n"/>
      <c r="GU37" s="134" t="n"/>
      <c r="GV37" s="133" t="n"/>
      <c r="GW37" s="134" t="n"/>
      <c r="GX37" s="133" t="n"/>
      <c r="GY37" s="134" t="n"/>
      <c r="GZ37" s="133" t="n"/>
      <c r="HA37" s="134" t="n"/>
      <c r="HB37" s="194" t="n"/>
      <c r="HC37">
        <f>SUMIFS($G37:$HB37,$G$46:$HB$46,"&gt;="&amp;$HD$1,$G$46:$HB$46,"&lt;="&amp;$HD$2,$G$29:$HB$29,"&lt;&gt;ملاحظات",$G$28:$HB$28,"&gt;0")</f>
        <v>0</v>
      </c>
      <c r="HD37">
        <f>SUMIFS($G$28:$HB$28,$G$46:$HB$46,"&gt;="&amp;$HD$1,$G$46:$HB$46,"&lt;="&amp;$HD$2,$G$29:$HB$29,"&lt;&gt;ملاحظات",$G37:$HB37,"&gt;=0")</f>
        <v>0</v>
      </c>
    </row>
    <row r="38" ht="22.5" customHeight="1">
      <c r="A38" s="36" t="n">
        <v>9</v>
      </c>
      <c r="B38" s="181" t="str">
        <f>IF($B13="","",$B13)</f>
        <v/>
      </c>
      <c r="C38" s="136" t="str">
        <f>IF(OR($B38="",$HD38=0),"",ROUND($HC38,2)&amp;" / "&amp;$HD38)</f>
        <v/>
      </c>
      <c r="D38" s="182" t="str">
        <f>IF(OR($B38="",$HD38=0),"",$HC38/$HD38)</f>
        <v/>
      </c>
      <c r="E38" s="98" t="str">
        <f>IF($D38="","",RANK($D38,$D$30:$D$44))</f>
        <v/>
      </c>
      <c r="F38" s="99" t="str">
        <f>IF($D38="","",IF($D38&gt;=0.85,"ممتاز",IF($D38&gt;=0.75,"جيد جداً",IF($D38&gt;=0.65,"جيد",IF($D38&gt;=0.5,"مقبول","ضعيف")))))</f>
        <v/>
      </c>
      <c r="G38" s="100" t="n"/>
      <c r="H38" s="101" t="n"/>
      <c r="I38" s="100" t="n"/>
      <c r="J38" s="101" t="n"/>
      <c r="K38" s="100" t="n"/>
      <c r="L38" s="101" t="n"/>
      <c r="M38" s="100" t="n"/>
      <c r="N38" s="101" t="n"/>
      <c r="O38" s="100" t="n"/>
      <c r="P38" s="101" t="n"/>
      <c r="Q38" s="100" t="n"/>
      <c r="R38" s="101" t="n"/>
      <c r="S38" s="100" t="n"/>
      <c r="T38" s="101" t="n"/>
      <c r="U38" s="100" t="n"/>
      <c r="V38" s="101" t="n"/>
      <c r="W38" s="183" t="n"/>
      <c r="X38" s="103" t="n"/>
      <c r="Y38" s="104" t="n"/>
      <c r="Z38" s="103" t="n"/>
      <c r="AA38" s="104" t="n"/>
      <c r="AB38" s="103" t="n"/>
      <c r="AC38" s="104" t="n"/>
      <c r="AD38" s="103" t="n"/>
      <c r="AE38" s="104" t="n"/>
      <c r="AF38" s="103" t="n"/>
      <c r="AG38" s="104" t="n"/>
      <c r="AH38" s="103" t="n"/>
      <c r="AI38" s="104" t="n"/>
      <c r="AJ38" s="103" t="n"/>
      <c r="AK38" s="104" t="n"/>
      <c r="AL38" s="103" t="n"/>
      <c r="AM38" s="104" t="n"/>
      <c r="AN38" s="184" t="n"/>
      <c r="AO38" s="106" t="n"/>
      <c r="AP38" s="107" t="n"/>
      <c r="AQ38" s="106" t="n"/>
      <c r="AR38" s="107" t="n"/>
      <c r="AS38" s="106" t="n"/>
      <c r="AT38" s="107" t="n"/>
      <c r="AU38" s="106" t="n"/>
      <c r="AV38" s="107" t="n"/>
      <c r="AW38" s="106" t="n"/>
      <c r="AX38" s="107" t="n"/>
      <c r="AY38" s="106" t="n"/>
      <c r="AZ38" s="107" t="n"/>
      <c r="BA38" s="106" t="n"/>
      <c r="BB38" s="107" t="n"/>
      <c r="BC38" s="106" t="n"/>
      <c r="BD38" s="107" t="n"/>
      <c r="BE38" s="185" t="n"/>
      <c r="BF38" s="109" t="n"/>
      <c r="BG38" s="110" t="n"/>
      <c r="BH38" s="109" t="n"/>
      <c r="BI38" s="110" t="n"/>
      <c r="BJ38" s="109" t="n"/>
      <c r="BK38" s="110" t="n"/>
      <c r="BL38" s="109" t="n"/>
      <c r="BM38" s="110" t="n"/>
      <c r="BN38" s="109" t="n"/>
      <c r="BO38" s="110" t="n"/>
      <c r="BP38" s="109" t="n"/>
      <c r="BQ38" s="110" t="n"/>
      <c r="BR38" s="109" t="n"/>
      <c r="BS38" s="110" t="n"/>
      <c r="BT38" s="109" t="n"/>
      <c r="BU38" s="110" t="n"/>
      <c r="BV38" s="186" t="n"/>
      <c r="BW38" s="112" t="n"/>
      <c r="BX38" s="113" t="n"/>
      <c r="BY38" s="112" t="n"/>
      <c r="BZ38" s="113" t="n"/>
      <c r="CA38" s="112" t="n"/>
      <c r="CB38" s="113" t="n"/>
      <c r="CC38" s="112" t="n"/>
      <c r="CD38" s="113" t="n"/>
      <c r="CE38" s="112" t="n"/>
      <c r="CF38" s="113" t="n"/>
      <c r="CG38" s="112" t="n"/>
      <c r="CH38" s="113" t="n"/>
      <c r="CI38" s="112" t="n"/>
      <c r="CJ38" s="113" t="n"/>
      <c r="CK38" s="112" t="n"/>
      <c r="CL38" s="113" t="n"/>
      <c r="CM38" s="187" t="n"/>
      <c r="CN38" s="115" t="n"/>
      <c r="CO38" s="116" t="n"/>
      <c r="CP38" s="115" t="n"/>
      <c r="CQ38" s="116" t="n"/>
      <c r="CR38" s="115" t="n"/>
      <c r="CS38" s="116" t="n"/>
      <c r="CT38" s="115" t="n"/>
      <c r="CU38" s="116" t="n"/>
      <c r="CV38" s="115" t="n"/>
      <c r="CW38" s="116" t="n"/>
      <c r="CX38" s="115" t="n"/>
      <c r="CY38" s="116" t="n"/>
      <c r="CZ38" s="115" t="n"/>
      <c r="DA38" s="116" t="n"/>
      <c r="DB38" s="115" t="n"/>
      <c r="DC38" s="116" t="n"/>
      <c r="DD38" s="188" t="n"/>
      <c r="DE38" s="118" t="n"/>
      <c r="DF38" s="119" t="n"/>
      <c r="DG38" s="118" t="n"/>
      <c r="DH38" s="119" t="n"/>
      <c r="DI38" s="118" t="n"/>
      <c r="DJ38" s="119" t="n"/>
      <c r="DK38" s="118" t="n"/>
      <c r="DL38" s="119" t="n"/>
      <c r="DM38" s="118" t="n"/>
      <c r="DN38" s="119" t="n"/>
      <c r="DO38" s="118" t="n"/>
      <c r="DP38" s="119" t="n"/>
      <c r="DQ38" s="118" t="n"/>
      <c r="DR38" s="119" t="n"/>
      <c r="DS38" s="118" t="n"/>
      <c r="DT38" s="119" t="n"/>
      <c r="DU38" s="189" t="n"/>
      <c r="DV38" s="121" t="n"/>
      <c r="DW38" s="122" t="n"/>
      <c r="DX38" s="121" t="n"/>
      <c r="DY38" s="122" t="n"/>
      <c r="DZ38" s="121" t="n"/>
      <c r="EA38" s="122" t="n"/>
      <c r="EB38" s="121" t="n"/>
      <c r="EC38" s="122" t="n"/>
      <c r="ED38" s="121" t="n"/>
      <c r="EE38" s="122" t="n"/>
      <c r="EF38" s="121" t="n"/>
      <c r="EG38" s="122" t="n"/>
      <c r="EH38" s="121" t="n"/>
      <c r="EI38" s="122" t="n"/>
      <c r="EJ38" s="121" t="n"/>
      <c r="EK38" s="122" t="n"/>
      <c r="EL38" s="190" t="n"/>
      <c r="EM38" s="124" t="n"/>
      <c r="EN38" s="125" t="n"/>
      <c r="EO38" s="124" t="n"/>
      <c r="EP38" s="125" t="n"/>
      <c r="EQ38" s="124" t="n"/>
      <c r="ER38" s="125" t="n"/>
      <c r="ES38" s="124" t="n"/>
      <c r="ET38" s="125" t="n"/>
      <c r="EU38" s="124" t="n"/>
      <c r="EV38" s="125" t="n"/>
      <c r="EW38" s="124" t="n"/>
      <c r="EX38" s="125" t="n"/>
      <c r="EY38" s="124" t="n"/>
      <c r="EZ38" s="125" t="n"/>
      <c r="FA38" s="124" t="n"/>
      <c r="FB38" s="125" t="n"/>
      <c r="FC38" s="191" t="n"/>
      <c r="FD38" s="127" t="n"/>
      <c r="FE38" s="128" t="n"/>
      <c r="FF38" s="127" t="n"/>
      <c r="FG38" s="128" t="n"/>
      <c r="FH38" s="127" t="n"/>
      <c r="FI38" s="128" t="n"/>
      <c r="FJ38" s="127" t="n"/>
      <c r="FK38" s="128" t="n"/>
      <c r="FL38" s="127" t="n"/>
      <c r="FM38" s="128" t="n"/>
      <c r="FN38" s="127" t="n"/>
      <c r="FO38" s="128" t="n"/>
      <c r="FP38" s="127" t="n"/>
      <c r="FQ38" s="128" t="n"/>
      <c r="FR38" s="127" t="n"/>
      <c r="FS38" s="128" t="n"/>
      <c r="FT38" s="192" t="n"/>
      <c r="FU38" s="130" t="n"/>
      <c r="FV38" s="131" t="n"/>
      <c r="FW38" s="130" t="n"/>
      <c r="FX38" s="131" t="n"/>
      <c r="FY38" s="130" t="n"/>
      <c r="FZ38" s="131" t="n"/>
      <c r="GA38" s="130" t="n"/>
      <c r="GB38" s="131" t="n"/>
      <c r="GC38" s="130" t="n"/>
      <c r="GD38" s="131" t="n"/>
      <c r="GE38" s="130" t="n"/>
      <c r="GF38" s="131" t="n"/>
      <c r="GG38" s="130" t="n"/>
      <c r="GH38" s="131" t="n"/>
      <c r="GI38" s="130" t="n"/>
      <c r="GJ38" s="131" t="n"/>
      <c r="GK38" s="193" t="n"/>
      <c r="GL38" s="133" t="n"/>
      <c r="GM38" s="134" t="n"/>
      <c r="GN38" s="133" t="n"/>
      <c r="GO38" s="134" t="n"/>
      <c r="GP38" s="133" t="n"/>
      <c r="GQ38" s="134" t="n"/>
      <c r="GR38" s="133" t="n"/>
      <c r="GS38" s="134" t="n"/>
      <c r="GT38" s="133" t="n"/>
      <c r="GU38" s="134" t="n"/>
      <c r="GV38" s="133" t="n"/>
      <c r="GW38" s="134" t="n"/>
      <c r="GX38" s="133" t="n"/>
      <c r="GY38" s="134" t="n"/>
      <c r="GZ38" s="133" t="n"/>
      <c r="HA38" s="134" t="n"/>
      <c r="HB38" s="194" t="n"/>
      <c r="HC38">
        <f>SUMIFS($G38:$HB38,$G$46:$HB$46,"&gt;="&amp;$HD$1,$G$46:$HB$46,"&lt;="&amp;$HD$2,$G$29:$HB$29,"&lt;&gt;ملاحظات",$G$28:$HB$28,"&gt;0")</f>
        <v>0</v>
      </c>
      <c r="HD38">
        <f>SUMIFS($G$28:$HB$28,$G$46:$HB$46,"&gt;="&amp;$HD$1,$G$46:$HB$46,"&lt;="&amp;$HD$2,$G$29:$HB$29,"&lt;&gt;ملاحظات",$G38:$HB38,"&gt;=0")</f>
        <v>0</v>
      </c>
    </row>
    <row r="39" ht="22.5" customHeight="1">
      <c r="A39" s="36" t="n">
        <v>10</v>
      </c>
      <c r="B39" s="181" t="str">
        <f>IF($B14="","",$B14)</f>
        <v/>
      </c>
      <c r="C39" s="136" t="str">
        <f>IF(OR($B39="",$HD39=0),"",ROUND($HC39,2)&amp;" / "&amp;$HD39)</f>
        <v/>
      </c>
      <c r="D39" s="182" t="str">
        <f>IF(OR($B39="",$HD39=0),"",$HC39/$HD39)</f>
        <v/>
      </c>
      <c r="E39" s="98" t="str">
        <f>IF($D39="","",RANK($D39,$D$30:$D$44))</f>
        <v/>
      </c>
      <c r="F39" s="99" t="str">
        <f>IF($D39="","",IF($D39&gt;=0.85,"ممتاز",IF($D39&gt;=0.75,"جيد جداً",IF($D39&gt;=0.65,"جيد",IF($D39&gt;=0.5,"مقبول","ضعيف")))))</f>
        <v/>
      </c>
      <c r="G39" s="100" t="n"/>
      <c r="H39" s="101" t="n"/>
      <c r="I39" s="100" t="n"/>
      <c r="J39" s="101" t="n"/>
      <c r="K39" s="100" t="n"/>
      <c r="L39" s="101" t="n"/>
      <c r="M39" s="100" t="n"/>
      <c r="N39" s="101" t="n"/>
      <c r="O39" s="100" t="n"/>
      <c r="P39" s="101" t="n"/>
      <c r="Q39" s="100" t="n"/>
      <c r="R39" s="101" t="n"/>
      <c r="S39" s="100" t="n"/>
      <c r="T39" s="101" t="n"/>
      <c r="U39" s="100" t="n"/>
      <c r="V39" s="101" t="n"/>
      <c r="W39" s="183" t="n"/>
      <c r="X39" s="103" t="n"/>
      <c r="Y39" s="104" t="n"/>
      <c r="Z39" s="103" t="n"/>
      <c r="AA39" s="104" t="n"/>
      <c r="AB39" s="103" t="n"/>
      <c r="AC39" s="104" t="n"/>
      <c r="AD39" s="103" t="n"/>
      <c r="AE39" s="104" t="n"/>
      <c r="AF39" s="103" t="n"/>
      <c r="AG39" s="104" t="n"/>
      <c r="AH39" s="103" t="n"/>
      <c r="AI39" s="104" t="n"/>
      <c r="AJ39" s="103" t="n"/>
      <c r="AK39" s="104" t="n"/>
      <c r="AL39" s="103" t="n"/>
      <c r="AM39" s="104" t="n"/>
      <c r="AN39" s="184" t="n"/>
      <c r="AO39" s="106" t="n"/>
      <c r="AP39" s="107" t="n"/>
      <c r="AQ39" s="106" t="n"/>
      <c r="AR39" s="107" t="n"/>
      <c r="AS39" s="106" t="n"/>
      <c r="AT39" s="107" t="n"/>
      <c r="AU39" s="106" t="n"/>
      <c r="AV39" s="107" t="n"/>
      <c r="AW39" s="106" t="n"/>
      <c r="AX39" s="107" t="n"/>
      <c r="AY39" s="106" t="n"/>
      <c r="AZ39" s="107" t="n"/>
      <c r="BA39" s="106" t="n"/>
      <c r="BB39" s="107" t="n"/>
      <c r="BC39" s="106" t="n"/>
      <c r="BD39" s="107" t="n"/>
      <c r="BE39" s="185" t="n"/>
      <c r="BF39" s="109" t="n"/>
      <c r="BG39" s="110" t="n"/>
      <c r="BH39" s="109" t="n"/>
      <c r="BI39" s="110" t="n"/>
      <c r="BJ39" s="109" t="n"/>
      <c r="BK39" s="110" t="n"/>
      <c r="BL39" s="109" t="n"/>
      <c r="BM39" s="110" t="n"/>
      <c r="BN39" s="109" t="n"/>
      <c r="BO39" s="110" t="n"/>
      <c r="BP39" s="109" t="n"/>
      <c r="BQ39" s="110" t="n"/>
      <c r="BR39" s="109" t="n"/>
      <c r="BS39" s="110" t="n"/>
      <c r="BT39" s="109" t="n"/>
      <c r="BU39" s="110" t="n"/>
      <c r="BV39" s="186" t="n"/>
      <c r="BW39" s="112" t="n"/>
      <c r="BX39" s="113" t="n"/>
      <c r="BY39" s="112" t="n"/>
      <c r="BZ39" s="113" t="n"/>
      <c r="CA39" s="112" t="n"/>
      <c r="CB39" s="113" t="n"/>
      <c r="CC39" s="112" t="n"/>
      <c r="CD39" s="113" t="n"/>
      <c r="CE39" s="112" t="n"/>
      <c r="CF39" s="113" t="n"/>
      <c r="CG39" s="112" t="n"/>
      <c r="CH39" s="113" t="n"/>
      <c r="CI39" s="112" t="n"/>
      <c r="CJ39" s="113" t="n"/>
      <c r="CK39" s="112" t="n"/>
      <c r="CL39" s="113" t="n"/>
      <c r="CM39" s="187" t="n"/>
      <c r="CN39" s="115" t="n"/>
      <c r="CO39" s="116" t="n"/>
      <c r="CP39" s="115" t="n"/>
      <c r="CQ39" s="116" t="n"/>
      <c r="CR39" s="115" t="n"/>
      <c r="CS39" s="116" t="n"/>
      <c r="CT39" s="115" t="n"/>
      <c r="CU39" s="116" t="n"/>
      <c r="CV39" s="115" t="n"/>
      <c r="CW39" s="116" t="n"/>
      <c r="CX39" s="115" t="n"/>
      <c r="CY39" s="116" t="n"/>
      <c r="CZ39" s="115" t="n"/>
      <c r="DA39" s="116" t="n"/>
      <c r="DB39" s="115" t="n"/>
      <c r="DC39" s="116" t="n"/>
      <c r="DD39" s="188" t="n"/>
      <c r="DE39" s="118" t="n"/>
      <c r="DF39" s="119" t="n"/>
      <c r="DG39" s="118" t="n"/>
      <c r="DH39" s="119" t="n"/>
      <c r="DI39" s="118" t="n"/>
      <c r="DJ39" s="119" t="n"/>
      <c r="DK39" s="118" t="n"/>
      <c r="DL39" s="119" t="n"/>
      <c r="DM39" s="118" t="n"/>
      <c r="DN39" s="119" t="n"/>
      <c r="DO39" s="118" t="n"/>
      <c r="DP39" s="119" t="n"/>
      <c r="DQ39" s="118" t="n"/>
      <c r="DR39" s="119" t="n"/>
      <c r="DS39" s="118" t="n"/>
      <c r="DT39" s="119" t="n"/>
      <c r="DU39" s="189" t="n"/>
      <c r="DV39" s="121" t="n"/>
      <c r="DW39" s="122" t="n"/>
      <c r="DX39" s="121" t="n"/>
      <c r="DY39" s="122" t="n"/>
      <c r="DZ39" s="121" t="n"/>
      <c r="EA39" s="122" t="n"/>
      <c r="EB39" s="121" t="n"/>
      <c r="EC39" s="122" t="n"/>
      <c r="ED39" s="121" t="n"/>
      <c r="EE39" s="122" t="n"/>
      <c r="EF39" s="121" t="n"/>
      <c r="EG39" s="122" t="n"/>
      <c r="EH39" s="121" t="n"/>
      <c r="EI39" s="122" t="n"/>
      <c r="EJ39" s="121" t="n"/>
      <c r="EK39" s="122" t="n"/>
      <c r="EL39" s="190" t="n"/>
      <c r="EM39" s="124" t="n"/>
      <c r="EN39" s="125" t="n"/>
      <c r="EO39" s="124" t="n"/>
      <c r="EP39" s="125" t="n"/>
      <c r="EQ39" s="124" t="n"/>
      <c r="ER39" s="125" t="n"/>
      <c r="ES39" s="124" t="n"/>
      <c r="ET39" s="125" t="n"/>
      <c r="EU39" s="124" t="n"/>
      <c r="EV39" s="125" t="n"/>
      <c r="EW39" s="124" t="n"/>
      <c r="EX39" s="125" t="n"/>
      <c r="EY39" s="124" t="n"/>
      <c r="EZ39" s="125" t="n"/>
      <c r="FA39" s="124" t="n"/>
      <c r="FB39" s="125" t="n"/>
      <c r="FC39" s="191" t="n"/>
      <c r="FD39" s="127" t="n"/>
      <c r="FE39" s="128" t="n"/>
      <c r="FF39" s="127" t="n"/>
      <c r="FG39" s="128" t="n"/>
      <c r="FH39" s="127" t="n"/>
      <c r="FI39" s="128" t="n"/>
      <c r="FJ39" s="127" t="n"/>
      <c r="FK39" s="128" t="n"/>
      <c r="FL39" s="127" t="n"/>
      <c r="FM39" s="128" t="n"/>
      <c r="FN39" s="127" t="n"/>
      <c r="FO39" s="128" t="n"/>
      <c r="FP39" s="127" t="n"/>
      <c r="FQ39" s="128" t="n"/>
      <c r="FR39" s="127" t="n"/>
      <c r="FS39" s="128" t="n"/>
      <c r="FT39" s="192" t="n"/>
      <c r="FU39" s="130" t="n"/>
      <c r="FV39" s="131" t="n"/>
      <c r="FW39" s="130" t="n"/>
      <c r="FX39" s="131" t="n"/>
      <c r="FY39" s="130" t="n"/>
      <c r="FZ39" s="131" t="n"/>
      <c r="GA39" s="130" t="n"/>
      <c r="GB39" s="131" t="n"/>
      <c r="GC39" s="130" t="n"/>
      <c r="GD39" s="131" t="n"/>
      <c r="GE39" s="130" t="n"/>
      <c r="GF39" s="131" t="n"/>
      <c r="GG39" s="130" t="n"/>
      <c r="GH39" s="131" t="n"/>
      <c r="GI39" s="130" t="n"/>
      <c r="GJ39" s="131" t="n"/>
      <c r="GK39" s="193" t="n"/>
      <c r="GL39" s="133" t="n"/>
      <c r="GM39" s="134" t="n"/>
      <c r="GN39" s="133" t="n"/>
      <c r="GO39" s="134" t="n"/>
      <c r="GP39" s="133" t="n"/>
      <c r="GQ39" s="134" t="n"/>
      <c r="GR39" s="133" t="n"/>
      <c r="GS39" s="134" t="n"/>
      <c r="GT39" s="133" t="n"/>
      <c r="GU39" s="134" t="n"/>
      <c r="GV39" s="133" t="n"/>
      <c r="GW39" s="134" t="n"/>
      <c r="GX39" s="133" t="n"/>
      <c r="GY39" s="134" t="n"/>
      <c r="GZ39" s="133" t="n"/>
      <c r="HA39" s="134" t="n"/>
      <c r="HB39" s="194" t="n"/>
      <c r="HC39">
        <f>SUMIFS($G39:$HB39,$G$46:$HB$46,"&gt;="&amp;$HD$1,$G$46:$HB$46,"&lt;="&amp;$HD$2,$G$29:$HB$29,"&lt;&gt;ملاحظات",$G$28:$HB$28,"&gt;0")</f>
        <v>0</v>
      </c>
      <c r="HD39">
        <f>SUMIFS($G$28:$HB$28,$G$46:$HB$46,"&gt;="&amp;$HD$1,$G$46:$HB$46,"&lt;="&amp;$HD$2,$G$29:$HB$29,"&lt;&gt;ملاحظات",$G39:$HB39,"&gt;=0")</f>
        <v>0</v>
      </c>
    </row>
    <row r="40" ht="22.5" customHeight="1">
      <c r="A40" s="36" t="n">
        <v>11</v>
      </c>
      <c r="B40" s="181" t="str">
        <f>IF($B15="","",$B15)</f>
        <v/>
      </c>
      <c r="C40" s="136" t="str">
        <f>IF(OR($B40="",$HD40=0),"",ROUND($HC40,2)&amp;" / "&amp;$HD40)</f>
        <v/>
      </c>
      <c r="D40" s="182" t="str">
        <f>IF(OR($B40="",$HD40=0),"",$HC40/$HD40)</f>
        <v/>
      </c>
      <c r="E40" s="98" t="str">
        <f>IF($D40="","",RANK($D40,$D$30:$D$44))</f>
        <v/>
      </c>
      <c r="F40" s="99" t="str">
        <f>IF($D40="","",IF($D40&gt;=0.85,"ممتاز",IF($D40&gt;=0.75,"جيد جداً",IF($D40&gt;=0.65,"جيد",IF($D40&gt;=0.5,"مقبول","ضعيف")))))</f>
        <v/>
      </c>
      <c r="G40" s="100" t="n"/>
      <c r="H40" s="101" t="n"/>
      <c r="I40" s="100" t="n"/>
      <c r="J40" s="101" t="n"/>
      <c r="K40" s="100" t="n"/>
      <c r="L40" s="101" t="n"/>
      <c r="M40" s="100" t="n"/>
      <c r="N40" s="101" t="n"/>
      <c r="O40" s="100" t="n"/>
      <c r="P40" s="101" t="n"/>
      <c r="Q40" s="100" t="n"/>
      <c r="R40" s="101" t="n"/>
      <c r="S40" s="100" t="n"/>
      <c r="T40" s="101" t="n"/>
      <c r="U40" s="100" t="n"/>
      <c r="V40" s="101" t="n"/>
      <c r="W40" s="183" t="n"/>
      <c r="X40" s="103" t="n"/>
      <c r="Y40" s="104" t="n"/>
      <c r="Z40" s="103" t="n"/>
      <c r="AA40" s="104" t="n"/>
      <c r="AB40" s="103" t="n"/>
      <c r="AC40" s="104" t="n"/>
      <c r="AD40" s="103" t="n"/>
      <c r="AE40" s="104" t="n"/>
      <c r="AF40" s="103" t="n"/>
      <c r="AG40" s="104" t="n"/>
      <c r="AH40" s="103" t="n"/>
      <c r="AI40" s="104" t="n"/>
      <c r="AJ40" s="103" t="n"/>
      <c r="AK40" s="104" t="n"/>
      <c r="AL40" s="103" t="n"/>
      <c r="AM40" s="104" t="n"/>
      <c r="AN40" s="184" t="n"/>
      <c r="AO40" s="106" t="n"/>
      <c r="AP40" s="107" t="n"/>
      <c r="AQ40" s="106" t="n"/>
      <c r="AR40" s="107" t="n"/>
      <c r="AS40" s="106" t="n"/>
      <c r="AT40" s="107" t="n"/>
      <c r="AU40" s="106" t="n"/>
      <c r="AV40" s="107" t="n"/>
      <c r="AW40" s="106" t="n"/>
      <c r="AX40" s="107" t="n"/>
      <c r="AY40" s="106" t="n"/>
      <c r="AZ40" s="107" t="n"/>
      <c r="BA40" s="106" t="n"/>
      <c r="BB40" s="107" t="n"/>
      <c r="BC40" s="106" t="n"/>
      <c r="BD40" s="107" t="n"/>
      <c r="BE40" s="185" t="n"/>
      <c r="BF40" s="109" t="n"/>
      <c r="BG40" s="110" t="n"/>
      <c r="BH40" s="109" t="n"/>
      <c r="BI40" s="110" t="n"/>
      <c r="BJ40" s="109" t="n"/>
      <c r="BK40" s="110" t="n"/>
      <c r="BL40" s="109" t="n"/>
      <c r="BM40" s="110" t="n"/>
      <c r="BN40" s="109" t="n"/>
      <c r="BO40" s="110" t="n"/>
      <c r="BP40" s="109" t="n"/>
      <c r="BQ40" s="110" t="n"/>
      <c r="BR40" s="109" t="n"/>
      <c r="BS40" s="110" t="n"/>
      <c r="BT40" s="109" t="n"/>
      <c r="BU40" s="110" t="n"/>
      <c r="BV40" s="186" t="n"/>
      <c r="BW40" s="112" t="n"/>
      <c r="BX40" s="113" t="n"/>
      <c r="BY40" s="112" t="n"/>
      <c r="BZ40" s="113" t="n"/>
      <c r="CA40" s="112" t="n"/>
      <c r="CB40" s="113" t="n"/>
      <c r="CC40" s="112" t="n"/>
      <c r="CD40" s="113" t="n"/>
      <c r="CE40" s="112" t="n"/>
      <c r="CF40" s="113" t="n"/>
      <c r="CG40" s="112" t="n"/>
      <c r="CH40" s="113" t="n"/>
      <c r="CI40" s="112" t="n"/>
      <c r="CJ40" s="113" t="n"/>
      <c r="CK40" s="112" t="n"/>
      <c r="CL40" s="113" t="n"/>
      <c r="CM40" s="187" t="n"/>
      <c r="CN40" s="115" t="n"/>
      <c r="CO40" s="116" t="n"/>
      <c r="CP40" s="115" t="n"/>
      <c r="CQ40" s="116" t="n"/>
      <c r="CR40" s="115" t="n"/>
      <c r="CS40" s="116" t="n"/>
      <c r="CT40" s="115" t="n"/>
      <c r="CU40" s="116" t="n"/>
      <c r="CV40" s="115" t="n"/>
      <c r="CW40" s="116" t="n"/>
      <c r="CX40" s="115" t="n"/>
      <c r="CY40" s="116" t="n"/>
      <c r="CZ40" s="115" t="n"/>
      <c r="DA40" s="116" t="n"/>
      <c r="DB40" s="115" t="n"/>
      <c r="DC40" s="116" t="n"/>
      <c r="DD40" s="188" t="n"/>
      <c r="DE40" s="118" t="n"/>
      <c r="DF40" s="119" t="n"/>
      <c r="DG40" s="118" t="n"/>
      <c r="DH40" s="119" t="n"/>
      <c r="DI40" s="118" t="n"/>
      <c r="DJ40" s="119" t="n"/>
      <c r="DK40" s="118" t="n"/>
      <c r="DL40" s="119" t="n"/>
      <c r="DM40" s="118" t="n"/>
      <c r="DN40" s="119" t="n"/>
      <c r="DO40" s="118" t="n"/>
      <c r="DP40" s="119" t="n"/>
      <c r="DQ40" s="118" t="n"/>
      <c r="DR40" s="119" t="n"/>
      <c r="DS40" s="118" t="n"/>
      <c r="DT40" s="119" t="n"/>
      <c r="DU40" s="189" t="n"/>
      <c r="DV40" s="121" t="n"/>
      <c r="DW40" s="122" t="n"/>
      <c r="DX40" s="121" t="n"/>
      <c r="DY40" s="122" t="n"/>
      <c r="DZ40" s="121" t="n"/>
      <c r="EA40" s="122" t="n"/>
      <c r="EB40" s="121" t="n"/>
      <c r="EC40" s="122" t="n"/>
      <c r="ED40" s="121" t="n"/>
      <c r="EE40" s="122" t="n"/>
      <c r="EF40" s="121" t="n"/>
      <c r="EG40" s="122" t="n"/>
      <c r="EH40" s="121" t="n"/>
      <c r="EI40" s="122" t="n"/>
      <c r="EJ40" s="121" t="n"/>
      <c r="EK40" s="122" t="n"/>
      <c r="EL40" s="190" t="n"/>
      <c r="EM40" s="124" t="n"/>
      <c r="EN40" s="125" t="n"/>
      <c r="EO40" s="124" t="n"/>
      <c r="EP40" s="125" t="n"/>
      <c r="EQ40" s="124" t="n"/>
      <c r="ER40" s="125" t="n"/>
      <c r="ES40" s="124" t="n"/>
      <c r="ET40" s="125" t="n"/>
      <c r="EU40" s="124" t="n"/>
      <c r="EV40" s="125" t="n"/>
      <c r="EW40" s="124" t="n"/>
      <c r="EX40" s="125" t="n"/>
      <c r="EY40" s="124" t="n"/>
      <c r="EZ40" s="125" t="n"/>
      <c r="FA40" s="124" t="n"/>
      <c r="FB40" s="125" t="n"/>
      <c r="FC40" s="191" t="n"/>
      <c r="FD40" s="127" t="n"/>
      <c r="FE40" s="128" t="n"/>
      <c r="FF40" s="127" t="n"/>
      <c r="FG40" s="128" t="n"/>
      <c r="FH40" s="127" t="n"/>
      <c r="FI40" s="128" t="n"/>
      <c r="FJ40" s="127" t="n"/>
      <c r="FK40" s="128" t="n"/>
      <c r="FL40" s="127" t="n"/>
      <c r="FM40" s="128" t="n"/>
      <c r="FN40" s="127" t="n"/>
      <c r="FO40" s="128" t="n"/>
      <c r="FP40" s="127" t="n"/>
      <c r="FQ40" s="128" t="n"/>
      <c r="FR40" s="127" t="n"/>
      <c r="FS40" s="128" t="n"/>
      <c r="FT40" s="192" t="n"/>
      <c r="FU40" s="130" t="n"/>
      <c r="FV40" s="131" t="n"/>
      <c r="FW40" s="130" t="n"/>
      <c r="FX40" s="131" t="n"/>
      <c r="FY40" s="130" t="n"/>
      <c r="FZ40" s="131" t="n"/>
      <c r="GA40" s="130" t="n"/>
      <c r="GB40" s="131" t="n"/>
      <c r="GC40" s="130" t="n"/>
      <c r="GD40" s="131" t="n"/>
      <c r="GE40" s="130" t="n"/>
      <c r="GF40" s="131" t="n"/>
      <c r="GG40" s="130" t="n"/>
      <c r="GH40" s="131" t="n"/>
      <c r="GI40" s="130" t="n"/>
      <c r="GJ40" s="131" t="n"/>
      <c r="GK40" s="193" t="n"/>
      <c r="GL40" s="133" t="n"/>
      <c r="GM40" s="134" t="n"/>
      <c r="GN40" s="133" t="n"/>
      <c r="GO40" s="134" t="n"/>
      <c r="GP40" s="133" t="n"/>
      <c r="GQ40" s="134" t="n"/>
      <c r="GR40" s="133" t="n"/>
      <c r="GS40" s="134" t="n"/>
      <c r="GT40" s="133" t="n"/>
      <c r="GU40" s="134" t="n"/>
      <c r="GV40" s="133" t="n"/>
      <c r="GW40" s="134" t="n"/>
      <c r="GX40" s="133" t="n"/>
      <c r="GY40" s="134" t="n"/>
      <c r="GZ40" s="133" t="n"/>
      <c r="HA40" s="134" t="n"/>
      <c r="HB40" s="194" t="n"/>
      <c r="HC40">
        <f>SUMIFS($G40:$HB40,$G$46:$HB$46,"&gt;="&amp;$HD$1,$G$46:$HB$46,"&lt;="&amp;$HD$2,$G$29:$HB$29,"&lt;&gt;ملاحظات",$G$28:$HB$28,"&gt;0")</f>
        <v>0</v>
      </c>
      <c r="HD40">
        <f>SUMIFS($G$28:$HB$28,$G$46:$HB$46,"&gt;="&amp;$HD$1,$G$46:$HB$46,"&lt;="&amp;$HD$2,$G$29:$HB$29,"&lt;&gt;ملاحظات",$G40:$HB40,"&gt;=0")</f>
        <v>0</v>
      </c>
    </row>
    <row r="41" ht="22.5" customHeight="1">
      <c r="A41" s="36" t="n">
        <v>12</v>
      </c>
      <c r="B41" s="181" t="str">
        <f>IF($B16="","",$B16)</f>
        <v/>
      </c>
      <c r="C41" s="136" t="str">
        <f>IF(OR($B41="",$HD41=0),"",ROUND($HC41,2)&amp;" / "&amp;$HD41)</f>
        <v/>
      </c>
      <c r="D41" s="182" t="str">
        <f>IF(OR($B41="",$HD41=0),"",$HC41/$HD41)</f>
        <v/>
      </c>
      <c r="E41" s="98" t="str">
        <f>IF($D41="","",RANK($D41,$D$30:$D$44))</f>
        <v/>
      </c>
      <c r="F41" s="99" t="str">
        <f>IF($D41="","",IF($D41&gt;=0.85,"ممتاز",IF($D41&gt;=0.75,"جيد جداً",IF($D41&gt;=0.65,"جيد",IF($D41&gt;=0.5,"مقبول","ضعيف")))))</f>
        <v/>
      </c>
      <c r="G41" s="100" t="n"/>
      <c r="H41" s="101" t="n"/>
      <c r="I41" s="100" t="n"/>
      <c r="J41" s="101" t="n"/>
      <c r="K41" s="100" t="n"/>
      <c r="L41" s="101" t="n"/>
      <c r="M41" s="100" t="n"/>
      <c r="N41" s="101" t="n"/>
      <c r="O41" s="100" t="n"/>
      <c r="P41" s="101" t="n"/>
      <c r="Q41" s="100" t="n"/>
      <c r="R41" s="101" t="n"/>
      <c r="S41" s="100" t="n"/>
      <c r="T41" s="101" t="n"/>
      <c r="U41" s="100" t="n"/>
      <c r="V41" s="101" t="n"/>
      <c r="W41" s="183" t="n"/>
      <c r="X41" s="103" t="n"/>
      <c r="Y41" s="104" t="n"/>
      <c r="Z41" s="103" t="n"/>
      <c r="AA41" s="104" t="n"/>
      <c r="AB41" s="103" t="n"/>
      <c r="AC41" s="104" t="n"/>
      <c r="AD41" s="103" t="n"/>
      <c r="AE41" s="104" t="n"/>
      <c r="AF41" s="103" t="n"/>
      <c r="AG41" s="104" t="n"/>
      <c r="AH41" s="103" t="n"/>
      <c r="AI41" s="104" t="n"/>
      <c r="AJ41" s="103" t="n"/>
      <c r="AK41" s="104" t="n"/>
      <c r="AL41" s="103" t="n"/>
      <c r="AM41" s="104" t="n"/>
      <c r="AN41" s="184" t="n"/>
      <c r="AO41" s="106" t="n"/>
      <c r="AP41" s="107" t="n"/>
      <c r="AQ41" s="106" t="n"/>
      <c r="AR41" s="107" t="n"/>
      <c r="AS41" s="106" t="n"/>
      <c r="AT41" s="107" t="n"/>
      <c r="AU41" s="106" t="n"/>
      <c r="AV41" s="107" t="n"/>
      <c r="AW41" s="106" t="n"/>
      <c r="AX41" s="107" t="n"/>
      <c r="AY41" s="106" t="n"/>
      <c r="AZ41" s="107" t="n"/>
      <c r="BA41" s="106" t="n"/>
      <c r="BB41" s="107" t="n"/>
      <c r="BC41" s="106" t="n"/>
      <c r="BD41" s="107" t="n"/>
      <c r="BE41" s="185" t="n"/>
      <c r="BF41" s="109" t="n"/>
      <c r="BG41" s="110" t="n"/>
      <c r="BH41" s="109" t="n"/>
      <c r="BI41" s="110" t="n"/>
      <c r="BJ41" s="109" t="n"/>
      <c r="BK41" s="110" t="n"/>
      <c r="BL41" s="109" t="n"/>
      <c r="BM41" s="110" t="n"/>
      <c r="BN41" s="109" t="n"/>
      <c r="BO41" s="110" t="n"/>
      <c r="BP41" s="109" t="n"/>
      <c r="BQ41" s="110" t="n"/>
      <c r="BR41" s="109" t="n"/>
      <c r="BS41" s="110" t="n"/>
      <c r="BT41" s="109" t="n"/>
      <c r="BU41" s="110" t="n"/>
      <c r="BV41" s="186" t="n"/>
      <c r="BW41" s="112" t="n"/>
      <c r="BX41" s="113" t="n"/>
      <c r="BY41" s="112" t="n"/>
      <c r="BZ41" s="113" t="n"/>
      <c r="CA41" s="112" t="n"/>
      <c r="CB41" s="113" t="n"/>
      <c r="CC41" s="112" t="n"/>
      <c r="CD41" s="113" t="n"/>
      <c r="CE41" s="112" t="n"/>
      <c r="CF41" s="113" t="n"/>
      <c r="CG41" s="112" t="n"/>
      <c r="CH41" s="113" t="n"/>
      <c r="CI41" s="112" t="n"/>
      <c r="CJ41" s="113" t="n"/>
      <c r="CK41" s="112" t="n"/>
      <c r="CL41" s="113" t="n"/>
      <c r="CM41" s="187" t="n"/>
      <c r="CN41" s="115" t="n"/>
      <c r="CO41" s="116" t="n"/>
      <c r="CP41" s="115" t="n"/>
      <c r="CQ41" s="116" t="n"/>
      <c r="CR41" s="115" t="n"/>
      <c r="CS41" s="116" t="n"/>
      <c r="CT41" s="115" t="n"/>
      <c r="CU41" s="116" t="n"/>
      <c r="CV41" s="115" t="n"/>
      <c r="CW41" s="116" t="n"/>
      <c r="CX41" s="115" t="n"/>
      <c r="CY41" s="116" t="n"/>
      <c r="CZ41" s="115" t="n"/>
      <c r="DA41" s="116" t="n"/>
      <c r="DB41" s="115" t="n"/>
      <c r="DC41" s="116" t="n"/>
      <c r="DD41" s="188" t="n"/>
      <c r="DE41" s="118" t="n"/>
      <c r="DF41" s="119" t="n"/>
      <c r="DG41" s="118" t="n"/>
      <c r="DH41" s="119" t="n"/>
      <c r="DI41" s="118" t="n"/>
      <c r="DJ41" s="119" t="n"/>
      <c r="DK41" s="118" t="n"/>
      <c r="DL41" s="119" t="n"/>
      <c r="DM41" s="118" t="n"/>
      <c r="DN41" s="119" t="n"/>
      <c r="DO41" s="118" t="n"/>
      <c r="DP41" s="119" t="n"/>
      <c r="DQ41" s="118" t="n"/>
      <c r="DR41" s="119" t="n"/>
      <c r="DS41" s="118" t="n"/>
      <c r="DT41" s="119" t="n"/>
      <c r="DU41" s="189" t="n"/>
      <c r="DV41" s="121" t="n"/>
      <c r="DW41" s="122" t="n"/>
      <c r="DX41" s="121" t="n"/>
      <c r="DY41" s="122" t="n"/>
      <c r="DZ41" s="121" t="n"/>
      <c r="EA41" s="122" t="n"/>
      <c r="EB41" s="121" t="n"/>
      <c r="EC41" s="122" t="n"/>
      <c r="ED41" s="121" t="n"/>
      <c r="EE41" s="122" t="n"/>
      <c r="EF41" s="121" t="n"/>
      <c r="EG41" s="122" t="n"/>
      <c r="EH41" s="121" t="n"/>
      <c r="EI41" s="122" t="n"/>
      <c r="EJ41" s="121" t="n"/>
      <c r="EK41" s="122" t="n"/>
      <c r="EL41" s="190" t="n"/>
      <c r="EM41" s="124" t="n"/>
      <c r="EN41" s="125" t="n"/>
      <c r="EO41" s="124" t="n"/>
      <c r="EP41" s="125" t="n"/>
      <c r="EQ41" s="124" t="n"/>
      <c r="ER41" s="125" t="n"/>
      <c r="ES41" s="124" t="n"/>
      <c r="ET41" s="125" t="n"/>
      <c r="EU41" s="124" t="n"/>
      <c r="EV41" s="125" t="n"/>
      <c r="EW41" s="124" t="n"/>
      <c r="EX41" s="125" t="n"/>
      <c r="EY41" s="124" t="n"/>
      <c r="EZ41" s="125" t="n"/>
      <c r="FA41" s="124" t="n"/>
      <c r="FB41" s="125" t="n"/>
      <c r="FC41" s="191" t="n"/>
      <c r="FD41" s="127" t="n"/>
      <c r="FE41" s="128" t="n"/>
      <c r="FF41" s="127" t="n"/>
      <c r="FG41" s="128" t="n"/>
      <c r="FH41" s="127" t="n"/>
      <c r="FI41" s="128" t="n"/>
      <c r="FJ41" s="127" t="n"/>
      <c r="FK41" s="128" t="n"/>
      <c r="FL41" s="127" t="n"/>
      <c r="FM41" s="128" t="n"/>
      <c r="FN41" s="127" t="n"/>
      <c r="FO41" s="128" t="n"/>
      <c r="FP41" s="127" t="n"/>
      <c r="FQ41" s="128" t="n"/>
      <c r="FR41" s="127" t="n"/>
      <c r="FS41" s="128" t="n"/>
      <c r="FT41" s="192" t="n"/>
      <c r="FU41" s="130" t="n"/>
      <c r="FV41" s="131" t="n"/>
      <c r="FW41" s="130" t="n"/>
      <c r="FX41" s="131" t="n"/>
      <c r="FY41" s="130" t="n"/>
      <c r="FZ41" s="131" t="n"/>
      <c r="GA41" s="130" t="n"/>
      <c r="GB41" s="131" t="n"/>
      <c r="GC41" s="130" t="n"/>
      <c r="GD41" s="131" t="n"/>
      <c r="GE41" s="130" t="n"/>
      <c r="GF41" s="131" t="n"/>
      <c r="GG41" s="130" t="n"/>
      <c r="GH41" s="131" t="n"/>
      <c r="GI41" s="130" t="n"/>
      <c r="GJ41" s="131" t="n"/>
      <c r="GK41" s="193" t="n"/>
      <c r="GL41" s="133" t="n"/>
      <c r="GM41" s="134" t="n"/>
      <c r="GN41" s="133" t="n"/>
      <c r="GO41" s="134" t="n"/>
      <c r="GP41" s="133" t="n"/>
      <c r="GQ41" s="134" t="n"/>
      <c r="GR41" s="133" t="n"/>
      <c r="GS41" s="134" t="n"/>
      <c r="GT41" s="133" t="n"/>
      <c r="GU41" s="134" t="n"/>
      <c r="GV41" s="133" t="n"/>
      <c r="GW41" s="134" t="n"/>
      <c r="GX41" s="133" t="n"/>
      <c r="GY41" s="134" t="n"/>
      <c r="GZ41" s="133" t="n"/>
      <c r="HA41" s="134" t="n"/>
      <c r="HB41" s="194" t="n"/>
      <c r="HC41">
        <f>SUMIFS($G41:$HB41,$G$46:$HB$46,"&gt;="&amp;$HD$1,$G$46:$HB$46,"&lt;="&amp;$HD$2,$G$29:$HB$29,"&lt;&gt;ملاحظات",$G$28:$HB$28,"&gt;0")</f>
        <v>0</v>
      </c>
      <c r="HD41">
        <f>SUMIFS($G$28:$HB$28,$G$46:$HB$46,"&gt;="&amp;$HD$1,$G$46:$HB$46,"&lt;="&amp;$HD$2,$G$29:$HB$29,"&lt;&gt;ملاحظات",$G41:$HB41,"&gt;=0")</f>
        <v>0</v>
      </c>
    </row>
    <row r="42" ht="22.5" customHeight="1">
      <c r="A42" s="36" t="n">
        <v>13</v>
      </c>
      <c r="B42" s="181" t="str">
        <f>IF($B17="","",$B17)</f>
        <v/>
      </c>
      <c r="C42" s="136" t="str">
        <f>IF(OR($B42="",$HD42=0),"",ROUND($HC42,2)&amp;" / "&amp;$HD42)</f>
        <v/>
      </c>
      <c r="D42" s="182" t="str">
        <f>IF(OR($B42="",$HD42=0),"",$HC42/$HD42)</f>
        <v/>
      </c>
      <c r="E42" s="98" t="str">
        <f>IF($D42="","",RANK($D42,$D$30:$D$44))</f>
        <v/>
      </c>
      <c r="F42" s="99" t="str">
        <f>IF($D42="","",IF($D42&gt;=0.85,"ممتاز",IF($D42&gt;=0.75,"جيد جداً",IF($D42&gt;=0.65,"جيد",IF($D42&gt;=0.5,"مقبول","ضعيف")))))</f>
        <v/>
      </c>
      <c r="G42" s="100" t="n"/>
      <c r="H42" s="101" t="n"/>
      <c r="I42" s="100" t="n"/>
      <c r="J42" s="101" t="n"/>
      <c r="K42" s="100" t="n"/>
      <c r="L42" s="101" t="n"/>
      <c r="M42" s="100" t="n"/>
      <c r="N42" s="101" t="n"/>
      <c r="O42" s="100" t="n"/>
      <c r="P42" s="101" t="n"/>
      <c r="Q42" s="100" t="n"/>
      <c r="R42" s="101" t="n"/>
      <c r="S42" s="100" t="n"/>
      <c r="T42" s="101" t="n"/>
      <c r="U42" s="100" t="n"/>
      <c r="V42" s="101" t="n"/>
      <c r="W42" s="183" t="n"/>
      <c r="X42" s="103" t="n"/>
      <c r="Y42" s="104" t="n"/>
      <c r="Z42" s="103" t="n"/>
      <c r="AA42" s="104" t="n"/>
      <c r="AB42" s="103" t="n"/>
      <c r="AC42" s="104" t="n"/>
      <c r="AD42" s="103" t="n"/>
      <c r="AE42" s="104" t="n"/>
      <c r="AF42" s="103" t="n"/>
      <c r="AG42" s="104" t="n"/>
      <c r="AH42" s="103" t="n"/>
      <c r="AI42" s="104" t="n"/>
      <c r="AJ42" s="103" t="n"/>
      <c r="AK42" s="104" t="n"/>
      <c r="AL42" s="103" t="n"/>
      <c r="AM42" s="104" t="n"/>
      <c r="AN42" s="184" t="n"/>
      <c r="AO42" s="106" t="n"/>
      <c r="AP42" s="107" t="n"/>
      <c r="AQ42" s="106" t="n"/>
      <c r="AR42" s="107" t="n"/>
      <c r="AS42" s="106" t="n"/>
      <c r="AT42" s="107" t="n"/>
      <c r="AU42" s="106" t="n"/>
      <c r="AV42" s="107" t="n"/>
      <c r="AW42" s="106" t="n"/>
      <c r="AX42" s="107" t="n"/>
      <c r="AY42" s="106" t="n"/>
      <c r="AZ42" s="107" t="n"/>
      <c r="BA42" s="106" t="n"/>
      <c r="BB42" s="107" t="n"/>
      <c r="BC42" s="106" t="n"/>
      <c r="BD42" s="107" t="n"/>
      <c r="BE42" s="185" t="n"/>
      <c r="BF42" s="109" t="n"/>
      <c r="BG42" s="110" t="n"/>
      <c r="BH42" s="109" t="n"/>
      <c r="BI42" s="110" t="n"/>
      <c r="BJ42" s="109" t="n"/>
      <c r="BK42" s="110" t="n"/>
      <c r="BL42" s="109" t="n"/>
      <c r="BM42" s="110" t="n"/>
      <c r="BN42" s="109" t="n"/>
      <c r="BO42" s="110" t="n"/>
      <c r="BP42" s="109" t="n"/>
      <c r="BQ42" s="110" t="n"/>
      <c r="BR42" s="109" t="n"/>
      <c r="BS42" s="110" t="n"/>
      <c r="BT42" s="109" t="n"/>
      <c r="BU42" s="110" t="n"/>
      <c r="BV42" s="186" t="n"/>
      <c r="BW42" s="112" t="n"/>
      <c r="BX42" s="113" t="n"/>
      <c r="BY42" s="112" t="n"/>
      <c r="BZ42" s="113" t="n"/>
      <c r="CA42" s="112" t="n"/>
      <c r="CB42" s="113" t="n"/>
      <c r="CC42" s="112" t="n"/>
      <c r="CD42" s="113" t="n"/>
      <c r="CE42" s="112" t="n"/>
      <c r="CF42" s="113" t="n"/>
      <c r="CG42" s="112" t="n"/>
      <c r="CH42" s="113" t="n"/>
      <c r="CI42" s="112" t="n"/>
      <c r="CJ42" s="113" t="n"/>
      <c r="CK42" s="112" t="n"/>
      <c r="CL42" s="113" t="n"/>
      <c r="CM42" s="187" t="n"/>
      <c r="CN42" s="115" t="n"/>
      <c r="CO42" s="116" t="n"/>
      <c r="CP42" s="115" t="n"/>
      <c r="CQ42" s="116" t="n"/>
      <c r="CR42" s="115" t="n"/>
      <c r="CS42" s="116" t="n"/>
      <c r="CT42" s="115" t="n"/>
      <c r="CU42" s="116" t="n"/>
      <c r="CV42" s="115" t="n"/>
      <c r="CW42" s="116" t="n"/>
      <c r="CX42" s="115" t="n"/>
      <c r="CY42" s="116" t="n"/>
      <c r="CZ42" s="115" t="n"/>
      <c r="DA42" s="116" t="n"/>
      <c r="DB42" s="115" t="n"/>
      <c r="DC42" s="116" t="n"/>
      <c r="DD42" s="188" t="n"/>
      <c r="DE42" s="118" t="n"/>
      <c r="DF42" s="119" t="n"/>
      <c r="DG42" s="118" t="n"/>
      <c r="DH42" s="119" t="n"/>
      <c r="DI42" s="118" t="n"/>
      <c r="DJ42" s="119" t="n"/>
      <c r="DK42" s="118" t="n"/>
      <c r="DL42" s="119" t="n"/>
      <c r="DM42" s="118" t="n"/>
      <c r="DN42" s="119" t="n"/>
      <c r="DO42" s="118" t="n"/>
      <c r="DP42" s="119" t="n"/>
      <c r="DQ42" s="118" t="n"/>
      <c r="DR42" s="119" t="n"/>
      <c r="DS42" s="118" t="n"/>
      <c r="DT42" s="119" t="n"/>
      <c r="DU42" s="189" t="n"/>
      <c r="DV42" s="121" t="n"/>
      <c r="DW42" s="122" t="n"/>
      <c r="DX42" s="121" t="n"/>
      <c r="DY42" s="122" t="n"/>
      <c r="DZ42" s="121" t="n"/>
      <c r="EA42" s="122" t="n"/>
      <c r="EB42" s="121" t="n"/>
      <c r="EC42" s="122" t="n"/>
      <c r="ED42" s="121" t="n"/>
      <c r="EE42" s="122" t="n"/>
      <c r="EF42" s="121" t="n"/>
      <c r="EG42" s="122" t="n"/>
      <c r="EH42" s="121" t="n"/>
      <c r="EI42" s="122" t="n"/>
      <c r="EJ42" s="121" t="n"/>
      <c r="EK42" s="122" t="n"/>
      <c r="EL42" s="190" t="n"/>
      <c r="EM42" s="124" t="n"/>
      <c r="EN42" s="125" t="n"/>
      <c r="EO42" s="124" t="n"/>
      <c r="EP42" s="125" t="n"/>
      <c r="EQ42" s="124" t="n"/>
      <c r="ER42" s="125" t="n"/>
      <c r="ES42" s="124" t="n"/>
      <c r="ET42" s="125" t="n"/>
      <c r="EU42" s="124" t="n"/>
      <c r="EV42" s="125" t="n"/>
      <c r="EW42" s="124" t="n"/>
      <c r="EX42" s="125" t="n"/>
      <c r="EY42" s="124" t="n"/>
      <c r="EZ42" s="125" t="n"/>
      <c r="FA42" s="124" t="n"/>
      <c r="FB42" s="125" t="n"/>
      <c r="FC42" s="191" t="n"/>
      <c r="FD42" s="127" t="n"/>
      <c r="FE42" s="128" t="n"/>
      <c r="FF42" s="127" t="n"/>
      <c r="FG42" s="128" t="n"/>
      <c r="FH42" s="127" t="n"/>
      <c r="FI42" s="128" t="n"/>
      <c r="FJ42" s="127" t="n"/>
      <c r="FK42" s="128" t="n"/>
      <c r="FL42" s="127" t="n"/>
      <c r="FM42" s="128" t="n"/>
      <c r="FN42" s="127" t="n"/>
      <c r="FO42" s="128" t="n"/>
      <c r="FP42" s="127" t="n"/>
      <c r="FQ42" s="128" t="n"/>
      <c r="FR42" s="127" t="n"/>
      <c r="FS42" s="128" t="n"/>
      <c r="FT42" s="192" t="n"/>
      <c r="FU42" s="130" t="n"/>
      <c r="FV42" s="131" t="n"/>
      <c r="FW42" s="130" t="n"/>
      <c r="FX42" s="131" t="n"/>
      <c r="FY42" s="130" t="n"/>
      <c r="FZ42" s="131" t="n"/>
      <c r="GA42" s="130" t="n"/>
      <c r="GB42" s="131" t="n"/>
      <c r="GC42" s="130" t="n"/>
      <c r="GD42" s="131" t="n"/>
      <c r="GE42" s="130" t="n"/>
      <c r="GF42" s="131" t="n"/>
      <c r="GG42" s="130" t="n"/>
      <c r="GH42" s="131" t="n"/>
      <c r="GI42" s="130" t="n"/>
      <c r="GJ42" s="131" t="n"/>
      <c r="GK42" s="193" t="n"/>
      <c r="GL42" s="133" t="n"/>
      <c r="GM42" s="134" t="n"/>
      <c r="GN42" s="133" t="n"/>
      <c r="GO42" s="134" t="n"/>
      <c r="GP42" s="133" t="n"/>
      <c r="GQ42" s="134" t="n"/>
      <c r="GR42" s="133" t="n"/>
      <c r="GS42" s="134" t="n"/>
      <c r="GT42" s="133" t="n"/>
      <c r="GU42" s="134" t="n"/>
      <c r="GV42" s="133" t="n"/>
      <c r="GW42" s="134" t="n"/>
      <c r="GX42" s="133" t="n"/>
      <c r="GY42" s="134" t="n"/>
      <c r="GZ42" s="133" t="n"/>
      <c r="HA42" s="134" t="n"/>
      <c r="HB42" s="194" t="n"/>
      <c r="HC42">
        <f>SUMIFS($G42:$HB42,$G$46:$HB$46,"&gt;="&amp;$HD$1,$G$46:$HB$46,"&lt;="&amp;$HD$2,$G$29:$HB$29,"&lt;&gt;ملاحظات",$G$28:$HB$28,"&gt;0")</f>
        <v>0</v>
      </c>
      <c r="HD42">
        <f>SUMIFS($G$28:$HB$28,$G$46:$HB$46,"&gt;="&amp;$HD$1,$G$46:$HB$46,"&lt;="&amp;$HD$2,$G$29:$HB$29,"&lt;&gt;ملاحظات",$G42:$HB42,"&gt;=0")</f>
        <v>0</v>
      </c>
    </row>
    <row r="43" ht="22.5" customHeight="1">
      <c r="A43" s="36" t="n">
        <v>14</v>
      </c>
      <c r="B43" s="181" t="str">
        <f>IF($B18="","",$B18)</f>
        <v/>
      </c>
      <c r="C43" s="136" t="str">
        <f>IF(OR($B43="",$HD43=0),"",ROUND($HC43,2)&amp;" / "&amp;$HD43)</f>
        <v/>
      </c>
      <c r="D43" s="182" t="str">
        <f>IF(OR($B43="",$HD43=0),"",$HC43/$HD43)</f>
        <v/>
      </c>
      <c r="E43" s="98" t="str">
        <f>IF($D43="","",RANK($D43,$D$30:$D$44))</f>
        <v/>
      </c>
      <c r="F43" s="99" t="str">
        <f>IF($D43="","",IF($D43&gt;=0.85,"ممتاز",IF($D43&gt;=0.75,"جيد جداً",IF($D43&gt;=0.65,"جيد",IF($D43&gt;=0.5,"مقبول","ضعيف")))))</f>
        <v/>
      </c>
      <c r="G43" s="100" t="n"/>
      <c r="H43" s="101" t="n"/>
      <c r="I43" s="100" t="n"/>
      <c r="J43" s="101" t="n"/>
      <c r="K43" s="100" t="n"/>
      <c r="L43" s="101" t="n"/>
      <c r="M43" s="100" t="n"/>
      <c r="N43" s="101" t="n"/>
      <c r="O43" s="100" t="n"/>
      <c r="P43" s="101" t="n"/>
      <c r="Q43" s="100" t="n"/>
      <c r="R43" s="101" t="n"/>
      <c r="S43" s="100" t="n"/>
      <c r="T43" s="101" t="n"/>
      <c r="U43" s="100" t="n"/>
      <c r="V43" s="101" t="n"/>
      <c r="W43" s="183" t="n"/>
      <c r="X43" s="103" t="n"/>
      <c r="Y43" s="104" t="n"/>
      <c r="Z43" s="103" t="n"/>
      <c r="AA43" s="104" t="n"/>
      <c r="AB43" s="103" t="n"/>
      <c r="AC43" s="104" t="n"/>
      <c r="AD43" s="103" t="n"/>
      <c r="AE43" s="104" t="n"/>
      <c r="AF43" s="103" t="n"/>
      <c r="AG43" s="104" t="n"/>
      <c r="AH43" s="103" t="n"/>
      <c r="AI43" s="104" t="n"/>
      <c r="AJ43" s="103" t="n"/>
      <c r="AK43" s="104" t="n"/>
      <c r="AL43" s="103" t="n"/>
      <c r="AM43" s="104" t="n"/>
      <c r="AN43" s="184" t="n"/>
      <c r="AO43" s="106" t="n"/>
      <c r="AP43" s="107" t="n"/>
      <c r="AQ43" s="106" t="n"/>
      <c r="AR43" s="107" t="n"/>
      <c r="AS43" s="106" t="n"/>
      <c r="AT43" s="107" t="n"/>
      <c r="AU43" s="106" t="n"/>
      <c r="AV43" s="107" t="n"/>
      <c r="AW43" s="106" t="n"/>
      <c r="AX43" s="107" t="n"/>
      <c r="AY43" s="106" t="n"/>
      <c r="AZ43" s="107" t="n"/>
      <c r="BA43" s="106" t="n"/>
      <c r="BB43" s="107" t="n"/>
      <c r="BC43" s="106" t="n"/>
      <c r="BD43" s="107" t="n"/>
      <c r="BE43" s="185" t="n"/>
      <c r="BF43" s="109" t="n"/>
      <c r="BG43" s="110" t="n"/>
      <c r="BH43" s="109" t="n"/>
      <c r="BI43" s="110" t="n"/>
      <c r="BJ43" s="109" t="n"/>
      <c r="BK43" s="110" t="n"/>
      <c r="BL43" s="109" t="n"/>
      <c r="BM43" s="110" t="n"/>
      <c r="BN43" s="109" t="n"/>
      <c r="BO43" s="110" t="n"/>
      <c r="BP43" s="109" t="n"/>
      <c r="BQ43" s="110" t="n"/>
      <c r="BR43" s="109" t="n"/>
      <c r="BS43" s="110" t="n"/>
      <c r="BT43" s="109" t="n"/>
      <c r="BU43" s="110" t="n"/>
      <c r="BV43" s="186" t="n"/>
      <c r="BW43" s="112" t="n"/>
      <c r="BX43" s="113" t="n"/>
      <c r="BY43" s="112" t="n"/>
      <c r="BZ43" s="113" t="n"/>
      <c r="CA43" s="112" t="n"/>
      <c r="CB43" s="113" t="n"/>
      <c r="CC43" s="112" t="n"/>
      <c r="CD43" s="113" t="n"/>
      <c r="CE43" s="112" t="n"/>
      <c r="CF43" s="113" t="n"/>
      <c r="CG43" s="112" t="n"/>
      <c r="CH43" s="113" t="n"/>
      <c r="CI43" s="112" t="n"/>
      <c r="CJ43" s="113" t="n"/>
      <c r="CK43" s="112" t="n"/>
      <c r="CL43" s="113" t="n"/>
      <c r="CM43" s="187" t="n"/>
      <c r="CN43" s="115" t="n"/>
      <c r="CO43" s="116" t="n"/>
      <c r="CP43" s="115" t="n"/>
      <c r="CQ43" s="116" t="n"/>
      <c r="CR43" s="115" t="n"/>
      <c r="CS43" s="116" t="n"/>
      <c r="CT43" s="115" t="n"/>
      <c r="CU43" s="116" t="n"/>
      <c r="CV43" s="115" t="n"/>
      <c r="CW43" s="116" t="n"/>
      <c r="CX43" s="115" t="n"/>
      <c r="CY43" s="116" t="n"/>
      <c r="CZ43" s="115" t="n"/>
      <c r="DA43" s="116" t="n"/>
      <c r="DB43" s="115" t="n"/>
      <c r="DC43" s="116" t="n"/>
      <c r="DD43" s="188" t="n"/>
      <c r="DE43" s="118" t="n"/>
      <c r="DF43" s="119" t="n"/>
      <c r="DG43" s="118" t="n"/>
      <c r="DH43" s="119" t="n"/>
      <c r="DI43" s="118" t="n"/>
      <c r="DJ43" s="119" t="n"/>
      <c r="DK43" s="118" t="n"/>
      <c r="DL43" s="119" t="n"/>
      <c r="DM43" s="118" t="n"/>
      <c r="DN43" s="119" t="n"/>
      <c r="DO43" s="118" t="n"/>
      <c r="DP43" s="119" t="n"/>
      <c r="DQ43" s="118" t="n"/>
      <c r="DR43" s="119" t="n"/>
      <c r="DS43" s="118" t="n"/>
      <c r="DT43" s="119" t="n"/>
      <c r="DU43" s="189" t="n"/>
      <c r="DV43" s="121" t="n"/>
      <c r="DW43" s="122" t="n"/>
      <c r="DX43" s="121" t="n"/>
      <c r="DY43" s="122" t="n"/>
      <c r="DZ43" s="121" t="n"/>
      <c r="EA43" s="122" t="n"/>
      <c r="EB43" s="121" t="n"/>
      <c r="EC43" s="122" t="n"/>
      <c r="ED43" s="121" t="n"/>
      <c r="EE43" s="122" t="n"/>
      <c r="EF43" s="121" t="n"/>
      <c r="EG43" s="122" t="n"/>
      <c r="EH43" s="121" t="n"/>
      <c r="EI43" s="122" t="n"/>
      <c r="EJ43" s="121" t="n"/>
      <c r="EK43" s="122" t="n"/>
      <c r="EL43" s="190" t="n"/>
      <c r="EM43" s="124" t="n"/>
      <c r="EN43" s="125" t="n"/>
      <c r="EO43" s="124" t="n"/>
      <c r="EP43" s="125" t="n"/>
      <c r="EQ43" s="124" t="n"/>
      <c r="ER43" s="125" t="n"/>
      <c r="ES43" s="124" t="n"/>
      <c r="ET43" s="125" t="n"/>
      <c r="EU43" s="124" t="n"/>
      <c r="EV43" s="125" t="n"/>
      <c r="EW43" s="124" t="n"/>
      <c r="EX43" s="125" t="n"/>
      <c r="EY43" s="124" t="n"/>
      <c r="EZ43" s="125" t="n"/>
      <c r="FA43" s="124" t="n"/>
      <c r="FB43" s="125" t="n"/>
      <c r="FC43" s="191" t="n"/>
      <c r="FD43" s="127" t="n"/>
      <c r="FE43" s="128" t="n"/>
      <c r="FF43" s="127" t="n"/>
      <c r="FG43" s="128" t="n"/>
      <c r="FH43" s="127" t="n"/>
      <c r="FI43" s="128" t="n"/>
      <c r="FJ43" s="127" t="n"/>
      <c r="FK43" s="128" t="n"/>
      <c r="FL43" s="127" t="n"/>
      <c r="FM43" s="128" t="n"/>
      <c r="FN43" s="127" t="n"/>
      <c r="FO43" s="128" t="n"/>
      <c r="FP43" s="127" t="n"/>
      <c r="FQ43" s="128" t="n"/>
      <c r="FR43" s="127" t="n"/>
      <c r="FS43" s="128" t="n"/>
      <c r="FT43" s="192" t="n"/>
      <c r="FU43" s="130" t="n"/>
      <c r="FV43" s="131" t="n"/>
      <c r="FW43" s="130" t="n"/>
      <c r="FX43" s="131" t="n"/>
      <c r="FY43" s="130" t="n"/>
      <c r="FZ43" s="131" t="n"/>
      <c r="GA43" s="130" t="n"/>
      <c r="GB43" s="131" t="n"/>
      <c r="GC43" s="130" t="n"/>
      <c r="GD43" s="131" t="n"/>
      <c r="GE43" s="130" t="n"/>
      <c r="GF43" s="131" t="n"/>
      <c r="GG43" s="130" t="n"/>
      <c r="GH43" s="131" t="n"/>
      <c r="GI43" s="130" t="n"/>
      <c r="GJ43" s="131" t="n"/>
      <c r="GK43" s="193" t="n"/>
      <c r="GL43" s="133" t="n"/>
      <c r="GM43" s="134" t="n"/>
      <c r="GN43" s="133" t="n"/>
      <c r="GO43" s="134" t="n"/>
      <c r="GP43" s="133" t="n"/>
      <c r="GQ43" s="134" t="n"/>
      <c r="GR43" s="133" t="n"/>
      <c r="GS43" s="134" t="n"/>
      <c r="GT43" s="133" t="n"/>
      <c r="GU43" s="134" t="n"/>
      <c r="GV43" s="133" t="n"/>
      <c r="GW43" s="134" t="n"/>
      <c r="GX43" s="133" t="n"/>
      <c r="GY43" s="134" t="n"/>
      <c r="GZ43" s="133" t="n"/>
      <c r="HA43" s="134" t="n"/>
      <c r="HB43" s="194" t="n"/>
      <c r="HC43">
        <f>SUMIFS($G43:$HB43,$G$46:$HB$46,"&gt;="&amp;$HD$1,$G$46:$HB$46,"&lt;="&amp;$HD$2,$G$29:$HB$29,"&lt;&gt;ملاحظات",$G$28:$HB$28,"&gt;0")</f>
        <v>0</v>
      </c>
      <c r="HD43">
        <f>SUMIFS($G$28:$HB$28,$G$46:$HB$46,"&gt;="&amp;$HD$1,$G$46:$HB$46,"&lt;="&amp;$HD$2,$G$29:$HB$29,"&lt;&gt;ملاحظات",$G43:$HB43,"&gt;=0")</f>
        <v>0</v>
      </c>
    </row>
    <row r="44" ht="22.5" customHeight="1">
      <c r="A44" s="36" t="n">
        <v>15</v>
      </c>
      <c r="B44" s="181" t="str">
        <f>IF($B19="","",$B19)</f>
        <v/>
      </c>
      <c r="C44" s="136" t="str">
        <f>IF(OR($B44="",$HD44=0),"",ROUND($HC44,2)&amp;" / "&amp;$HD44)</f>
        <v/>
      </c>
      <c r="D44" s="182" t="str">
        <f>IF(OR($B44="",$HD44=0),"",$HC44/$HD44)</f>
        <v/>
      </c>
      <c r="E44" s="98" t="str">
        <f>IF($D44="","",RANK($D44,$D$30:$D$44))</f>
        <v/>
      </c>
      <c r="F44" s="99" t="str">
        <f>IF($D44="","",IF($D44&gt;=0.85,"ممتاز",IF($D44&gt;=0.75,"جيد جداً",IF($D44&gt;=0.65,"جيد",IF($D44&gt;=0.5,"مقبول","ضعيف")))))</f>
        <v/>
      </c>
      <c r="G44" s="100" t="n"/>
      <c r="H44" s="101" t="n"/>
      <c r="I44" s="100" t="n"/>
      <c r="J44" s="101" t="n"/>
      <c r="K44" s="100" t="n"/>
      <c r="L44" s="101" t="n"/>
      <c r="M44" s="100" t="n"/>
      <c r="N44" s="101" t="n"/>
      <c r="O44" s="100" t="n"/>
      <c r="P44" s="101" t="n"/>
      <c r="Q44" s="100" t="n"/>
      <c r="R44" s="101" t="n"/>
      <c r="S44" s="100" t="n"/>
      <c r="T44" s="101" t="n"/>
      <c r="U44" s="100" t="n"/>
      <c r="V44" s="101" t="n"/>
      <c r="W44" s="183" t="n"/>
      <c r="X44" s="103" t="n"/>
      <c r="Y44" s="104" t="n"/>
      <c r="Z44" s="103" t="n"/>
      <c r="AA44" s="104" t="n"/>
      <c r="AB44" s="103" t="n"/>
      <c r="AC44" s="104" t="n"/>
      <c r="AD44" s="103" t="n"/>
      <c r="AE44" s="104" t="n"/>
      <c r="AF44" s="103" t="n"/>
      <c r="AG44" s="104" t="n"/>
      <c r="AH44" s="103" t="n"/>
      <c r="AI44" s="104" t="n"/>
      <c r="AJ44" s="103" t="n"/>
      <c r="AK44" s="104" t="n"/>
      <c r="AL44" s="103" t="n"/>
      <c r="AM44" s="104" t="n"/>
      <c r="AN44" s="184" t="n"/>
      <c r="AO44" s="106" t="n"/>
      <c r="AP44" s="107" t="n"/>
      <c r="AQ44" s="106" t="n"/>
      <c r="AR44" s="107" t="n"/>
      <c r="AS44" s="106" t="n"/>
      <c r="AT44" s="107" t="n"/>
      <c r="AU44" s="106" t="n"/>
      <c r="AV44" s="107" t="n"/>
      <c r="AW44" s="106" t="n"/>
      <c r="AX44" s="107" t="n"/>
      <c r="AY44" s="106" t="n"/>
      <c r="AZ44" s="107" t="n"/>
      <c r="BA44" s="106" t="n"/>
      <c r="BB44" s="107" t="n"/>
      <c r="BC44" s="106" t="n"/>
      <c r="BD44" s="107" t="n"/>
      <c r="BE44" s="185" t="n"/>
      <c r="BF44" s="109" t="n"/>
      <c r="BG44" s="110" t="n"/>
      <c r="BH44" s="109" t="n"/>
      <c r="BI44" s="110" t="n"/>
      <c r="BJ44" s="109" t="n"/>
      <c r="BK44" s="110" t="n"/>
      <c r="BL44" s="109" t="n"/>
      <c r="BM44" s="110" t="n"/>
      <c r="BN44" s="109" t="n"/>
      <c r="BO44" s="110" t="n"/>
      <c r="BP44" s="109" t="n"/>
      <c r="BQ44" s="110" t="n"/>
      <c r="BR44" s="109" t="n"/>
      <c r="BS44" s="110" t="n"/>
      <c r="BT44" s="109" t="n"/>
      <c r="BU44" s="110" t="n"/>
      <c r="BV44" s="186" t="n"/>
      <c r="BW44" s="112" t="n"/>
      <c r="BX44" s="113" t="n"/>
      <c r="BY44" s="112" t="n"/>
      <c r="BZ44" s="113" t="n"/>
      <c r="CA44" s="112" t="n"/>
      <c r="CB44" s="113" t="n"/>
      <c r="CC44" s="112" t="n"/>
      <c r="CD44" s="113" t="n"/>
      <c r="CE44" s="112" t="n"/>
      <c r="CF44" s="113" t="n"/>
      <c r="CG44" s="112" t="n"/>
      <c r="CH44" s="113" t="n"/>
      <c r="CI44" s="112" t="n"/>
      <c r="CJ44" s="113" t="n"/>
      <c r="CK44" s="112" t="n"/>
      <c r="CL44" s="113" t="n"/>
      <c r="CM44" s="187" t="n"/>
      <c r="CN44" s="115" t="n"/>
      <c r="CO44" s="116" t="n"/>
      <c r="CP44" s="115" t="n"/>
      <c r="CQ44" s="116" t="n"/>
      <c r="CR44" s="115" t="n"/>
      <c r="CS44" s="116" t="n"/>
      <c r="CT44" s="115" t="n"/>
      <c r="CU44" s="116" t="n"/>
      <c r="CV44" s="115" t="n"/>
      <c r="CW44" s="116" t="n"/>
      <c r="CX44" s="115" t="n"/>
      <c r="CY44" s="116" t="n"/>
      <c r="CZ44" s="115" t="n"/>
      <c r="DA44" s="116" t="n"/>
      <c r="DB44" s="115" t="n"/>
      <c r="DC44" s="116" t="n"/>
      <c r="DD44" s="188" t="n"/>
      <c r="DE44" s="118" t="n"/>
      <c r="DF44" s="119" t="n"/>
      <c r="DG44" s="118" t="n"/>
      <c r="DH44" s="119" t="n"/>
      <c r="DI44" s="118" t="n"/>
      <c r="DJ44" s="119" t="n"/>
      <c r="DK44" s="118" t="n"/>
      <c r="DL44" s="119" t="n"/>
      <c r="DM44" s="118" t="n"/>
      <c r="DN44" s="119" t="n"/>
      <c r="DO44" s="118" t="n"/>
      <c r="DP44" s="119" t="n"/>
      <c r="DQ44" s="118" t="n"/>
      <c r="DR44" s="119" t="n"/>
      <c r="DS44" s="118" t="n"/>
      <c r="DT44" s="119" t="n"/>
      <c r="DU44" s="189" t="n"/>
      <c r="DV44" s="121" t="n"/>
      <c r="DW44" s="122" t="n"/>
      <c r="DX44" s="121" t="n"/>
      <c r="DY44" s="122" t="n"/>
      <c r="DZ44" s="121" t="n"/>
      <c r="EA44" s="122" t="n"/>
      <c r="EB44" s="121" t="n"/>
      <c r="EC44" s="122" t="n"/>
      <c r="ED44" s="121" t="n"/>
      <c r="EE44" s="122" t="n"/>
      <c r="EF44" s="121" t="n"/>
      <c r="EG44" s="122" t="n"/>
      <c r="EH44" s="121" t="n"/>
      <c r="EI44" s="122" t="n"/>
      <c r="EJ44" s="121" t="n"/>
      <c r="EK44" s="122" t="n"/>
      <c r="EL44" s="190" t="n"/>
      <c r="EM44" s="124" t="n"/>
      <c r="EN44" s="125" t="n"/>
      <c r="EO44" s="124" t="n"/>
      <c r="EP44" s="125" t="n"/>
      <c r="EQ44" s="124" t="n"/>
      <c r="ER44" s="125" t="n"/>
      <c r="ES44" s="124" t="n"/>
      <c r="ET44" s="125" t="n"/>
      <c r="EU44" s="124" t="n"/>
      <c r="EV44" s="125" t="n"/>
      <c r="EW44" s="124" t="n"/>
      <c r="EX44" s="125" t="n"/>
      <c r="EY44" s="124" t="n"/>
      <c r="EZ44" s="125" t="n"/>
      <c r="FA44" s="124" t="n"/>
      <c r="FB44" s="125" t="n"/>
      <c r="FC44" s="191" t="n"/>
      <c r="FD44" s="127" t="n"/>
      <c r="FE44" s="128" t="n"/>
      <c r="FF44" s="127" t="n"/>
      <c r="FG44" s="128" t="n"/>
      <c r="FH44" s="127" t="n"/>
      <c r="FI44" s="128" t="n"/>
      <c r="FJ44" s="127" t="n"/>
      <c r="FK44" s="128" t="n"/>
      <c r="FL44" s="127" t="n"/>
      <c r="FM44" s="128" t="n"/>
      <c r="FN44" s="127" t="n"/>
      <c r="FO44" s="128" t="n"/>
      <c r="FP44" s="127" t="n"/>
      <c r="FQ44" s="128" t="n"/>
      <c r="FR44" s="127" t="n"/>
      <c r="FS44" s="128" t="n"/>
      <c r="FT44" s="192" t="n"/>
      <c r="FU44" s="130" t="n"/>
      <c r="FV44" s="131" t="n"/>
      <c r="FW44" s="130" t="n"/>
      <c r="FX44" s="131" t="n"/>
      <c r="FY44" s="130" t="n"/>
      <c r="FZ44" s="131" t="n"/>
      <c r="GA44" s="130" t="n"/>
      <c r="GB44" s="131" t="n"/>
      <c r="GC44" s="130" t="n"/>
      <c r="GD44" s="131" t="n"/>
      <c r="GE44" s="130" t="n"/>
      <c r="GF44" s="131" t="n"/>
      <c r="GG44" s="130" t="n"/>
      <c r="GH44" s="131" t="n"/>
      <c r="GI44" s="130" t="n"/>
      <c r="GJ44" s="131" t="n"/>
      <c r="GK44" s="193" t="n"/>
      <c r="GL44" s="133" t="n"/>
      <c r="GM44" s="134" t="n"/>
      <c r="GN44" s="133" t="n"/>
      <c r="GO44" s="134" t="n"/>
      <c r="GP44" s="133" t="n"/>
      <c r="GQ44" s="134" t="n"/>
      <c r="GR44" s="133" t="n"/>
      <c r="GS44" s="134" t="n"/>
      <c r="GT44" s="133" t="n"/>
      <c r="GU44" s="134" t="n"/>
      <c r="GV44" s="133" t="n"/>
      <c r="GW44" s="134" t="n"/>
      <c r="GX44" s="133" t="n"/>
      <c r="GY44" s="134" t="n"/>
      <c r="GZ44" s="133" t="n"/>
      <c r="HA44" s="134" t="n"/>
      <c r="HB44" s="194" t="n"/>
      <c r="HC44">
        <f>SUMIFS($G44:$HB44,$G$46:$HB$46,"&gt;="&amp;$HD$1,$G$46:$HB$46,"&lt;="&amp;$HD$2,$G$29:$HB$29,"&lt;&gt;ملاحظات",$G$28:$HB$28,"&gt;0")</f>
        <v>0</v>
      </c>
      <c r="HD44">
        <f>SUMIFS($G$28:$HB$28,$G$46:$HB$46,"&gt;="&amp;$HD$1,$G$46:$HB$46,"&lt;="&amp;$HD$2,$G$29:$HB$29,"&lt;&gt;ملاحظات",$G44:$HB44,"&gt;=0")</f>
        <v>0</v>
      </c>
    </row>
    <row r="45" ht="7.5" customHeight="1"/>
    <row r="46" hidden="1">
      <c r="G46" t="n">
        <v>1</v>
      </c>
      <c r="H46" t="n">
        <v>1</v>
      </c>
      <c r="I46" t="n">
        <v>1</v>
      </c>
      <c r="J46" t="n">
        <v>1</v>
      </c>
      <c r="K46" t="n">
        <v>1</v>
      </c>
      <c r="L46" t="n">
        <v>1</v>
      </c>
      <c r="M46" t="n">
        <v>1</v>
      </c>
      <c r="N46" t="n">
        <v>1</v>
      </c>
      <c r="O46" t="n">
        <v>1</v>
      </c>
      <c r="P46" t="n">
        <v>1</v>
      </c>
      <c r="Q46" t="n">
        <v>1</v>
      </c>
      <c r="R46" t="n">
        <v>1</v>
      </c>
      <c r="S46" t="n">
        <v>1</v>
      </c>
      <c r="T46" t="n">
        <v>1</v>
      </c>
      <c r="U46" t="n">
        <v>1</v>
      </c>
      <c r="V46" t="n">
        <v>1</v>
      </c>
      <c r="W46" t="n">
        <v>1</v>
      </c>
      <c r="X46" t="n">
        <v>2</v>
      </c>
      <c r="Y46" t="n">
        <v>2</v>
      </c>
      <c r="Z46" t="n">
        <v>2</v>
      </c>
      <c r="AA46" t="n">
        <v>2</v>
      </c>
      <c r="AB46" t="n">
        <v>2</v>
      </c>
      <c r="AC46" t="n">
        <v>2</v>
      </c>
      <c r="AD46" t="n">
        <v>2</v>
      </c>
      <c r="AE46" t="n">
        <v>2</v>
      </c>
      <c r="AF46" t="n">
        <v>2</v>
      </c>
      <c r="AG46" t="n">
        <v>2</v>
      </c>
      <c r="AH46" t="n">
        <v>2</v>
      </c>
      <c r="AI46" t="n">
        <v>2</v>
      </c>
      <c r="AJ46" t="n">
        <v>2</v>
      </c>
      <c r="AK46" t="n">
        <v>2</v>
      </c>
      <c r="AL46" t="n">
        <v>2</v>
      </c>
      <c r="AM46" t="n">
        <v>2</v>
      </c>
      <c r="AN46" t="n">
        <v>2</v>
      </c>
      <c r="AO46" t="n">
        <v>3</v>
      </c>
      <c r="AP46" t="n">
        <v>3</v>
      </c>
      <c r="AQ46" t="n">
        <v>3</v>
      </c>
      <c r="AR46" t="n">
        <v>3</v>
      </c>
      <c r="AS46" t="n">
        <v>3</v>
      </c>
      <c r="AT46" t="n">
        <v>3</v>
      </c>
      <c r="AU46" t="n">
        <v>3</v>
      </c>
      <c r="AV46" t="n">
        <v>3</v>
      </c>
      <c r="AW46" t="n">
        <v>3</v>
      </c>
      <c r="AX46" t="n">
        <v>3</v>
      </c>
      <c r="AY46" t="n">
        <v>3</v>
      </c>
      <c r="AZ46" t="n">
        <v>3</v>
      </c>
      <c r="BA46" t="n">
        <v>3</v>
      </c>
      <c r="BB46" t="n">
        <v>3</v>
      </c>
      <c r="BC46" t="n">
        <v>3</v>
      </c>
      <c r="BD46" t="n">
        <v>3</v>
      </c>
      <c r="BE46" t="n">
        <v>3</v>
      </c>
      <c r="BF46" t="n">
        <v>4</v>
      </c>
      <c r="BG46" t="n">
        <v>4</v>
      </c>
      <c r="BH46" t="n">
        <v>4</v>
      </c>
      <c r="BI46" t="n">
        <v>4</v>
      </c>
      <c r="BJ46" t="n">
        <v>4</v>
      </c>
      <c r="BK46" t="n">
        <v>4</v>
      </c>
      <c r="BL46" t="n">
        <v>4</v>
      </c>
      <c r="BM46" t="n">
        <v>4</v>
      </c>
      <c r="BN46" t="n">
        <v>4</v>
      </c>
      <c r="BO46" t="n">
        <v>4</v>
      </c>
      <c r="BP46" t="n">
        <v>4</v>
      </c>
      <c r="BQ46" t="n">
        <v>4</v>
      </c>
      <c r="BR46" t="n">
        <v>4</v>
      </c>
      <c r="BS46" t="n">
        <v>4</v>
      </c>
      <c r="BT46" t="n">
        <v>4</v>
      </c>
      <c r="BU46" t="n">
        <v>4</v>
      </c>
      <c r="BV46" t="n">
        <v>4</v>
      </c>
      <c r="BW46" t="n">
        <v>5</v>
      </c>
      <c r="BX46" t="n">
        <v>5</v>
      </c>
      <c r="BY46" t="n">
        <v>5</v>
      </c>
      <c r="BZ46" t="n">
        <v>5</v>
      </c>
      <c r="CA46" t="n">
        <v>5</v>
      </c>
      <c r="CB46" t="n">
        <v>5</v>
      </c>
      <c r="CC46" t="n">
        <v>5</v>
      </c>
      <c r="CD46" t="n">
        <v>5</v>
      </c>
      <c r="CE46" t="n">
        <v>5</v>
      </c>
      <c r="CF46" t="n">
        <v>5</v>
      </c>
      <c r="CG46" t="n">
        <v>5</v>
      </c>
      <c r="CH46" t="n">
        <v>5</v>
      </c>
      <c r="CI46" t="n">
        <v>5</v>
      </c>
      <c r="CJ46" t="n">
        <v>5</v>
      </c>
      <c r="CK46" t="n">
        <v>5</v>
      </c>
      <c r="CL46" t="n">
        <v>5</v>
      </c>
      <c r="CM46" t="n">
        <v>5</v>
      </c>
      <c r="CN46" t="n">
        <v>6</v>
      </c>
      <c r="CO46" t="n">
        <v>6</v>
      </c>
      <c r="CP46" t="n">
        <v>6</v>
      </c>
      <c r="CQ46" t="n">
        <v>6</v>
      </c>
      <c r="CR46" t="n">
        <v>6</v>
      </c>
      <c r="CS46" t="n">
        <v>6</v>
      </c>
      <c r="CT46" t="n">
        <v>6</v>
      </c>
      <c r="CU46" t="n">
        <v>6</v>
      </c>
      <c r="CV46" t="n">
        <v>6</v>
      </c>
      <c r="CW46" t="n">
        <v>6</v>
      </c>
      <c r="CX46" t="n">
        <v>6</v>
      </c>
      <c r="CY46" t="n">
        <v>6</v>
      </c>
      <c r="CZ46" t="n">
        <v>6</v>
      </c>
      <c r="DA46" t="n">
        <v>6</v>
      </c>
      <c r="DB46" t="n">
        <v>6</v>
      </c>
      <c r="DC46" t="n">
        <v>6</v>
      </c>
      <c r="DD46" t="n">
        <v>6</v>
      </c>
      <c r="DE46" t="n">
        <v>7</v>
      </c>
      <c r="DF46" t="n">
        <v>7</v>
      </c>
      <c r="DG46" t="n">
        <v>7</v>
      </c>
      <c r="DH46" t="n">
        <v>7</v>
      </c>
      <c r="DI46" t="n">
        <v>7</v>
      </c>
      <c r="DJ46" t="n">
        <v>7</v>
      </c>
      <c r="DK46" t="n">
        <v>7</v>
      </c>
      <c r="DL46" t="n">
        <v>7</v>
      </c>
      <c r="DM46" t="n">
        <v>7</v>
      </c>
      <c r="DN46" t="n">
        <v>7</v>
      </c>
      <c r="DO46" t="n">
        <v>7</v>
      </c>
      <c r="DP46" t="n">
        <v>7</v>
      </c>
      <c r="DQ46" t="n">
        <v>7</v>
      </c>
      <c r="DR46" t="n">
        <v>7</v>
      </c>
      <c r="DS46" t="n">
        <v>7</v>
      </c>
      <c r="DT46" t="n">
        <v>7</v>
      </c>
      <c r="DU46" t="n">
        <v>7</v>
      </c>
      <c r="DV46" t="n">
        <v>8</v>
      </c>
      <c r="DW46" t="n">
        <v>8</v>
      </c>
      <c r="DX46" t="n">
        <v>8</v>
      </c>
      <c r="DY46" t="n">
        <v>8</v>
      </c>
      <c r="DZ46" t="n">
        <v>8</v>
      </c>
      <c r="EA46" t="n">
        <v>8</v>
      </c>
      <c r="EB46" t="n">
        <v>8</v>
      </c>
      <c r="EC46" t="n">
        <v>8</v>
      </c>
      <c r="ED46" t="n">
        <v>8</v>
      </c>
      <c r="EE46" t="n">
        <v>8</v>
      </c>
      <c r="EF46" t="n">
        <v>8</v>
      </c>
      <c r="EG46" t="n">
        <v>8</v>
      </c>
      <c r="EH46" t="n">
        <v>8</v>
      </c>
      <c r="EI46" t="n">
        <v>8</v>
      </c>
      <c r="EJ46" t="n">
        <v>8</v>
      </c>
      <c r="EK46" t="n">
        <v>8</v>
      </c>
      <c r="EL46" t="n">
        <v>8</v>
      </c>
      <c r="EM46" t="n">
        <v>9</v>
      </c>
      <c r="EN46" t="n">
        <v>9</v>
      </c>
      <c r="EO46" t="n">
        <v>9</v>
      </c>
      <c r="EP46" t="n">
        <v>9</v>
      </c>
      <c r="EQ46" t="n">
        <v>9</v>
      </c>
      <c r="ER46" t="n">
        <v>9</v>
      </c>
      <c r="ES46" t="n">
        <v>9</v>
      </c>
      <c r="ET46" t="n">
        <v>9</v>
      </c>
      <c r="EU46" t="n">
        <v>9</v>
      </c>
      <c r="EV46" t="n">
        <v>9</v>
      </c>
      <c r="EW46" t="n">
        <v>9</v>
      </c>
      <c r="EX46" t="n">
        <v>9</v>
      </c>
      <c r="EY46" t="n">
        <v>9</v>
      </c>
      <c r="EZ46" t="n">
        <v>9</v>
      </c>
      <c r="FA46" t="n">
        <v>9</v>
      </c>
      <c r="FB46" t="n">
        <v>9</v>
      </c>
      <c r="FC46" t="n">
        <v>9</v>
      </c>
      <c r="FD46" t="n">
        <v>10</v>
      </c>
      <c r="FE46" t="n">
        <v>10</v>
      </c>
      <c r="FF46" t="n">
        <v>10</v>
      </c>
      <c r="FG46" t="n">
        <v>10</v>
      </c>
      <c r="FH46" t="n">
        <v>10</v>
      </c>
      <c r="FI46" t="n">
        <v>10</v>
      </c>
      <c r="FJ46" t="n">
        <v>10</v>
      </c>
      <c r="FK46" t="n">
        <v>10</v>
      </c>
      <c r="FL46" t="n">
        <v>10</v>
      </c>
      <c r="FM46" t="n">
        <v>10</v>
      </c>
      <c r="FN46" t="n">
        <v>10</v>
      </c>
      <c r="FO46" t="n">
        <v>10</v>
      </c>
      <c r="FP46" t="n">
        <v>10</v>
      </c>
      <c r="FQ46" t="n">
        <v>10</v>
      </c>
      <c r="FR46" t="n">
        <v>10</v>
      </c>
      <c r="FS46" t="n">
        <v>10</v>
      </c>
      <c r="FT46" t="n">
        <v>10</v>
      </c>
      <c r="FU46" t="n">
        <v>11</v>
      </c>
      <c r="FV46" t="n">
        <v>11</v>
      </c>
      <c r="FW46" t="n">
        <v>11</v>
      </c>
      <c r="FX46" t="n">
        <v>11</v>
      </c>
      <c r="FY46" t="n">
        <v>11</v>
      </c>
      <c r="FZ46" t="n">
        <v>11</v>
      </c>
      <c r="GA46" t="n">
        <v>11</v>
      </c>
      <c r="GB46" t="n">
        <v>11</v>
      </c>
      <c r="GC46" t="n">
        <v>11</v>
      </c>
      <c r="GD46" t="n">
        <v>11</v>
      </c>
      <c r="GE46" t="n">
        <v>11</v>
      </c>
      <c r="GF46" t="n">
        <v>11</v>
      </c>
      <c r="GG46" t="n">
        <v>11</v>
      </c>
      <c r="GH46" t="n">
        <v>11</v>
      </c>
      <c r="GI46" t="n">
        <v>11</v>
      </c>
      <c r="GJ46" t="n">
        <v>11</v>
      </c>
      <c r="GK46" t="n">
        <v>11</v>
      </c>
      <c r="GL46" t="n">
        <v>12</v>
      </c>
      <c r="GM46" t="n">
        <v>12</v>
      </c>
      <c r="GN46" t="n">
        <v>12</v>
      </c>
      <c r="GO46" t="n">
        <v>12</v>
      </c>
      <c r="GP46" t="n">
        <v>12</v>
      </c>
      <c r="GQ46" t="n">
        <v>12</v>
      </c>
      <c r="GR46" t="n">
        <v>12</v>
      </c>
      <c r="GS46" t="n">
        <v>12</v>
      </c>
      <c r="GT46" t="n">
        <v>12</v>
      </c>
      <c r="GU46" t="n">
        <v>12</v>
      </c>
      <c r="GV46" t="n">
        <v>12</v>
      </c>
      <c r="GW46" t="n">
        <v>12</v>
      </c>
      <c r="GX46" t="n">
        <v>12</v>
      </c>
      <c r="GY46" t="n">
        <v>12</v>
      </c>
      <c r="GZ46" t="n">
        <v>12</v>
      </c>
      <c r="HA46" t="n">
        <v>12</v>
      </c>
      <c r="HB46" t="n">
        <v>12</v>
      </c>
    </row>
    <row r="47" hidden="1">
      <c r="G47" t="n">
        <v>1</v>
      </c>
      <c r="H47" t="n">
        <v>1</v>
      </c>
      <c r="I47" t="n">
        <v>2</v>
      </c>
      <c r="J47" t="n">
        <v>2</v>
      </c>
      <c r="K47" t="n">
        <v>3</v>
      </c>
      <c r="L47" t="n">
        <v>3</v>
      </c>
      <c r="M47" t="n">
        <v>4</v>
      </c>
      <c r="N47" t="n">
        <v>4</v>
      </c>
      <c r="O47" t="n">
        <v>5</v>
      </c>
      <c r="P47" t="n">
        <v>5</v>
      </c>
      <c r="Q47" t="n">
        <v>6</v>
      </c>
      <c r="R47" t="n">
        <v>6</v>
      </c>
      <c r="S47" t="n">
        <v>7</v>
      </c>
      <c r="T47" t="n">
        <v>7</v>
      </c>
      <c r="U47" t="n">
        <v>8</v>
      </c>
      <c r="V47" t="n">
        <v>8</v>
      </c>
      <c r="W47" t="n">
        <v>0</v>
      </c>
      <c r="X47" t="n">
        <v>9</v>
      </c>
      <c r="Y47" t="n">
        <v>9</v>
      </c>
      <c r="Z47" t="n">
        <v>10</v>
      </c>
      <c r="AA47" t="n">
        <v>10</v>
      </c>
      <c r="AB47" t="n">
        <v>11</v>
      </c>
      <c r="AC47" t="n">
        <v>11</v>
      </c>
      <c r="AD47" t="n">
        <v>12</v>
      </c>
      <c r="AE47" t="n">
        <v>12</v>
      </c>
      <c r="AF47" t="n">
        <v>13</v>
      </c>
      <c r="AG47" t="n">
        <v>13</v>
      </c>
      <c r="AH47" t="n">
        <v>14</v>
      </c>
      <c r="AI47" t="n">
        <v>14</v>
      </c>
      <c r="AJ47" t="n">
        <v>15</v>
      </c>
      <c r="AK47" t="n">
        <v>15</v>
      </c>
      <c r="AL47" t="n">
        <v>16</v>
      </c>
      <c r="AM47" t="n">
        <v>16</v>
      </c>
      <c r="AN47" t="n">
        <v>0</v>
      </c>
      <c r="AO47" t="n">
        <v>17</v>
      </c>
      <c r="AP47" t="n">
        <v>17</v>
      </c>
      <c r="AQ47" t="n">
        <v>18</v>
      </c>
      <c r="AR47" t="n">
        <v>18</v>
      </c>
      <c r="AS47" t="n">
        <v>19</v>
      </c>
      <c r="AT47" t="n">
        <v>19</v>
      </c>
      <c r="AU47" t="n">
        <v>20</v>
      </c>
      <c r="AV47" t="n">
        <v>20</v>
      </c>
      <c r="AW47" t="n">
        <v>21</v>
      </c>
      <c r="AX47" t="n">
        <v>21</v>
      </c>
      <c r="AY47" t="n">
        <v>22</v>
      </c>
      <c r="AZ47" t="n">
        <v>22</v>
      </c>
      <c r="BA47" t="n">
        <v>23</v>
      </c>
      <c r="BB47" t="n">
        <v>23</v>
      </c>
      <c r="BC47" t="n">
        <v>24</v>
      </c>
      <c r="BD47" t="n">
        <v>24</v>
      </c>
      <c r="BE47" t="n">
        <v>0</v>
      </c>
      <c r="BF47" t="n">
        <v>25</v>
      </c>
      <c r="BG47" t="n">
        <v>25</v>
      </c>
      <c r="BH47" t="n">
        <v>26</v>
      </c>
      <c r="BI47" t="n">
        <v>26</v>
      </c>
      <c r="BJ47" t="n">
        <v>27</v>
      </c>
      <c r="BK47" t="n">
        <v>27</v>
      </c>
      <c r="BL47" t="n">
        <v>28</v>
      </c>
      <c r="BM47" t="n">
        <v>28</v>
      </c>
      <c r="BN47" t="n">
        <v>29</v>
      </c>
      <c r="BO47" t="n">
        <v>29</v>
      </c>
      <c r="BP47" t="n">
        <v>30</v>
      </c>
      <c r="BQ47" t="n">
        <v>30</v>
      </c>
      <c r="BR47" t="n">
        <v>31</v>
      </c>
      <c r="BS47" t="n">
        <v>31</v>
      </c>
      <c r="BT47" t="n">
        <v>32</v>
      </c>
      <c r="BU47" t="n">
        <v>32</v>
      </c>
      <c r="BV47" t="n">
        <v>0</v>
      </c>
      <c r="BW47" t="n">
        <v>33</v>
      </c>
      <c r="BX47" t="n">
        <v>33</v>
      </c>
      <c r="BY47" t="n">
        <v>34</v>
      </c>
      <c r="BZ47" t="n">
        <v>34</v>
      </c>
      <c r="CA47" t="n">
        <v>35</v>
      </c>
      <c r="CB47" t="n">
        <v>35</v>
      </c>
      <c r="CC47" t="n">
        <v>36</v>
      </c>
      <c r="CD47" t="n">
        <v>36</v>
      </c>
      <c r="CE47" t="n">
        <v>37</v>
      </c>
      <c r="CF47" t="n">
        <v>37</v>
      </c>
      <c r="CG47" t="n">
        <v>38</v>
      </c>
      <c r="CH47" t="n">
        <v>38</v>
      </c>
      <c r="CI47" t="n">
        <v>39</v>
      </c>
      <c r="CJ47" t="n">
        <v>39</v>
      </c>
      <c r="CK47" t="n">
        <v>40</v>
      </c>
      <c r="CL47" t="n">
        <v>40</v>
      </c>
      <c r="CM47" t="n">
        <v>0</v>
      </c>
      <c r="CN47" t="n">
        <v>41</v>
      </c>
      <c r="CO47" t="n">
        <v>41</v>
      </c>
      <c r="CP47" t="n">
        <v>42</v>
      </c>
      <c r="CQ47" t="n">
        <v>42</v>
      </c>
      <c r="CR47" t="n">
        <v>43</v>
      </c>
      <c r="CS47" t="n">
        <v>43</v>
      </c>
      <c r="CT47" t="n">
        <v>44</v>
      </c>
      <c r="CU47" t="n">
        <v>44</v>
      </c>
      <c r="CV47" t="n">
        <v>45</v>
      </c>
      <c r="CW47" t="n">
        <v>45</v>
      </c>
      <c r="CX47" t="n">
        <v>46</v>
      </c>
      <c r="CY47" t="n">
        <v>46</v>
      </c>
      <c r="CZ47" t="n">
        <v>47</v>
      </c>
      <c r="DA47" t="n">
        <v>47</v>
      </c>
      <c r="DB47" t="n">
        <v>48</v>
      </c>
      <c r="DC47" t="n">
        <v>48</v>
      </c>
      <c r="DD47" t="n">
        <v>0</v>
      </c>
      <c r="DE47" t="n">
        <v>49</v>
      </c>
      <c r="DF47" t="n">
        <v>49</v>
      </c>
      <c r="DG47" t="n">
        <v>50</v>
      </c>
      <c r="DH47" t="n">
        <v>50</v>
      </c>
      <c r="DI47" t="n">
        <v>51</v>
      </c>
      <c r="DJ47" t="n">
        <v>51</v>
      </c>
      <c r="DK47" t="n">
        <v>52</v>
      </c>
      <c r="DL47" t="n">
        <v>52</v>
      </c>
      <c r="DM47" t="n">
        <v>53</v>
      </c>
      <c r="DN47" t="n">
        <v>53</v>
      </c>
      <c r="DO47" t="n">
        <v>54</v>
      </c>
      <c r="DP47" t="n">
        <v>54</v>
      </c>
      <c r="DQ47" t="n">
        <v>55</v>
      </c>
      <c r="DR47" t="n">
        <v>55</v>
      </c>
      <c r="DS47" t="n">
        <v>56</v>
      </c>
      <c r="DT47" t="n">
        <v>56</v>
      </c>
      <c r="DU47" t="n">
        <v>0</v>
      </c>
      <c r="DV47" t="n">
        <v>57</v>
      </c>
      <c r="DW47" t="n">
        <v>57</v>
      </c>
      <c r="DX47" t="n">
        <v>58</v>
      </c>
      <c r="DY47" t="n">
        <v>58</v>
      </c>
      <c r="DZ47" t="n">
        <v>59</v>
      </c>
      <c r="EA47" t="n">
        <v>59</v>
      </c>
      <c r="EB47" t="n">
        <v>60</v>
      </c>
      <c r="EC47" t="n">
        <v>60</v>
      </c>
      <c r="ED47" t="n">
        <v>61</v>
      </c>
      <c r="EE47" t="n">
        <v>61</v>
      </c>
      <c r="EF47" t="n">
        <v>62</v>
      </c>
      <c r="EG47" t="n">
        <v>62</v>
      </c>
      <c r="EH47" t="n">
        <v>63</v>
      </c>
      <c r="EI47" t="n">
        <v>63</v>
      </c>
      <c r="EJ47" t="n">
        <v>64</v>
      </c>
      <c r="EK47" t="n">
        <v>64</v>
      </c>
      <c r="EL47" t="n">
        <v>0</v>
      </c>
      <c r="EM47" t="n">
        <v>65</v>
      </c>
      <c r="EN47" t="n">
        <v>65</v>
      </c>
      <c r="EO47" t="n">
        <v>66</v>
      </c>
      <c r="EP47" t="n">
        <v>66</v>
      </c>
      <c r="EQ47" t="n">
        <v>67</v>
      </c>
      <c r="ER47" t="n">
        <v>67</v>
      </c>
      <c r="ES47" t="n">
        <v>68</v>
      </c>
      <c r="ET47" t="n">
        <v>68</v>
      </c>
      <c r="EU47" t="n">
        <v>69</v>
      </c>
      <c r="EV47" t="n">
        <v>69</v>
      </c>
      <c r="EW47" t="n">
        <v>70</v>
      </c>
      <c r="EX47" t="n">
        <v>70</v>
      </c>
      <c r="EY47" t="n">
        <v>71</v>
      </c>
      <c r="EZ47" t="n">
        <v>71</v>
      </c>
      <c r="FA47" t="n">
        <v>72</v>
      </c>
      <c r="FB47" t="n">
        <v>72</v>
      </c>
      <c r="FC47" t="n">
        <v>0</v>
      </c>
      <c r="FD47" t="n">
        <v>73</v>
      </c>
      <c r="FE47" t="n">
        <v>73</v>
      </c>
      <c r="FF47" t="n">
        <v>74</v>
      </c>
      <c r="FG47" t="n">
        <v>74</v>
      </c>
      <c r="FH47" t="n">
        <v>75</v>
      </c>
      <c r="FI47" t="n">
        <v>75</v>
      </c>
      <c r="FJ47" t="n">
        <v>76</v>
      </c>
      <c r="FK47" t="n">
        <v>76</v>
      </c>
      <c r="FL47" t="n">
        <v>77</v>
      </c>
      <c r="FM47" t="n">
        <v>77</v>
      </c>
      <c r="FN47" t="n">
        <v>78</v>
      </c>
      <c r="FO47" t="n">
        <v>78</v>
      </c>
      <c r="FP47" t="n">
        <v>79</v>
      </c>
      <c r="FQ47" t="n">
        <v>79</v>
      </c>
      <c r="FR47" t="n">
        <v>80</v>
      </c>
      <c r="FS47" t="n">
        <v>80</v>
      </c>
      <c r="FT47" t="n">
        <v>0</v>
      </c>
      <c r="FU47" t="n">
        <v>81</v>
      </c>
      <c r="FV47" t="n">
        <v>81</v>
      </c>
      <c r="FW47" t="n">
        <v>82</v>
      </c>
      <c r="FX47" t="n">
        <v>82</v>
      </c>
      <c r="FY47" t="n">
        <v>83</v>
      </c>
      <c r="FZ47" t="n">
        <v>83</v>
      </c>
      <c r="GA47" t="n">
        <v>84</v>
      </c>
      <c r="GB47" t="n">
        <v>84</v>
      </c>
      <c r="GC47" t="n">
        <v>85</v>
      </c>
      <c r="GD47" t="n">
        <v>85</v>
      </c>
      <c r="GE47" t="n">
        <v>86</v>
      </c>
      <c r="GF47" t="n">
        <v>86</v>
      </c>
      <c r="GG47" t="n">
        <v>87</v>
      </c>
      <c r="GH47" t="n">
        <v>87</v>
      </c>
      <c r="GI47" t="n">
        <v>88</v>
      </c>
      <c r="GJ47" t="n">
        <v>88</v>
      </c>
      <c r="GK47" t="n">
        <v>0</v>
      </c>
      <c r="GL47" t="n">
        <v>89</v>
      </c>
      <c r="GM47" t="n">
        <v>89</v>
      </c>
      <c r="GN47" t="n">
        <v>90</v>
      </c>
      <c r="GO47" t="n">
        <v>90</v>
      </c>
      <c r="GP47" t="n">
        <v>91</v>
      </c>
      <c r="GQ47" t="n">
        <v>91</v>
      </c>
      <c r="GR47" t="n">
        <v>92</v>
      </c>
      <c r="GS47" t="n">
        <v>92</v>
      </c>
      <c r="GT47" t="n">
        <v>93</v>
      </c>
      <c r="GU47" t="n">
        <v>93</v>
      </c>
      <c r="GV47" t="n">
        <v>94</v>
      </c>
      <c r="GW47" t="n">
        <v>94</v>
      </c>
      <c r="GX47" t="n">
        <v>95</v>
      </c>
      <c r="GY47" t="n">
        <v>95</v>
      </c>
      <c r="GZ47" t="n">
        <v>96</v>
      </c>
      <c r="HA47" t="n">
        <v>96</v>
      </c>
      <c r="HB47" t="n">
        <v>0</v>
      </c>
    </row>
  </sheetData>
  <mergeCells count="340">
    <mergeCell ref="BW1:CM1"/>
    <mergeCell ref="X2:Y2"/>
    <mergeCell ref="FY2:FZ2"/>
    <mergeCell ref="FU1:GK1"/>
    <mergeCell ref="DV2:DW2"/>
    <mergeCell ref="CZ27:DA27"/>
    <mergeCell ref="DB27:DC27"/>
    <mergeCell ref="BH2:BI2"/>
    <mergeCell ref="BJ2:BK2"/>
    <mergeCell ref="EB3:EC3"/>
    <mergeCell ref="ED3:EE3"/>
    <mergeCell ref="FD2:FE2"/>
    <mergeCell ref="FF2:FG2"/>
    <mergeCell ref="AQ2:AR2"/>
    <mergeCell ref="AS2:AT2"/>
    <mergeCell ref="O27:P27"/>
    <mergeCell ref="GL3:GM3"/>
    <mergeCell ref="Q27:R27"/>
    <mergeCell ref="FN3:FO3"/>
    <mergeCell ref="CM27:CM28"/>
    <mergeCell ref="GR2:GS2"/>
    <mergeCell ref="A28:B28"/>
    <mergeCell ref="CC2:CD2"/>
    <mergeCell ref="CE2:CF2"/>
    <mergeCell ref="EW3:EX3"/>
    <mergeCell ref="GA2:GB2"/>
    <mergeCell ref="DI3:DJ3"/>
    <mergeCell ref="GL1:HB1"/>
    <mergeCell ref="AJ27:AK27"/>
    <mergeCell ref="DO2:DP2"/>
    <mergeCell ref="AL27:AM27"/>
    <mergeCell ref="DQ2:DR2"/>
    <mergeCell ref="GI3:GJ3"/>
    <mergeCell ref="CX2:CY2"/>
    <mergeCell ref="EM3:EN3"/>
    <mergeCell ref="CZ2:DA2"/>
    <mergeCell ref="X3:Y3"/>
    <mergeCell ref="Z3:AA3"/>
    <mergeCell ref="AF2:AG2"/>
    <mergeCell ref="EJ2:EK2"/>
    <mergeCell ref="FY3:FZ3"/>
    <mergeCell ref="BJ3:BK3"/>
    <mergeCell ref="BL3:BM3"/>
    <mergeCell ref="EM1:FC1"/>
    <mergeCell ref="X1:AN1"/>
    <mergeCell ref="HB27:HB28"/>
    <mergeCell ref="FF3:FG3"/>
    <mergeCell ref="FP3:FQ3"/>
    <mergeCell ref="FH3:FI3"/>
    <mergeCell ref="BA2:BB2"/>
    <mergeCell ref="BC27:BD27"/>
    <mergeCell ref="BC2:BD2"/>
    <mergeCell ref="A1:B1"/>
    <mergeCell ref="GR3:GS3"/>
    <mergeCell ref="GT3:GU3"/>
    <mergeCell ref="M2:N2"/>
    <mergeCell ref="CE3:CF3"/>
    <mergeCell ref="CG3:CH3"/>
    <mergeCell ref="CK2:CL2"/>
    <mergeCell ref="C20:F20"/>
    <mergeCell ref="FC27:FC28"/>
    <mergeCell ref="DQ3:DR3"/>
    <mergeCell ref="DS3:DT3"/>
    <mergeCell ref="AN27:AN28"/>
    <mergeCell ref="DK3:DL3"/>
    <mergeCell ref="C22:F22"/>
    <mergeCell ref="AH2:AI2"/>
    <mergeCell ref="FF27:FG27"/>
    <mergeCell ref="AF3:AG3"/>
    <mergeCell ref="A24:B24"/>
    <mergeCell ref="AH3:AI3"/>
    <mergeCell ref="BW27:BX27"/>
    <mergeCell ref="C27:E27"/>
    <mergeCell ref="BR3:BS3"/>
    <mergeCell ref="FN27:FO27"/>
    <mergeCell ref="BA3:BB3"/>
    <mergeCell ref="DG27:DH27"/>
    <mergeCell ref="BC3:BD3"/>
    <mergeCell ref="FT2:FT3"/>
    <mergeCell ref="DI27:DJ27"/>
    <mergeCell ref="M3:N3"/>
    <mergeCell ref="CP27:CQ27"/>
    <mergeCell ref="FC2:FC3"/>
    <mergeCell ref="FU2:FV2"/>
    <mergeCell ref="CR27:CS27"/>
    <mergeCell ref="AF27:AG27"/>
    <mergeCell ref="X27:Y27"/>
    <mergeCell ref="GI27:GJ27"/>
    <mergeCell ref="EB27:EC27"/>
    <mergeCell ref="ED27:EE27"/>
    <mergeCell ref="CN2:CO2"/>
    <mergeCell ref="FP27:FQ27"/>
    <mergeCell ref="BA27:BB27"/>
    <mergeCell ref="BE2:BE3"/>
    <mergeCell ref="BT3:BU3"/>
    <mergeCell ref="K2:L2"/>
    <mergeCell ref="EW27:EX27"/>
    <mergeCell ref="EY27:EZ27"/>
    <mergeCell ref="DG2:DH2"/>
    <mergeCell ref="FH27:FI27"/>
    <mergeCell ref="DI2:DJ2"/>
    <mergeCell ref="EJ27:EK27"/>
    <mergeCell ref="CE27:CF27"/>
    <mergeCell ref="AU2:AV2"/>
    <mergeCell ref="AQ27:AR27"/>
    <mergeCell ref="ES2:ET2"/>
    <mergeCell ref="GT27:GU27"/>
    <mergeCell ref="EU2:EV2"/>
    <mergeCell ref="EM27:EN27"/>
    <mergeCell ref="Z27:AA27"/>
    <mergeCell ref="FW3:FX3"/>
    <mergeCell ref="GC2:GD2"/>
    <mergeCell ref="DO27:DP27"/>
    <mergeCell ref="BP2:BQ2"/>
    <mergeCell ref="BJ27:BK27"/>
    <mergeCell ref="BL27:BM27"/>
    <mergeCell ref="FL2:FM2"/>
    <mergeCell ref="FN2:FO2"/>
    <mergeCell ref="FP2:FQ2"/>
    <mergeCell ref="CN3:CO3"/>
    <mergeCell ref="CP3:CQ3"/>
    <mergeCell ref="DX2:DY2"/>
    <mergeCell ref="DZ2:EA2"/>
    <mergeCell ref="CV27:CW27"/>
    <mergeCell ref="CX27:CY27"/>
    <mergeCell ref="GX2:GY2"/>
    <mergeCell ref="GZ2:HA2"/>
    <mergeCell ref="DX3:DY3"/>
    <mergeCell ref="DZ3:EA3"/>
    <mergeCell ref="CG27:CH27"/>
    <mergeCell ref="K3:L3"/>
    <mergeCell ref="CN1:DD1"/>
    <mergeCell ref="A2:B3"/>
    <mergeCell ref="AO2:AP2"/>
    <mergeCell ref="DQ27:DR27"/>
    <mergeCell ref="AW3:AX3"/>
    <mergeCell ref="AO3:AP3"/>
    <mergeCell ref="AQ3:AR3"/>
    <mergeCell ref="BY2:BZ2"/>
    <mergeCell ref="CA2:CB2"/>
    <mergeCell ref="ES3:ET3"/>
    <mergeCell ref="EU3:EV3"/>
    <mergeCell ref="GE2:GF2"/>
    <mergeCell ref="FW2:FX2"/>
    <mergeCell ref="A23:B23"/>
    <mergeCell ref="AH27:AI27"/>
    <mergeCell ref="AO1:BE1"/>
    <mergeCell ref="GE3:GF3"/>
    <mergeCell ref="GG3:GH3"/>
    <mergeCell ref="DD27:DD28"/>
    <mergeCell ref="CT2:CU2"/>
    <mergeCell ref="CV2:CW2"/>
    <mergeCell ref="C24:F25"/>
    <mergeCell ref="CV3:CW3"/>
    <mergeCell ref="CX3:CY3"/>
    <mergeCell ref="EF2:EG2"/>
    <mergeCell ref="EH2:EI2"/>
    <mergeCell ref="GZ3:HA3"/>
    <mergeCell ref="BF3:BG3"/>
    <mergeCell ref="S2:T2"/>
    <mergeCell ref="BH3:BI3"/>
    <mergeCell ref="U2:V2"/>
    <mergeCell ref="HB2:HB3"/>
    <mergeCell ref="GR27:GS27"/>
    <mergeCell ref="FD3:FE3"/>
    <mergeCell ref="BE27:BE28"/>
    <mergeCell ref="U3:V3"/>
    <mergeCell ref="AY2:AZ2"/>
    <mergeCell ref="FA2:FB2"/>
    <mergeCell ref="CA3:CB3"/>
    <mergeCell ref="CC3:CD3"/>
    <mergeCell ref="FW27:FX27"/>
    <mergeCell ref="FA3:FB3"/>
    <mergeCell ref="CT27:CU27"/>
    <mergeCell ref="DM3:DN3"/>
    <mergeCell ref="DO3:DP3"/>
    <mergeCell ref="BR2:BS2"/>
    <mergeCell ref="FD27:FE27"/>
    <mergeCell ref="W2:W3"/>
    <mergeCell ref="FT27:FT28"/>
    <mergeCell ref="DU2:DU3"/>
    <mergeCell ref="EH3:EI3"/>
    <mergeCell ref="EJ3:EK3"/>
    <mergeCell ref="FY27:FZ27"/>
    <mergeCell ref="FR3:FS3"/>
    <mergeCell ref="AY3:AZ3"/>
    <mergeCell ref="DE27:DF27"/>
    <mergeCell ref="ES27:ET27"/>
    <mergeCell ref="C28:F28"/>
    <mergeCell ref="CN27:CO27"/>
    <mergeCell ref="GE27:GF27"/>
    <mergeCell ref="GG27:GH27"/>
    <mergeCell ref="DX27:DY27"/>
    <mergeCell ref="GK2:GK3"/>
    <mergeCell ref="DZ27:EA27"/>
    <mergeCell ref="K27:L27"/>
    <mergeCell ref="M27:N27"/>
    <mergeCell ref="GL2:GM2"/>
    <mergeCell ref="GN2:GO2"/>
    <mergeCell ref="FL27:FM27"/>
    <mergeCell ref="AW27:AX27"/>
    <mergeCell ref="AO27:AP27"/>
    <mergeCell ref="AY27:AZ27"/>
    <mergeCell ref="BF1:BV1"/>
    <mergeCell ref="GZ27:HA27"/>
    <mergeCell ref="GN3:GO3"/>
    <mergeCell ref="G2:H2"/>
    <mergeCell ref="GP3:GQ3"/>
    <mergeCell ref="I2:J2"/>
    <mergeCell ref="EU27:EV27"/>
    <mergeCell ref="FD1:FT1"/>
    <mergeCell ref="DE2:DF2"/>
    <mergeCell ref="CK27:CL27"/>
    <mergeCell ref="GT2:GU2"/>
    <mergeCell ref="BR27:BS27"/>
    <mergeCell ref="BV2:BV3"/>
    <mergeCell ref="EM2:EN2"/>
    <mergeCell ref="BT27:BU27"/>
    <mergeCell ref="EO2:EP2"/>
    <mergeCell ref="EQ2:ER2"/>
    <mergeCell ref="Z2:AA2"/>
    <mergeCell ref="AB2:AC2"/>
    <mergeCell ref="AD2:AE2"/>
    <mergeCell ref="FU3:FV3"/>
    <mergeCell ref="FA27:FB27"/>
    <mergeCell ref="BL2:BM2"/>
    <mergeCell ref="BN2:BO2"/>
    <mergeCell ref="BF2:BG2"/>
    <mergeCell ref="BH27:BI27"/>
    <mergeCell ref="FH2:FI2"/>
    <mergeCell ref="FJ2:FK2"/>
    <mergeCell ref="AW2:AX2"/>
    <mergeCell ref="S27:T27"/>
    <mergeCell ref="U27:V27"/>
    <mergeCell ref="GV2:GW2"/>
    <mergeCell ref="CG2:CH2"/>
    <mergeCell ref="DV3:DW3"/>
    <mergeCell ref="CI2:CJ2"/>
    <mergeCell ref="CA27:CB27"/>
    <mergeCell ref="CC27:CD27"/>
    <mergeCell ref="G3:H3"/>
    <mergeCell ref="I3:J3"/>
    <mergeCell ref="DE3:DF3"/>
    <mergeCell ref="DS2:DT2"/>
    <mergeCell ref="DK2:DL2"/>
    <mergeCell ref="DM2:DN2"/>
    <mergeCell ref="AS3:AT3"/>
    <mergeCell ref="AU3:AV3"/>
    <mergeCell ref="DV1:EL1"/>
    <mergeCell ref="G1:W1"/>
    <mergeCell ref="GK27:GK28"/>
    <mergeCell ref="EO3:EP3"/>
    <mergeCell ref="DB2:DC2"/>
    <mergeCell ref="EQ3:ER3"/>
    <mergeCell ref="AB3:AC3"/>
    <mergeCell ref="AD3:AE3"/>
    <mergeCell ref="DE1:DU1"/>
    <mergeCell ref="AJ2:AK2"/>
    <mergeCell ref="AL2:AM2"/>
    <mergeCell ref="GA3:GB3"/>
    <mergeCell ref="GC3:GD3"/>
    <mergeCell ref="EH27:EI27"/>
    <mergeCell ref="BN3:BO3"/>
    <mergeCell ref="BP3:BQ3"/>
    <mergeCell ref="CR2:CS2"/>
    <mergeCell ref="FJ3:FK3"/>
    <mergeCell ref="FL3:FM3"/>
    <mergeCell ref="A27:B27"/>
    <mergeCell ref="FR2:FS2"/>
    <mergeCell ref="EL27:EL28"/>
    <mergeCell ref="CZ3:DA3"/>
    <mergeCell ref="CR3:CS3"/>
    <mergeCell ref="DB3:DC3"/>
    <mergeCell ref="W27:W28"/>
    <mergeCell ref="CT3:CU3"/>
    <mergeCell ref="ED2:EE2"/>
    <mergeCell ref="A22:B22"/>
    <mergeCell ref="GV3:GW3"/>
    <mergeCell ref="O2:P2"/>
    <mergeCell ref="GX3:GY3"/>
    <mergeCell ref="Q2:R2"/>
    <mergeCell ref="DU27:DU28"/>
    <mergeCell ref="GL27:GM27"/>
    <mergeCell ref="CI3:CJ3"/>
    <mergeCell ref="GN27:GO27"/>
    <mergeCell ref="C1:F3"/>
    <mergeCell ref="CK3:CL3"/>
    <mergeCell ref="O3:P3"/>
    <mergeCell ref="Q3:R3"/>
    <mergeCell ref="EW2:EX2"/>
    <mergeCell ref="EY2:EZ2"/>
    <mergeCell ref="BF27:BG27"/>
    <mergeCell ref="BY3:BZ3"/>
    <mergeCell ref="EY3:EZ3"/>
    <mergeCell ref="BV27:BV28"/>
    <mergeCell ref="AJ3:AK3"/>
    <mergeCell ref="AL3:AM3"/>
    <mergeCell ref="BT2:BU2"/>
    <mergeCell ref="GP27:GQ27"/>
    <mergeCell ref="BY27:BZ27"/>
    <mergeCell ref="EL2:EL3"/>
    <mergeCell ref="FR27:FS27"/>
    <mergeCell ref="FJ27:FK27"/>
    <mergeCell ref="DK27:DL27"/>
    <mergeCell ref="DM27:DN27"/>
    <mergeCell ref="EF3:EG3"/>
    <mergeCell ref="S3:T3"/>
    <mergeCell ref="FU27:FV27"/>
    <mergeCell ref="CM2:CM3"/>
    <mergeCell ref="AN2:AN3"/>
    <mergeCell ref="AB27:AC27"/>
    <mergeCell ref="AD27:AE27"/>
    <mergeCell ref="EF27:EG27"/>
    <mergeCell ref="EO27:EP27"/>
    <mergeCell ref="CP2:CQ2"/>
    <mergeCell ref="GA27:GB27"/>
    <mergeCell ref="EB2:EC2"/>
    <mergeCell ref="GC27:GD27"/>
    <mergeCell ref="C23:F23"/>
    <mergeCell ref="DV27:DW27"/>
    <mergeCell ref="G27:H27"/>
    <mergeCell ref="I27:J27"/>
    <mergeCell ref="A25:B25"/>
    <mergeCell ref="CI27:CJ27"/>
    <mergeCell ref="BW2:BX2"/>
    <mergeCell ref="DD2:DD3"/>
    <mergeCell ref="AS27:AT27"/>
    <mergeCell ref="AU27:AV27"/>
    <mergeCell ref="GV27:GW27"/>
    <mergeCell ref="GX27:GY27"/>
    <mergeCell ref="EQ27:ER27"/>
    <mergeCell ref="BW3:BX3"/>
    <mergeCell ref="A20:B20"/>
    <mergeCell ref="GG2:GH2"/>
    <mergeCell ref="GI2:GJ2"/>
    <mergeCell ref="DS27:DT27"/>
    <mergeCell ref="DG3:DH3"/>
    <mergeCell ref="GP2:GQ2"/>
    <mergeCell ref="BN27:BO27"/>
    <mergeCell ref="BP27:BQ27"/>
  </mergeCells>
  <conditionalFormatting sqref="G5:HB19">
    <cfRule type="expression" priority="1" dxfId="1">
      <formula>AND($B5&lt;&gt;"",G$4="ح",G$20&gt;0,N(G5)=0)</formula>
    </cfRule>
  </conditionalFormatting>
  <conditionalFormatting sqref="W5:W19">
    <cfRule type="expression" priority="2" dxfId="2">
      <formula>AND($B5&lt;&gt;"",N($W5)=0,SUMPRODUCT(--$G5:$V5)&gt;0)</formula>
    </cfRule>
  </conditionalFormatting>
  <conditionalFormatting sqref="AN5:AN19">
    <cfRule type="expression" priority="3" dxfId="2">
      <formula>AND($B5&lt;&gt;"",N($AN5)=0,SUMPRODUCT(--$X5:$AM5)&gt;0)</formula>
    </cfRule>
  </conditionalFormatting>
  <conditionalFormatting sqref="BE5:BE19">
    <cfRule type="expression" priority="4" dxfId="2">
      <formula>AND($B5&lt;&gt;"",N($BE5)=0,SUMPRODUCT(--$AO5:$BD5)&gt;0)</formula>
    </cfRule>
  </conditionalFormatting>
  <conditionalFormatting sqref="BV5:BV19">
    <cfRule type="expression" priority="5" dxfId="2">
      <formula>AND($B5&lt;&gt;"",N($BV5)=0,SUMPRODUCT(--$BF5:$BU5)&gt;0)</formula>
    </cfRule>
  </conditionalFormatting>
  <conditionalFormatting sqref="CM5:CM19">
    <cfRule type="expression" priority="6" dxfId="2">
      <formula>AND($B5&lt;&gt;"",N($CM5)=0,SUMPRODUCT(--$BW5:$CL5)&gt;0)</formula>
    </cfRule>
  </conditionalFormatting>
  <conditionalFormatting sqref="DD5:DD19">
    <cfRule type="expression" priority="7" dxfId="2">
      <formula>AND($B5&lt;&gt;"",N($DD5)=0,SUMPRODUCT(--$CN5:$DC5)&gt;0)</formula>
    </cfRule>
  </conditionalFormatting>
  <conditionalFormatting sqref="DU5:DU19">
    <cfRule type="expression" priority="8" dxfId="2">
      <formula>AND($B5&lt;&gt;"",N($DU5)=0,SUMPRODUCT(--$DE5:$DT5)&gt;0)</formula>
    </cfRule>
  </conditionalFormatting>
  <conditionalFormatting sqref="EL5:EL19">
    <cfRule type="expression" priority="9" dxfId="2">
      <formula>AND($B5&lt;&gt;"",N($EL5)=0,SUMPRODUCT(--$DV5:$EK5)&gt;0)</formula>
    </cfRule>
  </conditionalFormatting>
  <conditionalFormatting sqref="FC5:FC19">
    <cfRule type="expression" priority="10" dxfId="2">
      <formula>AND($B5&lt;&gt;"",N($FC5)=0,SUMPRODUCT(--$EM5:$FB5)&gt;0)</formula>
    </cfRule>
  </conditionalFormatting>
  <conditionalFormatting sqref="FT5:FT19">
    <cfRule type="expression" priority="11" dxfId="2">
      <formula>AND($B5&lt;&gt;"",N($FT5)=0,SUMPRODUCT(--$FD5:$FS5)&gt;0)</formula>
    </cfRule>
  </conditionalFormatting>
  <conditionalFormatting sqref="GK5:GK19">
    <cfRule type="expression" priority="12" dxfId="2">
      <formula>AND($B5&lt;&gt;"",N($GK5)=0,SUMPRODUCT(--$FU5:$GJ5)&gt;0)</formula>
    </cfRule>
  </conditionalFormatting>
  <conditionalFormatting sqref="HB5:HB19">
    <cfRule type="expression" priority="13" dxfId="2">
      <formula>AND($B5&lt;&gt;"",N($HB5)=0,SUMPRODUCT(--$GL5:$HA5)&gt;0)</formula>
    </cfRule>
  </conditionalFormatting>
  <conditionalFormatting sqref="G3:HB3">
    <cfRule type="expression" priority="14" dxfId="0">
      <formula>AND(G3&lt;&gt;"",G3=TODAY())</formula>
    </cfRule>
  </conditionalFormatting>
  <conditionalFormatting sqref="D5:D19">
    <cfRule type="expression" priority="15" dxfId="1">
      <formula>AND(ISNUMBER(D5),D5&gt;=$HG$1)</formula>
    </cfRule>
  </conditionalFormatting>
  <conditionalFormatting sqref="E5:E19">
    <cfRule type="expression" priority="16" dxfId="0">
      <formula>AND(ISNUMBER(E5),E5&gt;=2)</formula>
    </cfRule>
  </conditionalFormatting>
  <conditionalFormatting sqref="F5:F19">
    <cfRule type="expression" priority="17" dxfId="2">
      <formula>AND(F5&lt;&gt;"",F5&lt;&gt;"تمام",F5&lt;&gt;"-")</formula>
    </cfRule>
  </conditionalFormatting>
  <conditionalFormatting sqref="G30:HB44">
    <cfRule type="expression" priority="18" dxfId="1">
      <formula>AND(G$29&lt;&gt;"ملاحظات",ISNUMBER(G30),ISNUMBER(G$28),G30&gt;G$28)</formula>
    </cfRule>
    <cfRule type="expression" priority="19" dxfId="3">
      <formula>AND(G$29&lt;&gt;"ملاحظات",ISNUMBER(G30),ISNUMBER(G$28),G30&lt;G$28/2)</formula>
    </cfRule>
  </conditionalFormatting>
  <conditionalFormatting sqref="E30:E44">
    <cfRule type="expression" priority="20" dxfId="0">
      <formula>AND(ISNUMBER(E30),E30&lt;=3)</formula>
    </cfRule>
  </conditionalFormatting>
  <conditionalFormatting sqref="G28:HB28">
    <cfRule type="expression" priority="21" dxfId="2">
      <formula>AND(G$29&lt;&gt;"ملاحظات",NOT(ISNUMBER(G28)),COUNT(G$30:G$44)&gt;0)</formula>
    </cfRule>
  </conditionalFormatting>
  <dataValidations count="4">
    <dataValidation sqref="G27 I27 K27 M27 O27 Q27 S27 U27 X27 Z27 AB27 AD27 AF27 AH27 AJ27 AL27 AO27 AQ27 AS27 AU27 AW27 AY27 BA27 BC27 BF27 BH27 BJ27 BL27 BN27 BP27 BR27 BT27 BW27 BY27 CA27 CC27 CE27 CG27 CI27 CK27 CN27 CP27 CR27 CT27 CV27 CX27 CZ27 DB27 DE27 DG27 DI27 DK27 DM27 DO27 DQ27 DS27 DV27 DX27 DZ27 EB27 ED27 EF27 EH27 EJ27 EM27 EO27 EQ27 ES27 EU27 EW27 EY27 FA27 FD27 FF27 FH27 FJ27 FL27 FN27 FP27 FR27 FU27 FW27 FY27 GA27 GC27 GE27 GG27 GI27 GL27 GN27 GP27 GR27 GT27 GV27 GX27 GZ27" showDropDown="0" showInputMessage="0" showErrorMessage="1" allowBlank="1" type="list" errorStyle="warning">
      <formula1>"وحدة,شهر"</formula1>
    </dataValidation>
    <dataValidation sqref="F27" showDropDown="0" showInputMessage="0" showErrorMessage="1" allowBlank="0" type="list">
      <formula1>'حسابات'!$F$2:$F$14</formula1>
    </dataValidation>
    <dataValidation sqref="G28:V28 G30:V44 X28:AM28 X30:AM44 AO28:BD28 AO30:BD44 BF28:BU28 BF30:BU44 BW28:CL28 BW30:CL44 CN28:DC28 CN30:DC44 DE28:DT28 DE30:DT44 DV28:EK28 DV30:EK44 EM28:FB28 EM30:FB44 FD28:FS28 FD30:FS44 FU28:GJ28 FU30:GJ44 GL28:HA28 GL30:HA44" showDropDown="0" showInputMessage="0" showErrorMessage="1" allowBlank="1" errorTitle="الدرجة" error="اكتبي رقم بس، بالشكل ده: 8 أو 8.5" type="decimal" operator="between">
      <formula1>0</formula1>
      <formula2>1000</formula2>
    </dataValidation>
    <dataValidation sqref="G3:V3 X3:AM3 AO3:BD3 BF3:BU3 BW3:CL3 CN3:DC3 DE3:DT3 DV3:EK3 EM3:FB3 FD3:FS3 FU3:GJ3 GL3:HA3" showDropDown="0" showInputMessage="0" showErrorMessage="1" allowBlank="1" errorTitle="التاريخ" error="اكتبي التاريخ كده: 5/10" type="date" operator="greaterThan">
      <formula1>40000</formula1>
    </dataValidation>
  </dataValidations>
  <pageMargins left="0.75" right="0.75" top="1" bottom="1" header="0.5" footer="0.5"/>
</worksheet>
</file>

<file path=xl/worksheets/sheet6.xml><?xml version="1.0" encoding="utf-8"?>
<worksheet xmlns="http://schemas.openxmlformats.org/spreadsheetml/2006/main">
  <sheetPr>
    <tabColor rgb="00A9DEF9"/>
    <outlinePr summaryBelow="1" summaryRight="1"/>
    <pageSetUpPr/>
  </sheetPr>
  <dimension ref="A1:HG47"/>
  <sheetViews>
    <sheetView showGridLines="0" rightToLeft="1" workbookViewId="0">
      <pane xSplit="2" ySplit="3" topLeftCell="C4" activePane="bottomRight" state="frozen"/>
      <selection pane="topRight"/>
      <selection pane="bottomLeft"/>
      <selection pane="bottomRight" activeCell="A1" sqref="A1"/>
    </sheetView>
  </sheetViews>
  <sheetFormatPr baseColWidth="8" defaultRowHeight="15"/>
  <cols>
    <col width="3.57" customWidth="1" min="1" max="1"/>
    <col width="19.29" customWidth="1" min="2" max="2"/>
    <col width="14.71" customWidth="1" min="3" max="3"/>
    <col width="5.86" customWidth="1" min="4" max="4"/>
    <col width="5.86" customWidth="1" min="5" max="5"/>
    <col width="10.71" customWidth="1" min="6" max="6"/>
    <col outlineLevel="1" width="5" customWidth="1" min="7" max="7"/>
    <col outlineLevel="1" width="5" customWidth="1" min="8" max="8"/>
    <col outlineLevel="1" width="5" customWidth="1" min="9" max="9"/>
    <col outlineLevel="1" width="5" customWidth="1" min="10" max="10"/>
    <col outlineLevel="1" width="5" customWidth="1" min="11" max="11"/>
    <col outlineLevel="1" width="5" customWidth="1" min="12" max="12"/>
    <col outlineLevel="1" width="5" customWidth="1" min="13" max="13"/>
    <col outlineLevel="1" width="5" customWidth="1" min="14" max="14"/>
    <col outlineLevel="1" width="5" customWidth="1" min="15" max="15"/>
    <col outlineLevel="1" width="5" customWidth="1" min="16" max="16"/>
    <col outlineLevel="1" width="5" customWidth="1" min="17" max="17"/>
    <col outlineLevel="1" width="5" customWidth="1" min="18" max="18"/>
    <col outlineLevel="1" width="5" customWidth="1" min="19" max="19"/>
    <col outlineLevel="1" width="5" customWidth="1" min="20" max="20"/>
    <col outlineLevel="1" width="5" customWidth="1" min="21" max="21"/>
    <col outlineLevel="1" width="5" customWidth="1" min="22" max="22"/>
    <col width="14.14" customWidth="1" min="23" max="23"/>
    <col outlineLevel="1" width="5" customWidth="1" min="24" max="24"/>
    <col outlineLevel="1" width="5" customWidth="1" min="25" max="25"/>
    <col outlineLevel="1" width="5" customWidth="1" min="26" max="26"/>
    <col outlineLevel="1" width="5" customWidth="1" min="27" max="27"/>
    <col outlineLevel="1" width="5" customWidth="1" min="28" max="28"/>
    <col outlineLevel="1" width="5" customWidth="1" min="29" max="29"/>
    <col outlineLevel="1" width="5" customWidth="1" min="30" max="30"/>
    <col outlineLevel="1" width="5" customWidth="1" min="31" max="31"/>
    <col outlineLevel="1" width="5" customWidth="1" min="32" max="32"/>
    <col outlineLevel="1" width="5" customWidth="1" min="33" max="33"/>
    <col outlineLevel="1" width="5" customWidth="1" min="34" max="34"/>
    <col outlineLevel="1" width="5" customWidth="1" min="35" max="35"/>
    <col outlineLevel="1" width="5" customWidth="1" min="36" max="36"/>
    <col outlineLevel="1" width="5" customWidth="1" min="37" max="37"/>
    <col outlineLevel="1" width="5" customWidth="1" min="38" max="38"/>
    <col outlineLevel="1" width="5" customWidth="1" min="39" max="39"/>
    <col width="14.14" customWidth="1" min="40" max="40"/>
    <col outlineLevel="1" width="5" customWidth="1" min="41" max="41"/>
    <col outlineLevel="1" width="5" customWidth="1" min="42" max="42"/>
    <col outlineLevel="1" width="5" customWidth="1" min="43" max="43"/>
    <col outlineLevel="1" width="5" customWidth="1" min="44" max="44"/>
    <col outlineLevel="1" width="5" customWidth="1" min="45" max="45"/>
    <col outlineLevel="1" width="5" customWidth="1" min="46" max="46"/>
    <col outlineLevel="1" width="5" customWidth="1" min="47" max="47"/>
    <col outlineLevel="1" width="5" customWidth="1" min="48" max="48"/>
    <col outlineLevel="1" width="5" customWidth="1" min="49" max="49"/>
    <col outlineLevel="1" width="5" customWidth="1" min="50" max="50"/>
    <col outlineLevel="1" width="5" customWidth="1" min="51" max="51"/>
    <col outlineLevel="1" width="5" customWidth="1" min="52" max="52"/>
    <col outlineLevel="1" width="5" customWidth="1" min="53" max="53"/>
    <col outlineLevel="1" width="5" customWidth="1" min="54" max="54"/>
    <col outlineLevel="1" width="5" customWidth="1" min="55" max="55"/>
    <col outlineLevel="1" width="5" customWidth="1" min="56" max="56"/>
    <col width="14.14" customWidth="1" min="57" max="57"/>
    <col outlineLevel="1" width="5" customWidth="1" min="58" max="58"/>
    <col outlineLevel="1" width="5" customWidth="1" min="59" max="59"/>
    <col outlineLevel="1" width="5" customWidth="1" min="60" max="60"/>
    <col outlineLevel="1" width="5" customWidth="1" min="61" max="61"/>
    <col outlineLevel="1" width="5" customWidth="1" min="62" max="62"/>
    <col outlineLevel="1" width="5" customWidth="1" min="63" max="63"/>
    <col outlineLevel="1" width="5" customWidth="1" min="64" max="64"/>
    <col outlineLevel="1" width="5" customWidth="1" min="65" max="65"/>
    <col outlineLevel="1" width="5" customWidth="1" min="66" max="66"/>
    <col outlineLevel="1" width="5" customWidth="1" min="67" max="67"/>
    <col outlineLevel="1" width="5" customWidth="1" min="68" max="68"/>
    <col outlineLevel="1" width="5" customWidth="1" min="69" max="69"/>
    <col outlineLevel="1" width="5" customWidth="1" min="70" max="70"/>
    <col outlineLevel="1" width="5" customWidth="1" min="71" max="71"/>
    <col outlineLevel="1" width="5" customWidth="1" min="72" max="72"/>
    <col outlineLevel="1" width="5" customWidth="1" min="73" max="73"/>
    <col width="14.14" customWidth="1" min="74" max="74"/>
    <col outlineLevel="1" width="5" customWidth="1" min="75" max="75"/>
    <col outlineLevel="1" width="5" customWidth="1" min="76" max="76"/>
    <col outlineLevel="1" width="5" customWidth="1" min="77" max="77"/>
    <col outlineLevel="1" width="5" customWidth="1" min="78" max="78"/>
    <col outlineLevel="1" width="5" customWidth="1" min="79" max="79"/>
    <col outlineLevel="1" width="5" customWidth="1" min="80" max="80"/>
    <col outlineLevel="1" width="5" customWidth="1" min="81" max="81"/>
    <col outlineLevel="1" width="5" customWidth="1" min="82" max="82"/>
    <col outlineLevel="1" width="5" customWidth="1" min="83" max="83"/>
    <col outlineLevel="1" width="5" customWidth="1" min="84" max="84"/>
    <col outlineLevel="1" width="5" customWidth="1" min="85" max="85"/>
    <col outlineLevel="1" width="5" customWidth="1" min="86" max="86"/>
    <col outlineLevel="1" width="5" customWidth="1" min="87" max="87"/>
    <col outlineLevel="1" width="5" customWidth="1" min="88" max="88"/>
    <col outlineLevel="1" width="5" customWidth="1" min="89" max="89"/>
    <col outlineLevel="1" width="5" customWidth="1" min="90" max="90"/>
    <col width="14.14" customWidth="1" min="91" max="91"/>
    <col outlineLevel="1" width="5" customWidth="1" min="92" max="92"/>
    <col outlineLevel="1" width="5" customWidth="1" min="93" max="93"/>
    <col outlineLevel="1" width="5" customWidth="1" min="94" max="94"/>
    <col outlineLevel="1" width="5" customWidth="1" min="95" max="95"/>
    <col outlineLevel="1" width="5" customWidth="1" min="96" max="96"/>
    <col outlineLevel="1" width="5" customWidth="1" min="97" max="97"/>
    <col outlineLevel="1" width="5" customWidth="1" min="98" max="98"/>
    <col outlineLevel="1" width="5" customWidth="1" min="99" max="99"/>
    <col outlineLevel="1" width="5" customWidth="1" min="100" max="100"/>
    <col outlineLevel="1" width="5" customWidth="1" min="101" max="101"/>
    <col outlineLevel="1" width="5" customWidth="1" min="102" max="102"/>
    <col outlineLevel="1" width="5" customWidth="1" min="103" max="103"/>
    <col outlineLevel="1" width="5" customWidth="1" min="104" max="104"/>
    <col outlineLevel="1" width="5" customWidth="1" min="105" max="105"/>
    <col outlineLevel="1" width="5" customWidth="1" min="106" max="106"/>
    <col outlineLevel="1" width="5" customWidth="1" min="107" max="107"/>
    <col width="14.14" customWidth="1" min="108" max="108"/>
    <col outlineLevel="1" width="5" customWidth="1" min="109" max="109"/>
    <col outlineLevel="1" width="5" customWidth="1" min="110" max="110"/>
    <col outlineLevel="1" width="5" customWidth="1" min="111" max="111"/>
    <col outlineLevel="1" width="5" customWidth="1" min="112" max="112"/>
    <col outlineLevel="1" width="5" customWidth="1" min="113" max="113"/>
    <col outlineLevel="1" width="5" customWidth="1" min="114" max="114"/>
    <col outlineLevel="1" width="5" customWidth="1" min="115" max="115"/>
    <col outlineLevel="1" width="5" customWidth="1" min="116" max="116"/>
    <col outlineLevel="1" width="5" customWidth="1" min="117" max="117"/>
    <col outlineLevel="1" width="5" customWidth="1" min="118" max="118"/>
    <col outlineLevel="1" width="5" customWidth="1" min="119" max="119"/>
    <col outlineLevel="1" width="5" customWidth="1" min="120" max="120"/>
    <col outlineLevel="1" width="5" customWidth="1" min="121" max="121"/>
    <col outlineLevel="1" width="5" customWidth="1" min="122" max="122"/>
    <col outlineLevel="1" width="5" customWidth="1" min="123" max="123"/>
    <col outlineLevel="1" width="5" customWidth="1" min="124" max="124"/>
    <col width="14.14" customWidth="1" min="125" max="125"/>
    <col outlineLevel="1" width="5" customWidth="1" min="126" max="126"/>
    <col outlineLevel="1" width="5" customWidth="1" min="127" max="127"/>
    <col outlineLevel="1" width="5" customWidth="1" min="128" max="128"/>
    <col outlineLevel="1" width="5" customWidth="1" min="129" max="129"/>
    <col outlineLevel="1" width="5" customWidth="1" min="130" max="130"/>
    <col outlineLevel="1" width="5" customWidth="1" min="131" max="131"/>
    <col outlineLevel="1" width="5" customWidth="1" min="132" max="132"/>
    <col outlineLevel="1" width="5" customWidth="1" min="133" max="133"/>
    <col outlineLevel="1" width="5" customWidth="1" min="134" max="134"/>
    <col outlineLevel="1" width="5" customWidth="1" min="135" max="135"/>
    <col outlineLevel="1" width="5" customWidth="1" min="136" max="136"/>
    <col outlineLevel="1" width="5" customWidth="1" min="137" max="137"/>
    <col outlineLevel="1" width="5" customWidth="1" min="138" max="138"/>
    <col outlineLevel="1" width="5" customWidth="1" min="139" max="139"/>
    <col outlineLevel="1" width="5" customWidth="1" min="140" max="140"/>
    <col outlineLevel="1" width="5" customWidth="1" min="141" max="141"/>
    <col width="14.14" customWidth="1" min="142" max="142"/>
    <col outlineLevel="1" width="5" customWidth="1" min="143" max="143"/>
    <col outlineLevel="1" width="5" customWidth="1" min="144" max="144"/>
    <col outlineLevel="1" width="5" customWidth="1" min="145" max="145"/>
    <col outlineLevel="1" width="5" customWidth="1" min="146" max="146"/>
    <col outlineLevel="1" width="5" customWidth="1" min="147" max="147"/>
    <col outlineLevel="1" width="5" customWidth="1" min="148" max="148"/>
    <col outlineLevel="1" width="5" customWidth="1" min="149" max="149"/>
    <col outlineLevel="1" width="5" customWidth="1" min="150" max="150"/>
    <col outlineLevel="1" width="5" customWidth="1" min="151" max="151"/>
    <col outlineLevel="1" width="5" customWidth="1" min="152" max="152"/>
    <col outlineLevel="1" width="5" customWidth="1" min="153" max="153"/>
    <col outlineLevel="1" width="5" customWidth="1" min="154" max="154"/>
    <col outlineLevel="1" width="5" customWidth="1" min="155" max="155"/>
    <col outlineLevel="1" width="5" customWidth="1" min="156" max="156"/>
    <col outlineLevel="1" width="5" customWidth="1" min="157" max="157"/>
    <col outlineLevel="1" width="5" customWidth="1" min="158" max="158"/>
    <col width="14.14" customWidth="1" min="159" max="159"/>
    <col outlineLevel="1" width="5" customWidth="1" min="160" max="160"/>
    <col outlineLevel="1" width="5" customWidth="1" min="161" max="161"/>
    <col outlineLevel="1" width="5" customWidth="1" min="162" max="162"/>
    <col outlineLevel="1" width="5" customWidth="1" min="163" max="163"/>
    <col outlineLevel="1" width="5" customWidth="1" min="164" max="164"/>
    <col outlineLevel="1" width="5" customWidth="1" min="165" max="165"/>
    <col outlineLevel="1" width="5" customWidth="1" min="166" max="166"/>
    <col outlineLevel="1" width="5" customWidth="1" min="167" max="167"/>
    <col outlineLevel="1" width="5" customWidth="1" min="168" max="168"/>
    <col outlineLevel="1" width="5" customWidth="1" min="169" max="169"/>
    <col outlineLevel="1" width="5" customWidth="1" min="170" max="170"/>
    <col outlineLevel="1" width="5" customWidth="1" min="171" max="171"/>
    <col outlineLevel="1" width="5" customWidth="1" min="172" max="172"/>
    <col outlineLevel="1" width="5" customWidth="1" min="173" max="173"/>
    <col outlineLevel="1" width="5" customWidth="1" min="174" max="174"/>
    <col outlineLevel="1" width="5" customWidth="1" min="175" max="175"/>
    <col width="14.14" customWidth="1" min="176" max="176"/>
    <col outlineLevel="1" width="5" customWidth="1" min="177" max="177"/>
    <col outlineLevel="1" width="5" customWidth="1" min="178" max="178"/>
    <col outlineLevel="1" width="5" customWidth="1" min="179" max="179"/>
    <col outlineLevel="1" width="5" customWidth="1" min="180" max="180"/>
    <col outlineLevel="1" width="5" customWidth="1" min="181" max="181"/>
    <col outlineLevel="1" width="5" customWidth="1" min="182" max="182"/>
    <col outlineLevel="1" width="5" customWidth="1" min="183" max="183"/>
    <col outlineLevel="1" width="5" customWidth="1" min="184" max="184"/>
    <col outlineLevel="1" width="5" customWidth="1" min="185" max="185"/>
    <col outlineLevel="1" width="5" customWidth="1" min="186" max="186"/>
    <col outlineLevel="1" width="5" customWidth="1" min="187" max="187"/>
    <col outlineLevel="1" width="5" customWidth="1" min="188" max="188"/>
    <col outlineLevel="1" width="5" customWidth="1" min="189" max="189"/>
    <col outlineLevel="1" width="5" customWidth="1" min="190" max="190"/>
    <col outlineLevel="1" width="5" customWidth="1" min="191" max="191"/>
    <col outlineLevel="1" width="5" customWidth="1" min="192" max="192"/>
    <col width="14.14" customWidth="1" min="193" max="193"/>
    <col outlineLevel="1" width="5" customWidth="1" min="194" max="194"/>
    <col outlineLevel="1" width="5" customWidth="1" min="195" max="195"/>
    <col outlineLevel="1" width="5" customWidth="1" min="196" max="196"/>
    <col outlineLevel="1" width="5" customWidth="1" min="197" max="197"/>
    <col outlineLevel="1" width="5" customWidth="1" min="198" max="198"/>
    <col outlineLevel="1" width="5" customWidth="1" min="199" max="199"/>
    <col outlineLevel="1" width="5" customWidth="1" min="200" max="200"/>
    <col outlineLevel="1" width="5" customWidth="1" min="201" max="201"/>
    <col outlineLevel="1" width="5" customWidth="1" min="202" max="202"/>
    <col outlineLevel="1" width="5" customWidth="1" min="203" max="203"/>
    <col outlineLevel="1" width="5" customWidth="1" min="204" max="204"/>
    <col outlineLevel="1" width="5" customWidth="1" min="205" max="205"/>
    <col outlineLevel="1" width="5" customWidth="1" min="206" max="206"/>
    <col outlineLevel="1" width="5" customWidth="1" min="207" max="207"/>
    <col outlineLevel="1" width="5" customWidth="1" min="208" max="208"/>
    <col outlineLevel="1" width="5" customWidth="1" min="209" max="209"/>
    <col width="14.14" customWidth="1" min="210" max="210"/>
    <col hidden="1" width="7.86" customWidth="1" min="211" max="211"/>
    <col hidden="1" width="7.86" customWidth="1" min="212" max="212"/>
    <col hidden="1" width="7.86" customWidth="1" min="213" max="213"/>
    <col hidden="1" width="7.86" customWidth="1" min="214" max="214"/>
    <col hidden="1" width="7.86" customWidth="1" min="215" max="215"/>
  </cols>
  <sheetData>
    <row r="1" ht="24" customHeight="1">
      <c r="A1" s="40" t="inlineStr">
        <is>
          <t>مجموعة 4</t>
        </is>
      </c>
      <c r="B1" s="4" t="n"/>
      <c r="C1" s="41" t="str">
        <f>"عدد الطلاب: "&amp;$HE$1&amp;CHAR(10)&amp;"الغياب والواجب الناقص: في آخر 8 حصص"</f>
        <v>عدد الطلاب: 0
الغياب والواجب الناقص: في آخر 8 حصص</v>
      </c>
      <c r="D1" s="42" t="n"/>
      <c r="E1" s="42" t="n"/>
      <c r="F1" s="43" t="n"/>
      <c r="G1" s="44" t="inlineStr">
        <is>
          <t>الشهر 1</t>
        </is>
      </c>
      <c r="H1" s="13" t="n"/>
      <c r="I1" s="13" t="n"/>
      <c r="J1" s="13" t="n"/>
      <c r="K1" s="13" t="n"/>
      <c r="L1" s="13" t="n"/>
      <c r="M1" s="13" t="n"/>
      <c r="N1" s="13" t="n"/>
      <c r="O1" s="13" t="n"/>
      <c r="P1" s="13" t="n"/>
      <c r="Q1" s="13" t="n"/>
      <c r="R1" s="13" t="n"/>
      <c r="S1" s="13" t="n"/>
      <c r="T1" s="13" t="n"/>
      <c r="U1" s="13" t="n"/>
      <c r="V1" s="13" t="n"/>
      <c r="W1" s="4" t="n"/>
      <c r="X1" s="45" t="inlineStr">
        <is>
          <t>الشهر 2</t>
        </is>
      </c>
      <c r="Y1" s="13" t="n"/>
      <c r="Z1" s="13" t="n"/>
      <c r="AA1" s="13" t="n"/>
      <c r="AB1" s="13" t="n"/>
      <c r="AC1" s="13" t="n"/>
      <c r="AD1" s="13" t="n"/>
      <c r="AE1" s="13" t="n"/>
      <c r="AF1" s="13" t="n"/>
      <c r="AG1" s="13" t="n"/>
      <c r="AH1" s="13" t="n"/>
      <c r="AI1" s="13" t="n"/>
      <c r="AJ1" s="13" t="n"/>
      <c r="AK1" s="13" t="n"/>
      <c r="AL1" s="13" t="n"/>
      <c r="AM1" s="13" t="n"/>
      <c r="AN1" s="4" t="n"/>
      <c r="AO1" s="46" t="inlineStr">
        <is>
          <t>الشهر 3</t>
        </is>
      </c>
      <c r="AP1" s="13" t="n"/>
      <c r="AQ1" s="13" t="n"/>
      <c r="AR1" s="13" t="n"/>
      <c r="AS1" s="13" t="n"/>
      <c r="AT1" s="13" t="n"/>
      <c r="AU1" s="13" t="n"/>
      <c r="AV1" s="13" t="n"/>
      <c r="AW1" s="13" t="n"/>
      <c r="AX1" s="13" t="n"/>
      <c r="AY1" s="13" t="n"/>
      <c r="AZ1" s="13" t="n"/>
      <c r="BA1" s="13" t="n"/>
      <c r="BB1" s="13" t="n"/>
      <c r="BC1" s="13" t="n"/>
      <c r="BD1" s="13" t="n"/>
      <c r="BE1" s="4" t="n"/>
      <c r="BF1" s="47" t="inlineStr">
        <is>
          <t>الشهر 4</t>
        </is>
      </c>
      <c r="BG1" s="13" t="n"/>
      <c r="BH1" s="13" t="n"/>
      <c r="BI1" s="13" t="n"/>
      <c r="BJ1" s="13" t="n"/>
      <c r="BK1" s="13" t="n"/>
      <c r="BL1" s="13" t="n"/>
      <c r="BM1" s="13" t="n"/>
      <c r="BN1" s="13" t="n"/>
      <c r="BO1" s="13" t="n"/>
      <c r="BP1" s="13" t="n"/>
      <c r="BQ1" s="13" t="n"/>
      <c r="BR1" s="13" t="n"/>
      <c r="BS1" s="13" t="n"/>
      <c r="BT1" s="13" t="n"/>
      <c r="BU1" s="13" t="n"/>
      <c r="BV1" s="4" t="n"/>
      <c r="BW1" s="48" t="inlineStr">
        <is>
          <t>الشهر 5</t>
        </is>
      </c>
      <c r="BX1" s="13" t="n"/>
      <c r="BY1" s="13" t="n"/>
      <c r="BZ1" s="13" t="n"/>
      <c r="CA1" s="13" t="n"/>
      <c r="CB1" s="13" t="n"/>
      <c r="CC1" s="13" t="n"/>
      <c r="CD1" s="13" t="n"/>
      <c r="CE1" s="13" t="n"/>
      <c r="CF1" s="13" t="n"/>
      <c r="CG1" s="13" t="n"/>
      <c r="CH1" s="13" t="n"/>
      <c r="CI1" s="13" t="n"/>
      <c r="CJ1" s="13" t="n"/>
      <c r="CK1" s="13" t="n"/>
      <c r="CL1" s="13" t="n"/>
      <c r="CM1" s="4" t="n"/>
      <c r="CN1" s="49" t="inlineStr">
        <is>
          <t>الشهر 6</t>
        </is>
      </c>
      <c r="CO1" s="13" t="n"/>
      <c r="CP1" s="13" t="n"/>
      <c r="CQ1" s="13" t="n"/>
      <c r="CR1" s="13" t="n"/>
      <c r="CS1" s="13" t="n"/>
      <c r="CT1" s="13" t="n"/>
      <c r="CU1" s="13" t="n"/>
      <c r="CV1" s="13" t="n"/>
      <c r="CW1" s="13" t="n"/>
      <c r="CX1" s="13" t="n"/>
      <c r="CY1" s="13" t="n"/>
      <c r="CZ1" s="13" t="n"/>
      <c r="DA1" s="13" t="n"/>
      <c r="DB1" s="13" t="n"/>
      <c r="DC1" s="13" t="n"/>
      <c r="DD1" s="4" t="n"/>
      <c r="DE1" s="50" t="inlineStr">
        <is>
          <t>الشهر 7</t>
        </is>
      </c>
      <c r="DF1" s="13" t="n"/>
      <c r="DG1" s="13" t="n"/>
      <c r="DH1" s="13" t="n"/>
      <c r="DI1" s="13" t="n"/>
      <c r="DJ1" s="13" t="n"/>
      <c r="DK1" s="13" t="n"/>
      <c r="DL1" s="13" t="n"/>
      <c r="DM1" s="13" t="n"/>
      <c r="DN1" s="13" t="n"/>
      <c r="DO1" s="13" t="n"/>
      <c r="DP1" s="13" t="n"/>
      <c r="DQ1" s="13" t="n"/>
      <c r="DR1" s="13" t="n"/>
      <c r="DS1" s="13" t="n"/>
      <c r="DT1" s="13" t="n"/>
      <c r="DU1" s="4" t="n"/>
      <c r="DV1" s="51" t="inlineStr">
        <is>
          <t>الشهر 8</t>
        </is>
      </c>
      <c r="DW1" s="13" t="n"/>
      <c r="DX1" s="13" t="n"/>
      <c r="DY1" s="13" t="n"/>
      <c r="DZ1" s="13" t="n"/>
      <c r="EA1" s="13" t="n"/>
      <c r="EB1" s="13" t="n"/>
      <c r="EC1" s="13" t="n"/>
      <c r="ED1" s="13" t="n"/>
      <c r="EE1" s="13" t="n"/>
      <c r="EF1" s="13" t="n"/>
      <c r="EG1" s="13" t="n"/>
      <c r="EH1" s="13" t="n"/>
      <c r="EI1" s="13" t="n"/>
      <c r="EJ1" s="13" t="n"/>
      <c r="EK1" s="13" t="n"/>
      <c r="EL1" s="4" t="n"/>
      <c r="EM1" s="52" t="inlineStr">
        <is>
          <t>الشهر 9</t>
        </is>
      </c>
      <c r="EN1" s="13" t="n"/>
      <c r="EO1" s="13" t="n"/>
      <c r="EP1" s="13" t="n"/>
      <c r="EQ1" s="13" t="n"/>
      <c r="ER1" s="13" t="n"/>
      <c r="ES1" s="13" t="n"/>
      <c r="ET1" s="13" t="n"/>
      <c r="EU1" s="13" t="n"/>
      <c r="EV1" s="13" t="n"/>
      <c r="EW1" s="13" t="n"/>
      <c r="EX1" s="13" t="n"/>
      <c r="EY1" s="13" t="n"/>
      <c r="EZ1" s="13" t="n"/>
      <c r="FA1" s="13" t="n"/>
      <c r="FB1" s="13" t="n"/>
      <c r="FC1" s="4" t="n"/>
      <c r="FD1" s="53" t="inlineStr">
        <is>
          <t>الشهر 10</t>
        </is>
      </c>
      <c r="FE1" s="13" t="n"/>
      <c r="FF1" s="13" t="n"/>
      <c r="FG1" s="13" t="n"/>
      <c r="FH1" s="13" t="n"/>
      <c r="FI1" s="13" t="n"/>
      <c r="FJ1" s="13" t="n"/>
      <c r="FK1" s="13" t="n"/>
      <c r="FL1" s="13" t="n"/>
      <c r="FM1" s="13" t="n"/>
      <c r="FN1" s="13" t="n"/>
      <c r="FO1" s="13" t="n"/>
      <c r="FP1" s="13" t="n"/>
      <c r="FQ1" s="13" t="n"/>
      <c r="FR1" s="13" t="n"/>
      <c r="FS1" s="13" t="n"/>
      <c r="FT1" s="4" t="n"/>
      <c r="FU1" s="54" t="inlineStr">
        <is>
          <t>الشهر 11</t>
        </is>
      </c>
      <c r="FV1" s="13" t="n"/>
      <c r="FW1" s="13" t="n"/>
      <c r="FX1" s="13" t="n"/>
      <c r="FY1" s="13" t="n"/>
      <c r="FZ1" s="13" t="n"/>
      <c r="GA1" s="13" t="n"/>
      <c r="GB1" s="13" t="n"/>
      <c r="GC1" s="13" t="n"/>
      <c r="GD1" s="13" t="n"/>
      <c r="GE1" s="13" t="n"/>
      <c r="GF1" s="13" t="n"/>
      <c r="GG1" s="13" t="n"/>
      <c r="GH1" s="13" t="n"/>
      <c r="GI1" s="13" t="n"/>
      <c r="GJ1" s="13" t="n"/>
      <c r="GK1" s="4" t="n"/>
      <c r="GL1" s="55" t="inlineStr">
        <is>
          <t>الشهر 12</t>
        </is>
      </c>
      <c r="GM1" s="13" t="n"/>
      <c r="GN1" s="13" t="n"/>
      <c r="GO1" s="13" t="n"/>
      <c r="GP1" s="13" t="n"/>
      <c r="GQ1" s="13" t="n"/>
      <c r="GR1" s="13" t="n"/>
      <c r="GS1" s="13" t="n"/>
      <c r="GT1" s="13" t="n"/>
      <c r="GU1" s="13" t="n"/>
      <c r="GV1" s="13" t="n"/>
      <c r="GW1" s="13" t="n"/>
      <c r="GX1" s="13" t="n"/>
      <c r="GY1" s="13" t="n"/>
      <c r="GZ1" s="13" t="n"/>
      <c r="HA1" s="13" t="n"/>
      <c r="HB1" s="4" t="n"/>
      <c r="HC1">
        <f>SUMPRODUCT(MAX(($G$4:$HB$4="ح")*($G$20:$HB$20&gt;0)*$G$47:$HB$47))</f>
        <v>0</v>
      </c>
      <c r="HD1">
        <f>IF(OR($F$27="",$F$27="الكل"),1,IFERROR(MATCH($F$27,'حسابات'!$F$2:$F$14,0)-1,1))</f>
        <v>1</v>
      </c>
      <c r="HE1">
        <f>SUMPRODUCT(--($B$5:$B$19&lt;&gt;""))</f>
        <v>0</v>
      </c>
      <c r="HF1" t="str">
        <f>IF($HE$3=0,"",8-$HE$3)</f>
        <v/>
      </c>
      <c r="HG1">
        <f>'الرئيسية'!$H$27</f>
        <v>2</v>
      </c>
    </row>
    <row r="2" ht="16.5" customHeight="1">
      <c r="A2" s="56" t="str">
        <f>IF($HC$1=0,"لسه ما بدأتش",IF(INDEX($G$1:$HB$1,1,17*($HC$2-1)+1)="","شهر "&amp;$HC$2,INDEX($G$1:$HB$1,1,17*($HC$2-1)+1))&amp;" · حصة "&amp;$HC$3&amp;" من 8")</f>
        <v>لسه ما بدأتش</v>
      </c>
      <c r="B2" s="43" t="n"/>
      <c r="C2" s="57" t="n"/>
      <c r="F2" s="58" t="n"/>
      <c r="G2" s="59" t="inlineStr">
        <is>
          <t>حصة 1</t>
        </is>
      </c>
      <c r="H2" s="4" t="n"/>
      <c r="I2" s="59" t="inlineStr">
        <is>
          <t>حصة 2</t>
        </is>
      </c>
      <c r="J2" s="4" t="n"/>
      <c r="K2" s="59" t="inlineStr">
        <is>
          <t>حصة 3</t>
        </is>
      </c>
      <c r="L2" s="4" t="n"/>
      <c r="M2" s="59" t="inlineStr">
        <is>
          <t>حصة 4</t>
        </is>
      </c>
      <c r="N2" s="4" t="n"/>
      <c r="O2" s="59" t="inlineStr">
        <is>
          <t>حصة 5</t>
        </is>
      </c>
      <c r="P2" s="4" t="n"/>
      <c r="Q2" s="59" t="inlineStr">
        <is>
          <t>حصة 6</t>
        </is>
      </c>
      <c r="R2" s="4" t="n"/>
      <c r="S2" s="59" t="inlineStr">
        <is>
          <t>حصة 7</t>
        </is>
      </c>
      <c r="T2" s="4" t="n"/>
      <c r="U2" s="59" t="inlineStr">
        <is>
          <t>حصة 8</t>
        </is>
      </c>
      <c r="V2" s="4" t="n"/>
      <c r="W2" s="59" t="inlineStr">
        <is>
          <t>المصاريف</t>
        </is>
      </c>
      <c r="X2" s="60" t="inlineStr">
        <is>
          <t>حصة 1</t>
        </is>
      </c>
      <c r="Y2" s="4" t="n"/>
      <c r="Z2" s="60" t="inlineStr">
        <is>
          <t>حصة 2</t>
        </is>
      </c>
      <c r="AA2" s="4" t="n"/>
      <c r="AB2" s="60" t="inlineStr">
        <is>
          <t>حصة 3</t>
        </is>
      </c>
      <c r="AC2" s="4" t="n"/>
      <c r="AD2" s="60" t="inlineStr">
        <is>
          <t>حصة 4</t>
        </is>
      </c>
      <c r="AE2" s="4" t="n"/>
      <c r="AF2" s="60" t="inlineStr">
        <is>
          <t>حصة 5</t>
        </is>
      </c>
      <c r="AG2" s="4" t="n"/>
      <c r="AH2" s="60" t="inlineStr">
        <is>
          <t>حصة 6</t>
        </is>
      </c>
      <c r="AI2" s="4" t="n"/>
      <c r="AJ2" s="60" t="inlineStr">
        <is>
          <t>حصة 7</t>
        </is>
      </c>
      <c r="AK2" s="4" t="n"/>
      <c r="AL2" s="60" t="inlineStr">
        <is>
          <t>حصة 8</t>
        </is>
      </c>
      <c r="AM2" s="4" t="n"/>
      <c r="AN2" s="60" t="inlineStr">
        <is>
          <t>المصاريف</t>
        </is>
      </c>
      <c r="AO2" s="61" t="inlineStr">
        <is>
          <t>حصة 1</t>
        </is>
      </c>
      <c r="AP2" s="4" t="n"/>
      <c r="AQ2" s="61" t="inlineStr">
        <is>
          <t>حصة 2</t>
        </is>
      </c>
      <c r="AR2" s="4" t="n"/>
      <c r="AS2" s="61" t="inlineStr">
        <is>
          <t>حصة 3</t>
        </is>
      </c>
      <c r="AT2" s="4" t="n"/>
      <c r="AU2" s="61" t="inlineStr">
        <is>
          <t>حصة 4</t>
        </is>
      </c>
      <c r="AV2" s="4" t="n"/>
      <c r="AW2" s="61" t="inlineStr">
        <is>
          <t>حصة 5</t>
        </is>
      </c>
      <c r="AX2" s="4" t="n"/>
      <c r="AY2" s="61" t="inlineStr">
        <is>
          <t>حصة 6</t>
        </is>
      </c>
      <c r="AZ2" s="4" t="n"/>
      <c r="BA2" s="61" t="inlineStr">
        <is>
          <t>حصة 7</t>
        </is>
      </c>
      <c r="BB2" s="4" t="n"/>
      <c r="BC2" s="61" t="inlineStr">
        <is>
          <t>حصة 8</t>
        </is>
      </c>
      <c r="BD2" s="4" t="n"/>
      <c r="BE2" s="61" t="inlineStr">
        <is>
          <t>المصاريف</t>
        </is>
      </c>
      <c r="BF2" s="62" t="inlineStr">
        <is>
          <t>حصة 1</t>
        </is>
      </c>
      <c r="BG2" s="4" t="n"/>
      <c r="BH2" s="62" t="inlineStr">
        <is>
          <t>حصة 2</t>
        </is>
      </c>
      <c r="BI2" s="4" t="n"/>
      <c r="BJ2" s="62" t="inlineStr">
        <is>
          <t>حصة 3</t>
        </is>
      </c>
      <c r="BK2" s="4" t="n"/>
      <c r="BL2" s="62" t="inlineStr">
        <is>
          <t>حصة 4</t>
        </is>
      </c>
      <c r="BM2" s="4" t="n"/>
      <c r="BN2" s="62" t="inlineStr">
        <is>
          <t>حصة 5</t>
        </is>
      </c>
      <c r="BO2" s="4" t="n"/>
      <c r="BP2" s="62" t="inlineStr">
        <is>
          <t>حصة 6</t>
        </is>
      </c>
      <c r="BQ2" s="4" t="n"/>
      <c r="BR2" s="62" t="inlineStr">
        <is>
          <t>حصة 7</t>
        </is>
      </c>
      <c r="BS2" s="4" t="n"/>
      <c r="BT2" s="62" t="inlineStr">
        <is>
          <t>حصة 8</t>
        </is>
      </c>
      <c r="BU2" s="4" t="n"/>
      <c r="BV2" s="62" t="inlineStr">
        <is>
          <t>المصاريف</t>
        </is>
      </c>
      <c r="BW2" s="63" t="inlineStr">
        <is>
          <t>حصة 1</t>
        </is>
      </c>
      <c r="BX2" s="4" t="n"/>
      <c r="BY2" s="63" t="inlineStr">
        <is>
          <t>حصة 2</t>
        </is>
      </c>
      <c r="BZ2" s="4" t="n"/>
      <c r="CA2" s="63" t="inlineStr">
        <is>
          <t>حصة 3</t>
        </is>
      </c>
      <c r="CB2" s="4" t="n"/>
      <c r="CC2" s="63" t="inlineStr">
        <is>
          <t>حصة 4</t>
        </is>
      </c>
      <c r="CD2" s="4" t="n"/>
      <c r="CE2" s="63" t="inlineStr">
        <is>
          <t>حصة 5</t>
        </is>
      </c>
      <c r="CF2" s="4" t="n"/>
      <c r="CG2" s="63" t="inlineStr">
        <is>
          <t>حصة 6</t>
        </is>
      </c>
      <c r="CH2" s="4" t="n"/>
      <c r="CI2" s="63" t="inlineStr">
        <is>
          <t>حصة 7</t>
        </is>
      </c>
      <c r="CJ2" s="4" t="n"/>
      <c r="CK2" s="63" t="inlineStr">
        <is>
          <t>حصة 8</t>
        </is>
      </c>
      <c r="CL2" s="4" t="n"/>
      <c r="CM2" s="63" t="inlineStr">
        <is>
          <t>المصاريف</t>
        </is>
      </c>
      <c r="CN2" s="64" t="inlineStr">
        <is>
          <t>حصة 1</t>
        </is>
      </c>
      <c r="CO2" s="4" t="n"/>
      <c r="CP2" s="64" t="inlineStr">
        <is>
          <t>حصة 2</t>
        </is>
      </c>
      <c r="CQ2" s="4" t="n"/>
      <c r="CR2" s="64" t="inlineStr">
        <is>
          <t>حصة 3</t>
        </is>
      </c>
      <c r="CS2" s="4" t="n"/>
      <c r="CT2" s="64" t="inlineStr">
        <is>
          <t>حصة 4</t>
        </is>
      </c>
      <c r="CU2" s="4" t="n"/>
      <c r="CV2" s="64" t="inlineStr">
        <is>
          <t>حصة 5</t>
        </is>
      </c>
      <c r="CW2" s="4" t="n"/>
      <c r="CX2" s="64" t="inlineStr">
        <is>
          <t>حصة 6</t>
        </is>
      </c>
      <c r="CY2" s="4" t="n"/>
      <c r="CZ2" s="64" t="inlineStr">
        <is>
          <t>حصة 7</t>
        </is>
      </c>
      <c r="DA2" s="4" t="n"/>
      <c r="DB2" s="64" t="inlineStr">
        <is>
          <t>حصة 8</t>
        </is>
      </c>
      <c r="DC2" s="4" t="n"/>
      <c r="DD2" s="64" t="inlineStr">
        <is>
          <t>المصاريف</t>
        </is>
      </c>
      <c r="DE2" s="65" t="inlineStr">
        <is>
          <t>حصة 1</t>
        </is>
      </c>
      <c r="DF2" s="4" t="n"/>
      <c r="DG2" s="65" t="inlineStr">
        <is>
          <t>حصة 2</t>
        </is>
      </c>
      <c r="DH2" s="4" t="n"/>
      <c r="DI2" s="65" t="inlineStr">
        <is>
          <t>حصة 3</t>
        </is>
      </c>
      <c r="DJ2" s="4" t="n"/>
      <c r="DK2" s="65" t="inlineStr">
        <is>
          <t>حصة 4</t>
        </is>
      </c>
      <c r="DL2" s="4" t="n"/>
      <c r="DM2" s="65" t="inlineStr">
        <is>
          <t>حصة 5</t>
        </is>
      </c>
      <c r="DN2" s="4" t="n"/>
      <c r="DO2" s="65" t="inlineStr">
        <is>
          <t>حصة 6</t>
        </is>
      </c>
      <c r="DP2" s="4" t="n"/>
      <c r="DQ2" s="65" t="inlineStr">
        <is>
          <t>حصة 7</t>
        </is>
      </c>
      <c r="DR2" s="4" t="n"/>
      <c r="DS2" s="65" t="inlineStr">
        <is>
          <t>حصة 8</t>
        </is>
      </c>
      <c r="DT2" s="4" t="n"/>
      <c r="DU2" s="65" t="inlineStr">
        <is>
          <t>المصاريف</t>
        </is>
      </c>
      <c r="DV2" s="66" t="inlineStr">
        <is>
          <t>حصة 1</t>
        </is>
      </c>
      <c r="DW2" s="4" t="n"/>
      <c r="DX2" s="66" t="inlineStr">
        <is>
          <t>حصة 2</t>
        </is>
      </c>
      <c r="DY2" s="4" t="n"/>
      <c r="DZ2" s="66" t="inlineStr">
        <is>
          <t>حصة 3</t>
        </is>
      </c>
      <c r="EA2" s="4" t="n"/>
      <c r="EB2" s="66" t="inlineStr">
        <is>
          <t>حصة 4</t>
        </is>
      </c>
      <c r="EC2" s="4" t="n"/>
      <c r="ED2" s="66" t="inlineStr">
        <is>
          <t>حصة 5</t>
        </is>
      </c>
      <c r="EE2" s="4" t="n"/>
      <c r="EF2" s="66" t="inlineStr">
        <is>
          <t>حصة 6</t>
        </is>
      </c>
      <c r="EG2" s="4" t="n"/>
      <c r="EH2" s="66" t="inlineStr">
        <is>
          <t>حصة 7</t>
        </is>
      </c>
      <c r="EI2" s="4" t="n"/>
      <c r="EJ2" s="66" t="inlineStr">
        <is>
          <t>حصة 8</t>
        </is>
      </c>
      <c r="EK2" s="4" t="n"/>
      <c r="EL2" s="66" t="inlineStr">
        <is>
          <t>المصاريف</t>
        </is>
      </c>
      <c r="EM2" s="67" t="inlineStr">
        <is>
          <t>حصة 1</t>
        </is>
      </c>
      <c r="EN2" s="4" t="n"/>
      <c r="EO2" s="67" t="inlineStr">
        <is>
          <t>حصة 2</t>
        </is>
      </c>
      <c r="EP2" s="4" t="n"/>
      <c r="EQ2" s="67" t="inlineStr">
        <is>
          <t>حصة 3</t>
        </is>
      </c>
      <c r="ER2" s="4" t="n"/>
      <c r="ES2" s="67" t="inlineStr">
        <is>
          <t>حصة 4</t>
        </is>
      </c>
      <c r="ET2" s="4" t="n"/>
      <c r="EU2" s="67" t="inlineStr">
        <is>
          <t>حصة 5</t>
        </is>
      </c>
      <c r="EV2" s="4" t="n"/>
      <c r="EW2" s="67" t="inlineStr">
        <is>
          <t>حصة 6</t>
        </is>
      </c>
      <c r="EX2" s="4" t="n"/>
      <c r="EY2" s="67" t="inlineStr">
        <is>
          <t>حصة 7</t>
        </is>
      </c>
      <c r="EZ2" s="4" t="n"/>
      <c r="FA2" s="67" t="inlineStr">
        <is>
          <t>حصة 8</t>
        </is>
      </c>
      <c r="FB2" s="4" t="n"/>
      <c r="FC2" s="67" t="inlineStr">
        <is>
          <t>المصاريف</t>
        </is>
      </c>
      <c r="FD2" s="68" t="inlineStr">
        <is>
          <t>حصة 1</t>
        </is>
      </c>
      <c r="FE2" s="4" t="n"/>
      <c r="FF2" s="68" t="inlineStr">
        <is>
          <t>حصة 2</t>
        </is>
      </c>
      <c r="FG2" s="4" t="n"/>
      <c r="FH2" s="68" t="inlineStr">
        <is>
          <t>حصة 3</t>
        </is>
      </c>
      <c r="FI2" s="4" t="n"/>
      <c r="FJ2" s="68" t="inlineStr">
        <is>
          <t>حصة 4</t>
        </is>
      </c>
      <c r="FK2" s="4" t="n"/>
      <c r="FL2" s="68" t="inlineStr">
        <is>
          <t>حصة 5</t>
        </is>
      </c>
      <c r="FM2" s="4" t="n"/>
      <c r="FN2" s="68" t="inlineStr">
        <is>
          <t>حصة 6</t>
        </is>
      </c>
      <c r="FO2" s="4" t="n"/>
      <c r="FP2" s="68" t="inlineStr">
        <is>
          <t>حصة 7</t>
        </is>
      </c>
      <c r="FQ2" s="4" t="n"/>
      <c r="FR2" s="68" t="inlineStr">
        <is>
          <t>حصة 8</t>
        </is>
      </c>
      <c r="FS2" s="4" t="n"/>
      <c r="FT2" s="68" t="inlineStr">
        <is>
          <t>المصاريف</t>
        </is>
      </c>
      <c r="FU2" s="69" t="inlineStr">
        <is>
          <t>حصة 1</t>
        </is>
      </c>
      <c r="FV2" s="4" t="n"/>
      <c r="FW2" s="69" t="inlineStr">
        <is>
          <t>حصة 2</t>
        </is>
      </c>
      <c r="FX2" s="4" t="n"/>
      <c r="FY2" s="69" t="inlineStr">
        <is>
          <t>حصة 3</t>
        </is>
      </c>
      <c r="FZ2" s="4" t="n"/>
      <c r="GA2" s="69" t="inlineStr">
        <is>
          <t>حصة 4</t>
        </is>
      </c>
      <c r="GB2" s="4" t="n"/>
      <c r="GC2" s="69" t="inlineStr">
        <is>
          <t>حصة 5</t>
        </is>
      </c>
      <c r="GD2" s="4" t="n"/>
      <c r="GE2" s="69" t="inlineStr">
        <is>
          <t>حصة 6</t>
        </is>
      </c>
      <c r="GF2" s="4" t="n"/>
      <c r="GG2" s="69" t="inlineStr">
        <is>
          <t>حصة 7</t>
        </is>
      </c>
      <c r="GH2" s="4" t="n"/>
      <c r="GI2" s="69" t="inlineStr">
        <is>
          <t>حصة 8</t>
        </is>
      </c>
      <c r="GJ2" s="4" t="n"/>
      <c r="GK2" s="69" t="inlineStr">
        <is>
          <t>المصاريف</t>
        </is>
      </c>
      <c r="GL2" s="70" t="inlineStr">
        <is>
          <t>حصة 1</t>
        </is>
      </c>
      <c r="GM2" s="4" t="n"/>
      <c r="GN2" s="70" t="inlineStr">
        <is>
          <t>حصة 2</t>
        </is>
      </c>
      <c r="GO2" s="4" t="n"/>
      <c r="GP2" s="70" t="inlineStr">
        <is>
          <t>حصة 3</t>
        </is>
      </c>
      <c r="GQ2" s="4" t="n"/>
      <c r="GR2" s="70" t="inlineStr">
        <is>
          <t>حصة 4</t>
        </is>
      </c>
      <c r="GS2" s="4" t="n"/>
      <c r="GT2" s="70" t="inlineStr">
        <is>
          <t>حصة 5</t>
        </is>
      </c>
      <c r="GU2" s="4" t="n"/>
      <c r="GV2" s="70" t="inlineStr">
        <is>
          <t>حصة 6</t>
        </is>
      </c>
      <c r="GW2" s="4" t="n"/>
      <c r="GX2" s="70" t="inlineStr">
        <is>
          <t>حصة 7</t>
        </is>
      </c>
      <c r="GY2" s="4" t="n"/>
      <c r="GZ2" s="70" t="inlineStr">
        <is>
          <t>حصة 8</t>
        </is>
      </c>
      <c r="HA2" s="4" t="n"/>
      <c r="HB2" s="70" t="inlineStr">
        <is>
          <t>المصاريف</t>
        </is>
      </c>
      <c r="HC2">
        <f>IF($HC$1=0,1,INT(($HC$1-1)/8)+1)</f>
        <v>1</v>
      </c>
      <c r="HD2">
        <f>IF(OR($F$27="",$F$27="الكل"),12,$HD$1)</f>
        <v>12</v>
      </c>
      <c r="HE2">
        <f>IF(SUMPRODUCT(($G$3:$HB$3=TODAY())*($G$20:$HB$20&gt;0))&gt;0,1,0)</f>
        <v>0</v>
      </c>
      <c r="HF2" t="str">
        <f>IF($HF$1="","",TODAY()+$HF$1)</f>
        <v/>
      </c>
    </row>
    <row r="3" ht="19.5" customHeight="1">
      <c r="A3" s="71" t="n"/>
      <c r="B3" s="72" t="n"/>
      <c r="C3" s="71" t="n"/>
      <c r="D3" s="73" t="n"/>
      <c r="E3" s="73" t="n"/>
      <c r="F3" s="72" t="n"/>
      <c r="G3" s="74" t="n"/>
      <c r="H3" s="4" t="n"/>
      <c r="I3" s="74" t="n"/>
      <c r="J3" s="4" t="n"/>
      <c r="K3" s="74" t="n"/>
      <c r="L3" s="4" t="n"/>
      <c r="M3" s="74" t="n"/>
      <c r="N3" s="4" t="n"/>
      <c r="O3" s="74" t="n"/>
      <c r="P3" s="4" t="n"/>
      <c r="Q3" s="74" t="n"/>
      <c r="R3" s="4" t="n"/>
      <c r="S3" s="74" t="n"/>
      <c r="T3" s="4" t="n"/>
      <c r="U3" s="74" t="n"/>
      <c r="V3" s="4" t="n"/>
      <c r="W3" s="75" t="n"/>
      <c r="X3" s="74" t="n"/>
      <c r="Y3" s="4" t="n"/>
      <c r="Z3" s="74" t="n"/>
      <c r="AA3" s="4" t="n"/>
      <c r="AB3" s="74" t="n"/>
      <c r="AC3" s="4" t="n"/>
      <c r="AD3" s="74" t="n"/>
      <c r="AE3" s="4" t="n"/>
      <c r="AF3" s="74" t="n"/>
      <c r="AG3" s="4" t="n"/>
      <c r="AH3" s="74" t="n"/>
      <c r="AI3" s="4" t="n"/>
      <c r="AJ3" s="74" t="n"/>
      <c r="AK3" s="4" t="n"/>
      <c r="AL3" s="74" t="n"/>
      <c r="AM3" s="4" t="n"/>
      <c r="AN3" s="75" t="n"/>
      <c r="AO3" s="74" t="n"/>
      <c r="AP3" s="4" t="n"/>
      <c r="AQ3" s="74" t="n"/>
      <c r="AR3" s="4" t="n"/>
      <c r="AS3" s="74" t="n"/>
      <c r="AT3" s="4" t="n"/>
      <c r="AU3" s="74" t="n"/>
      <c r="AV3" s="4" t="n"/>
      <c r="AW3" s="74" t="n"/>
      <c r="AX3" s="4" t="n"/>
      <c r="AY3" s="74" t="n"/>
      <c r="AZ3" s="4" t="n"/>
      <c r="BA3" s="74" t="n"/>
      <c r="BB3" s="4" t="n"/>
      <c r="BC3" s="74" t="n"/>
      <c r="BD3" s="4" t="n"/>
      <c r="BE3" s="75" t="n"/>
      <c r="BF3" s="74" t="n"/>
      <c r="BG3" s="4" t="n"/>
      <c r="BH3" s="74" t="n"/>
      <c r="BI3" s="4" t="n"/>
      <c r="BJ3" s="74" t="n"/>
      <c r="BK3" s="4" t="n"/>
      <c r="BL3" s="74" t="n"/>
      <c r="BM3" s="4" t="n"/>
      <c r="BN3" s="74" t="n"/>
      <c r="BO3" s="4" t="n"/>
      <c r="BP3" s="74" t="n"/>
      <c r="BQ3" s="4" t="n"/>
      <c r="BR3" s="74" t="n"/>
      <c r="BS3" s="4" t="n"/>
      <c r="BT3" s="74" t="n"/>
      <c r="BU3" s="4" t="n"/>
      <c r="BV3" s="75" t="n"/>
      <c r="BW3" s="74" t="n"/>
      <c r="BX3" s="4" t="n"/>
      <c r="BY3" s="74" t="n"/>
      <c r="BZ3" s="4" t="n"/>
      <c r="CA3" s="74" t="n"/>
      <c r="CB3" s="4" t="n"/>
      <c r="CC3" s="74" t="n"/>
      <c r="CD3" s="4" t="n"/>
      <c r="CE3" s="74" t="n"/>
      <c r="CF3" s="4" t="n"/>
      <c r="CG3" s="74" t="n"/>
      <c r="CH3" s="4" t="n"/>
      <c r="CI3" s="74" t="n"/>
      <c r="CJ3" s="4" t="n"/>
      <c r="CK3" s="74" t="n"/>
      <c r="CL3" s="4" t="n"/>
      <c r="CM3" s="75" t="n"/>
      <c r="CN3" s="74" t="n"/>
      <c r="CO3" s="4" t="n"/>
      <c r="CP3" s="74" t="n"/>
      <c r="CQ3" s="4" t="n"/>
      <c r="CR3" s="74" t="n"/>
      <c r="CS3" s="4" t="n"/>
      <c r="CT3" s="74" t="n"/>
      <c r="CU3" s="4" t="n"/>
      <c r="CV3" s="74" t="n"/>
      <c r="CW3" s="4" t="n"/>
      <c r="CX3" s="74" t="n"/>
      <c r="CY3" s="4" t="n"/>
      <c r="CZ3" s="74" t="n"/>
      <c r="DA3" s="4" t="n"/>
      <c r="DB3" s="74" t="n"/>
      <c r="DC3" s="4" t="n"/>
      <c r="DD3" s="75" t="n"/>
      <c r="DE3" s="74" t="n"/>
      <c r="DF3" s="4" t="n"/>
      <c r="DG3" s="74" t="n"/>
      <c r="DH3" s="4" t="n"/>
      <c r="DI3" s="74" t="n"/>
      <c r="DJ3" s="4" t="n"/>
      <c r="DK3" s="74" t="n"/>
      <c r="DL3" s="4" t="n"/>
      <c r="DM3" s="74" t="n"/>
      <c r="DN3" s="4" t="n"/>
      <c r="DO3" s="74" t="n"/>
      <c r="DP3" s="4" t="n"/>
      <c r="DQ3" s="74" t="n"/>
      <c r="DR3" s="4" t="n"/>
      <c r="DS3" s="74" t="n"/>
      <c r="DT3" s="4" t="n"/>
      <c r="DU3" s="75" t="n"/>
      <c r="DV3" s="74" t="n"/>
      <c r="DW3" s="4" t="n"/>
      <c r="DX3" s="74" t="n"/>
      <c r="DY3" s="4" t="n"/>
      <c r="DZ3" s="74" t="n"/>
      <c r="EA3" s="4" t="n"/>
      <c r="EB3" s="74" t="n"/>
      <c r="EC3" s="4" t="n"/>
      <c r="ED3" s="74" t="n"/>
      <c r="EE3" s="4" t="n"/>
      <c r="EF3" s="74" t="n"/>
      <c r="EG3" s="4" t="n"/>
      <c r="EH3" s="74" t="n"/>
      <c r="EI3" s="4" t="n"/>
      <c r="EJ3" s="74" t="n"/>
      <c r="EK3" s="4" t="n"/>
      <c r="EL3" s="75" t="n"/>
      <c r="EM3" s="74" t="n"/>
      <c r="EN3" s="4" t="n"/>
      <c r="EO3" s="74" t="n"/>
      <c r="EP3" s="4" t="n"/>
      <c r="EQ3" s="74" t="n"/>
      <c r="ER3" s="4" t="n"/>
      <c r="ES3" s="74" t="n"/>
      <c r="ET3" s="4" t="n"/>
      <c r="EU3" s="74" t="n"/>
      <c r="EV3" s="4" t="n"/>
      <c r="EW3" s="74" t="n"/>
      <c r="EX3" s="4" t="n"/>
      <c r="EY3" s="74" t="n"/>
      <c r="EZ3" s="4" t="n"/>
      <c r="FA3" s="74" t="n"/>
      <c r="FB3" s="4" t="n"/>
      <c r="FC3" s="75" t="n"/>
      <c r="FD3" s="74" t="n"/>
      <c r="FE3" s="4" t="n"/>
      <c r="FF3" s="74" t="n"/>
      <c r="FG3" s="4" t="n"/>
      <c r="FH3" s="74" t="n"/>
      <c r="FI3" s="4" t="n"/>
      <c r="FJ3" s="74" t="n"/>
      <c r="FK3" s="4" t="n"/>
      <c r="FL3" s="74" t="n"/>
      <c r="FM3" s="4" t="n"/>
      <c r="FN3" s="74" t="n"/>
      <c r="FO3" s="4" t="n"/>
      <c r="FP3" s="74" t="n"/>
      <c r="FQ3" s="4" t="n"/>
      <c r="FR3" s="74" t="n"/>
      <c r="FS3" s="4" t="n"/>
      <c r="FT3" s="75" t="n"/>
      <c r="FU3" s="74" t="n"/>
      <c r="FV3" s="4" t="n"/>
      <c r="FW3" s="74" t="n"/>
      <c r="FX3" s="4" t="n"/>
      <c r="FY3" s="74" t="n"/>
      <c r="FZ3" s="4" t="n"/>
      <c r="GA3" s="74" t="n"/>
      <c r="GB3" s="4" t="n"/>
      <c r="GC3" s="74" t="n"/>
      <c r="GD3" s="4" t="n"/>
      <c r="GE3" s="74" t="n"/>
      <c r="GF3" s="4" t="n"/>
      <c r="GG3" s="74" t="n"/>
      <c r="GH3" s="4" t="n"/>
      <c r="GI3" s="74" t="n"/>
      <c r="GJ3" s="4" t="n"/>
      <c r="GK3" s="75" t="n"/>
      <c r="GL3" s="74" t="n"/>
      <c r="GM3" s="4" t="n"/>
      <c r="GN3" s="74" t="n"/>
      <c r="GO3" s="4" t="n"/>
      <c r="GP3" s="74" t="n"/>
      <c r="GQ3" s="4" t="n"/>
      <c r="GR3" s="74" t="n"/>
      <c r="GS3" s="4" t="n"/>
      <c r="GT3" s="74" t="n"/>
      <c r="GU3" s="4" t="n"/>
      <c r="GV3" s="74" t="n"/>
      <c r="GW3" s="4" t="n"/>
      <c r="GX3" s="74" t="n"/>
      <c r="GY3" s="4" t="n"/>
      <c r="GZ3" s="74" t="n"/>
      <c r="HA3" s="4" t="n"/>
      <c r="HB3" s="75" t="n"/>
      <c r="HC3">
        <f>$HC$1-8*($HC$2-1)</f>
        <v>0</v>
      </c>
      <c r="HE3">
        <f>IF($A$1="",0,IF($HE$2=1,SUMPRODUCT(MAX(('المواعيد'!$D$5:$D$34=$A$1)*(8-'المواعيد'!$L$5:$L$34))),SUMPRODUCT(MAX(('المواعيد'!$D$5:$D$34=$A$1)*(8-'المواعيد'!$K$5:$K$34)))))</f>
        <v>0</v>
      </c>
      <c r="HF3">
        <f>IF($HF$1="",0,SUMPRODUCT(MAX(('المواعيد'!$D$5:$D$34=$A$1)*('المواعيد'!$G$5:$G$34=WEEKDAY($HF$2))*(ROW('المواعيد'!$D$5:$D$34)-4))))</f>
        <v>0</v>
      </c>
    </row>
    <row r="4" ht="16.5" customHeight="1">
      <c r="A4" s="76" t="inlineStr">
        <is>
          <t>م</t>
        </is>
      </c>
      <c r="B4" s="76" t="inlineStr">
        <is>
          <t>الاسم</t>
        </is>
      </c>
      <c r="C4" s="76" t="inlineStr">
        <is>
          <t>ولي الأمر</t>
        </is>
      </c>
      <c r="D4" s="76" t="inlineStr">
        <is>
          <t>غياب</t>
        </is>
      </c>
      <c r="E4" s="76" t="inlineStr">
        <is>
          <t>واجب</t>
        </is>
      </c>
      <c r="F4" s="76" t="inlineStr">
        <is>
          <t>المصاريف</t>
        </is>
      </c>
      <c r="G4" s="8" t="inlineStr">
        <is>
          <t>ح</t>
        </is>
      </c>
      <c r="H4" s="77" t="inlineStr">
        <is>
          <t>و</t>
        </is>
      </c>
      <c r="I4" s="8" t="inlineStr">
        <is>
          <t>ح</t>
        </is>
      </c>
      <c r="J4" s="77" t="inlineStr">
        <is>
          <t>و</t>
        </is>
      </c>
      <c r="K4" s="8" t="inlineStr">
        <is>
          <t>ح</t>
        </is>
      </c>
      <c r="L4" s="77" t="inlineStr">
        <is>
          <t>و</t>
        </is>
      </c>
      <c r="M4" s="8" t="inlineStr">
        <is>
          <t>ح</t>
        </is>
      </c>
      <c r="N4" s="77" t="inlineStr">
        <is>
          <t>و</t>
        </is>
      </c>
      <c r="O4" s="8" t="inlineStr">
        <is>
          <t>ح</t>
        </is>
      </c>
      <c r="P4" s="77" t="inlineStr">
        <is>
          <t>و</t>
        </is>
      </c>
      <c r="Q4" s="8" t="inlineStr">
        <is>
          <t>ح</t>
        </is>
      </c>
      <c r="R4" s="77" t="inlineStr">
        <is>
          <t>و</t>
        </is>
      </c>
      <c r="S4" s="8" t="inlineStr">
        <is>
          <t>ح</t>
        </is>
      </c>
      <c r="T4" s="77" t="inlineStr">
        <is>
          <t>و</t>
        </is>
      </c>
      <c r="U4" s="8" t="inlineStr">
        <is>
          <t>ح</t>
        </is>
      </c>
      <c r="V4" s="77" t="inlineStr">
        <is>
          <t>و</t>
        </is>
      </c>
      <c r="W4" s="77" t="inlineStr">
        <is>
          <t>دفع</t>
        </is>
      </c>
      <c r="X4" s="9" t="inlineStr">
        <is>
          <t>ح</t>
        </is>
      </c>
      <c r="Y4" s="78" t="inlineStr">
        <is>
          <t>و</t>
        </is>
      </c>
      <c r="Z4" s="9" t="inlineStr">
        <is>
          <t>ح</t>
        </is>
      </c>
      <c r="AA4" s="78" t="inlineStr">
        <is>
          <t>و</t>
        </is>
      </c>
      <c r="AB4" s="9" t="inlineStr">
        <is>
          <t>ح</t>
        </is>
      </c>
      <c r="AC4" s="78" t="inlineStr">
        <is>
          <t>و</t>
        </is>
      </c>
      <c r="AD4" s="9" t="inlineStr">
        <is>
          <t>ح</t>
        </is>
      </c>
      <c r="AE4" s="78" t="inlineStr">
        <is>
          <t>و</t>
        </is>
      </c>
      <c r="AF4" s="9" t="inlineStr">
        <is>
          <t>ح</t>
        </is>
      </c>
      <c r="AG4" s="78" t="inlineStr">
        <is>
          <t>و</t>
        </is>
      </c>
      <c r="AH4" s="9" t="inlineStr">
        <is>
          <t>ح</t>
        </is>
      </c>
      <c r="AI4" s="78" t="inlineStr">
        <is>
          <t>و</t>
        </is>
      </c>
      <c r="AJ4" s="9" t="inlineStr">
        <is>
          <t>ح</t>
        </is>
      </c>
      <c r="AK4" s="78" t="inlineStr">
        <is>
          <t>و</t>
        </is>
      </c>
      <c r="AL4" s="9" t="inlineStr">
        <is>
          <t>ح</t>
        </is>
      </c>
      <c r="AM4" s="78" t="inlineStr">
        <is>
          <t>و</t>
        </is>
      </c>
      <c r="AN4" s="78" t="inlineStr">
        <is>
          <t>دفع</t>
        </is>
      </c>
      <c r="AO4" s="10" t="inlineStr">
        <is>
          <t>ح</t>
        </is>
      </c>
      <c r="AP4" s="79" t="inlineStr">
        <is>
          <t>و</t>
        </is>
      </c>
      <c r="AQ4" s="10" t="inlineStr">
        <is>
          <t>ح</t>
        </is>
      </c>
      <c r="AR4" s="79" t="inlineStr">
        <is>
          <t>و</t>
        </is>
      </c>
      <c r="AS4" s="10" t="inlineStr">
        <is>
          <t>ح</t>
        </is>
      </c>
      <c r="AT4" s="79" t="inlineStr">
        <is>
          <t>و</t>
        </is>
      </c>
      <c r="AU4" s="10" t="inlineStr">
        <is>
          <t>ح</t>
        </is>
      </c>
      <c r="AV4" s="79" t="inlineStr">
        <is>
          <t>و</t>
        </is>
      </c>
      <c r="AW4" s="10" t="inlineStr">
        <is>
          <t>ح</t>
        </is>
      </c>
      <c r="AX4" s="79" t="inlineStr">
        <is>
          <t>و</t>
        </is>
      </c>
      <c r="AY4" s="10" t="inlineStr">
        <is>
          <t>ح</t>
        </is>
      </c>
      <c r="AZ4" s="79" t="inlineStr">
        <is>
          <t>و</t>
        </is>
      </c>
      <c r="BA4" s="10" t="inlineStr">
        <is>
          <t>ح</t>
        </is>
      </c>
      <c r="BB4" s="79" t="inlineStr">
        <is>
          <t>و</t>
        </is>
      </c>
      <c r="BC4" s="10" t="inlineStr">
        <is>
          <t>ح</t>
        </is>
      </c>
      <c r="BD4" s="79" t="inlineStr">
        <is>
          <t>و</t>
        </is>
      </c>
      <c r="BE4" s="79" t="inlineStr">
        <is>
          <t>دفع</t>
        </is>
      </c>
      <c r="BF4" s="11" t="inlineStr">
        <is>
          <t>ح</t>
        </is>
      </c>
      <c r="BG4" s="80" t="inlineStr">
        <is>
          <t>و</t>
        </is>
      </c>
      <c r="BH4" s="11" t="inlineStr">
        <is>
          <t>ح</t>
        </is>
      </c>
      <c r="BI4" s="80" t="inlineStr">
        <is>
          <t>و</t>
        </is>
      </c>
      <c r="BJ4" s="11" t="inlineStr">
        <is>
          <t>ح</t>
        </is>
      </c>
      <c r="BK4" s="80" t="inlineStr">
        <is>
          <t>و</t>
        </is>
      </c>
      <c r="BL4" s="11" t="inlineStr">
        <is>
          <t>ح</t>
        </is>
      </c>
      <c r="BM4" s="80" t="inlineStr">
        <is>
          <t>و</t>
        </is>
      </c>
      <c r="BN4" s="11" t="inlineStr">
        <is>
          <t>ح</t>
        </is>
      </c>
      <c r="BO4" s="80" t="inlineStr">
        <is>
          <t>و</t>
        </is>
      </c>
      <c r="BP4" s="11" t="inlineStr">
        <is>
          <t>ح</t>
        </is>
      </c>
      <c r="BQ4" s="80" t="inlineStr">
        <is>
          <t>و</t>
        </is>
      </c>
      <c r="BR4" s="11" t="inlineStr">
        <is>
          <t>ح</t>
        </is>
      </c>
      <c r="BS4" s="80" t="inlineStr">
        <is>
          <t>و</t>
        </is>
      </c>
      <c r="BT4" s="11" t="inlineStr">
        <is>
          <t>ح</t>
        </is>
      </c>
      <c r="BU4" s="80" t="inlineStr">
        <is>
          <t>و</t>
        </is>
      </c>
      <c r="BV4" s="80" t="inlineStr">
        <is>
          <t>دفع</t>
        </is>
      </c>
      <c r="BW4" s="81" t="inlineStr">
        <is>
          <t>ح</t>
        </is>
      </c>
      <c r="BX4" s="82" t="inlineStr">
        <is>
          <t>و</t>
        </is>
      </c>
      <c r="BY4" s="81" t="inlineStr">
        <is>
          <t>ح</t>
        </is>
      </c>
      <c r="BZ4" s="82" t="inlineStr">
        <is>
          <t>و</t>
        </is>
      </c>
      <c r="CA4" s="81" t="inlineStr">
        <is>
          <t>ح</t>
        </is>
      </c>
      <c r="CB4" s="82" t="inlineStr">
        <is>
          <t>و</t>
        </is>
      </c>
      <c r="CC4" s="81" t="inlineStr">
        <is>
          <t>ح</t>
        </is>
      </c>
      <c r="CD4" s="82" t="inlineStr">
        <is>
          <t>و</t>
        </is>
      </c>
      <c r="CE4" s="81" t="inlineStr">
        <is>
          <t>ح</t>
        </is>
      </c>
      <c r="CF4" s="82" t="inlineStr">
        <is>
          <t>و</t>
        </is>
      </c>
      <c r="CG4" s="81" t="inlineStr">
        <is>
          <t>ح</t>
        </is>
      </c>
      <c r="CH4" s="82" t="inlineStr">
        <is>
          <t>و</t>
        </is>
      </c>
      <c r="CI4" s="81" t="inlineStr">
        <is>
          <t>ح</t>
        </is>
      </c>
      <c r="CJ4" s="82" t="inlineStr">
        <is>
          <t>و</t>
        </is>
      </c>
      <c r="CK4" s="81" t="inlineStr">
        <is>
          <t>ح</t>
        </is>
      </c>
      <c r="CL4" s="82" t="inlineStr">
        <is>
          <t>و</t>
        </is>
      </c>
      <c r="CM4" s="82" t="inlineStr">
        <is>
          <t>دفع</t>
        </is>
      </c>
      <c r="CN4" s="83" t="inlineStr">
        <is>
          <t>ح</t>
        </is>
      </c>
      <c r="CO4" s="84" t="inlineStr">
        <is>
          <t>و</t>
        </is>
      </c>
      <c r="CP4" s="83" t="inlineStr">
        <is>
          <t>ح</t>
        </is>
      </c>
      <c r="CQ4" s="84" t="inlineStr">
        <is>
          <t>و</t>
        </is>
      </c>
      <c r="CR4" s="83" t="inlineStr">
        <is>
          <t>ح</t>
        </is>
      </c>
      <c r="CS4" s="84" t="inlineStr">
        <is>
          <t>و</t>
        </is>
      </c>
      <c r="CT4" s="83" t="inlineStr">
        <is>
          <t>ح</t>
        </is>
      </c>
      <c r="CU4" s="84" t="inlineStr">
        <is>
          <t>و</t>
        </is>
      </c>
      <c r="CV4" s="83" t="inlineStr">
        <is>
          <t>ح</t>
        </is>
      </c>
      <c r="CW4" s="84" t="inlineStr">
        <is>
          <t>و</t>
        </is>
      </c>
      <c r="CX4" s="83" t="inlineStr">
        <is>
          <t>ح</t>
        </is>
      </c>
      <c r="CY4" s="84" t="inlineStr">
        <is>
          <t>و</t>
        </is>
      </c>
      <c r="CZ4" s="83" t="inlineStr">
        <is>
          <t>ح</t>
        </is>
      </c>
      <c r="DA4" s="84" t="inlineStr">
        <is>
          <t>و</t>
        </is>
      </c>
      <c r="DB4" s="83" t="inlineStr">
        <is>
          <t>ح</t>
        </is>
      </c>
      <c r="DC4" s="84" t="inlineStr">
        <is>
          <t>و</t>
        </is>
      </c>
      <c r="DD4" s="84" t="inlineStr">
        <is>
          <t>دفع</t>
        </is>
      </c>
      <c r="DE4" s="85" t="inlineStr">
        <is>
          <t>ح</t>
        </is>
      </c>
      <c r="DF4" s="86" t="inlineStr">
        <is>
          <t>و</t>
        </is>
      </c>
      <c r="DG4" s="85" t="inlineStr">
        <is>
          <t>ح</t>
        </is>
      </c>
      <c r="DH4" s="86" t="inlineStr">
        <is>
          <t>و</t>
        </is>
      </c>
      <c r="DI4" s="85" t="inlineStr">
        <is>
          <t>ح</t>
        </is>
      </c>
      <c r="DJ4" s="86" t="inlineStr">
        <is>
          <t>و</t>
        </is>
      </c>
      <c r="DK4" s="85" t="inlineStr">
        <is>
          <t>ح</t>
        </is>
      </c>
      <c r="DL4" s="86" t="inlineStr">
        <is>
          <t>و</t>
        </is>
      </c>
      <c r="DM4" s="85" t="inlineStr">
        <is>
          <t>ح</t>
        </is>
      </c>
      <c r="DN4" s="86" t="inlineStr">
        <is>
          <t>و</t>
        </is>
      </c>
      <c r="DO4" s="85" t="inlineStr">
        <is>
          <t>ح</t>
        </is>
      </c>
      <c r="DP4" s="86" t="inlineStr">
        <is>
          <t>و</t>
        </is>
      </c>
      <c r="DQ4" s="85" t="inlineStr">
        <is>
          <t>ح</t>
        </is>
      </c>
      <c r="DR4" s="86" t="inlineStr">
        <is>
          <t>و</t>
        </is>
      </c>
      <c r="DS4" s="85" t="inlineStr">
        <is>
          <t>ح</t>
        </is>
      </c>
      <c r="DT4" s="86" t="inlineStr">
        <is>
          <t>و</t>
        </is>
      </c>
      <c r="DU4" s="86" t="inlineStr">
        <is>
          <t>دفع</t>
        </is>
      </c>
      <c r="DV4" s="87" t="inlineStr">
        <is>
          <t>ح</t>
        </is>
      </c>
      <c r="DW4" s="88" t="inlineStr">
        <is>
          <t>و</t>
        </is>
      </c>
      <c r="DX4" s="87" t="inlineStr">
        <is>
          <t>ح</t>
        </is>
      </c>
      <c r="DY4" s="88" t="inlineStr">
        <is>
          <t>و</t>
        </is>
      </c>
      <c r="DZ4" s="87" t="inlineStr">
        <is>
          <t>ح</t>
        </is>
      </c>
      <c r="EA4" s="88" t="inlineStr">
        <is>
          <t>و</t>
        </is>
      </c>
      <c r="EB4" s="87" t="inlineStr">
        <is>
          <t>ح</t>
        </is>
      </c>
      <c r="EC4" s="88" t="inlineStr">
        <is>
          <t>و</t>
        </is>
      </c>
      <c r="ED4" s="87" t="inlineStr">
        <is>
          <t>ح</t>
        </is>
      </c>
      <c r="EE4" s="88" t="inlineStr">
        <is>
          <t>و</t>
        </is>
      </c>
      <c r="EF4" s="87" t="inlineStr">
        <is>
          <t>ح</t>
        </is>
      </c>
      <c r="EG4" s="88" t="inlineStr">
        <is>
          <t>و</t>
        </is>
      </c>
      <c r="EH4" s="87" t="inlineStr">
        <is>
          <t>ح</t>
        </is>
      </c>
      <c r="EI4" s="88" t="inlineStr">
        <is>
          <t>و</t>
        </is>
      </c>
      <c r="EJ4" s="87" t="inlineStr">
        <is>
          <t>ح</t>
        </is>
      </c>
      <c r="EK4" s="88" t="inlineStr">
        <is>
          <t>و</t>
        </is>
      </c>
      <c r="EL4" s="88" t="inlineStr">
        <is>
          <t>دفع</t>
        </is>
      </c>
      <c r="EM4" s="89" t="inlineStr">
        <is>
          <t>ح</t>
        </is>
      </c>
      <c r="EN4" s="90" t="inlineStr">
        <is>
          <t>و</t>
        </is>
      </c>
      <c r="EO4" s="89" t="inlineStr">
        <is>
          <t>ح</t>
        </is>
      </c>
      <c r="EP4" s="90" t="inlineStr">
        <is>
          <t>و</t>
        </is>
      </c>
      <c r="EQ4" s="89" t="inlineStr">
        <is>
          <t>ح</t>
        </is>
      </c>
      <c r="ER4" s="90" t="inlineStr">
        <is>
          <t>و</t>
        </is>
      </c>
      <c r="ES4" s="89" t="inlineStr">
        <is>
          <t>ح</t>
        </is>
      </c>
      <c r="ET4" s="90" t="inlineStr">
        <is>
          <t>و</t>
        </is>
      </c>
      <c r="EU4" s="89" t="inlineStr">
        <is>
          <t>ح</t>
        </is>
      </c>
      <c r="EV4" s="90" t="inlineStr">
        <is>
          <t>و</t>
        </is>
      </c>
      <c r="EW4" s="89" t="inlineStr">
        <is>
          <t>ح</t>
        </is>
      </c>
      <c r="EX4" s="90" t="inlineStr">
        <is>
          <t>و</t>
        </is>
      </c>
      <c r="EY4" s="89" t="inlineStr">
        <is>
          <t>ح</t>
        </is>
      </c>
      <c r="EZ4" s="90" t="inlineStr">
        <is>
          <t>و</t>
        </is>
      </c>
      <c r="FA4" s="89" t="inlineStr">
        <is>
          <t>ح</t>
        </is>
      </c>
      <c r="FB4" s="90" t="inlineStr">
        <is>
          <t>و</t>
        </is>
      </c>
      <c r="FC4" s="90" t="inlineStr">
        <is>
          <t>دفع</t>
        </is>
      </c>
      <c r="FD4" s="91" t="inlineStr">
        <is>
          <t>ح</t>
        </is>
      </c>
      <c r="FE4" s="92" t="inlineStr">
        <is>
          <t>و</t>
        </is>
      </c>
      <c r="FF4" s="91" t="inlineStr">
        <is>
          <t>ح</t>
        </is>
      </c>
      <c r="FG4" s="92" t="inlineStr">
        <is>
          <t>و</t>
        </is>
      </c>
      <c r="FH4" s="91" t="inlineStr">
        <is>
          <t>ح</t>
        </is>
      </c>
      <c r="FI4" s="92" t="inlineStr">
        <is>
          <t>و</t>
        </is>
      </c>
      <c r="FJ4" s="91" t="inlineStr">
        <is>
          <t>ح</t>
        </is>
      </c>
      <c r="FK4" s="92" t="inlineStr">
        <is>
          <t>و</t>
        </is>
      </c>
      <c r="FL4" s="91" t="inlineStr">
        <is>
          <t>ح</t>
        </is>
      </c>
      <c r="FM4" s="92" t="inlineStr">
        <is>
          <t>و</t>
        </is>
      </c>
      <c r="FN4" s="91" t="inlineStr">
        <is>
          <t>ح</t>
        </is>
      </c>
      <c r="FO4" s="92" t="inlineStr">
        <is>
          <t>و</t>
        </is>
      </c>
      <c r="FP4" s="91" t="inlineStr">
        <is>
          <t>ح</t>
        </is>
      </c>
      <c r="FQ4" s="92" t="inlineStr">
        <is>
          <t>و</t>
        </is>
      </c>
      <c r="FR4" s="91" t="inlineStr">
        <is>
          <t>ح</t>
        </is>
      </c>
      <c r="FS4" s="92" t="inlineStr">
        <is>
          <t>و</t>
        </is>
      </c>
      <c r="FT4" s="92" t="inlineStr">
        <is>
          <t>دفع</t>
        </is>
      </c>
      <c r="FU4" s="93" t="inlineStr">
        <is>
          <t>ح</t>
        </is>
      </c>
      <c r="FV4" s="94" t="inlineStr">
        <is>
          <t>و</t>
        </is>
      </c>
      <c r="FW4" s="93" t="inlineStr">
        <is>
          <t>ح</t>
        </is>
      </c>
      <c r="FX4" s="94" t="inlineStr">
        <is>
          <t>و</t>
        </is>
      </c>
      <c r="FY4" s="93" t="inlineStr">
        <is>
          <t>ح</t>
        </is>
      </c>
      <c r="FZ4" s="94" t="inlineStr">
        <is>
          <t>و</t>
        </is>
      </c>
      <c r="GA4" s="93" t="inlineStr">
        <is>
          <t>ح</t>
        </is>
      </c>
      <c r="GB4" s="94" t="inlineStr">
        <is>
          <t>و</t>
        </is>
      </c>
      <c r="GC4" s="93" t="inlineStr">
        <is>
          <t>ح</t>
        </is>
      </c>
      <c r="GD4" s="94" t="inlineStr">
        <is>
          <t>و</t>
        </is>
      </c>
      <c r="GE4" s="93" t="inlineStr">
        <is>
          <t>ح</t>
        </is>
      </c>
      <c r="GF4" s="94" t="inlineStr">
        <is>
          <t>و</t>
        </is>
      </c>
      <c r="GG4" s="93" t="inlineStr">
        <is>
          <t>ح</t>
        </is>
      </c>
      <c r="GH4" s="94" t="inlineStr">
        <is>
          <t>و</t>
        </is>
      </c>
      <c r="GI4" s="93" t="inlineStr">
        <is>
          <t>ح</t>
        </is>
      </c>
      <c r="GJ4" s="94" t="inlineStr">
        <is>
          <t>و</t>
        </is>
      </c>
      <c r="GK4" s="94" t="inlineStr">
        <is>
          <t>دفع</t>
        </is>
      </c>
      <c r="GL4" s="95" t="inlineStr">
        <is>
          <t>ح</t>
        </is>
      </c>
      <c r="GM4" s="96" t="inlineStr">
        <is>
          <t>و</t>
        </is>
      </c>
      <c r="GN4" s="95" t="inlineStr">
        <is>
          <t>ح</t>
        </is>
      </c>
      <c r="GO4" s="96" t="inlineStr">
        <is>
          <t>و</t>
        </is>
      </c>
      <c r="GP4" s="95" t="inlineStr">
        <is>
          <t>ح</t>
        </is>
      </c>
      <c r="GQ4" s="96" t="inlineStr">
        <is>
          <t>و</t>
        </is>
      </c>
      <c r="GR4" s="95" t="inlineStr">
        <is>
          <t>ح</t>
        </is>
      </c>
      <c r="GS4" s="96" t="inlineStr">
        <is>
          <t>و</t>
        </is>
      </c>
      <c r="GT4" s="95" t="inlineStr">
        <is>
          <t>ح</t>
        </is>
      </c>
      <c r="GU4" s="96" t="inlineStr">
        <is>
          <t>و</t>
        </is>
      </c>
      <c r="GV4" s="95" t="inlineStr">
        <is>
          <t>ح</t>
        </is>
      </c>
      <c r="GW4" s="96" t="inlineStr">
        <is>
          <t>و</t>
        </is>
      </c>
      <c r="GX4" s="95" t="inlineStr">
        <is>
          <t>ح</t>
        </is>
      </c>
      <c r="GY4" s="96" t="inlineStr">
        <is>
          <t>و</t>
        </is>
      </c>
      <c r="GZ4" s="95" t="inlineStr">
        <is>
          <t>ح</t>
        </is>
      </c>
      <c r="HA4" s="96" t="inlineStr">
        <is>
          <t>و</t>
        </is>
      </c>
      <c r="HB4" s="96" t="inlineStr">
        <is>
          <t>دفع</t>
        </is>
      </c>
      <c r="HF4" t="str">
        <f>IF($HF$1="","",IF($HF$1=0,"النهارده",IF($HF$1=1,"بكرة",INDEX('حسابات'!$A$2:$A$8,MATCH(WEEKDAY($HF$2),'حسابات'!$B$2:$B$8,0))))&amp;" "&amp;DAY($HF$2)&amp;"/"&amp;MONTH($HF$2)&amp;IF($HF$3=0,"",IF(INDEX('المواعيد'!$C$5:$C$34,$HF$3)="",""," – "&amp;INDEX('المواعيد'!$C$5:$C$34,$HF$3))))</f>
        <v/>
      </c>
    </row>
    <row r="5" ht="22.5" customHeight="1">
      <c r="A5" s="36" t="n">
        <v>1</v>
      </c>
      <c r="B5" s="97" t="n"/>
      <c r="C5" s="28" t="n"/>
      <c r="D5" s="98" t="str">
        <f>IF($B5="","",IF($HC5=97,"-",IF($HD5=0,"متوقف",SUMPRODUCT(($G$4:$HB$4="ح")*($G$20:$HB$20&gt;0)*($G5:$HB5&lt;&gt;TRUE)*($G$47:$HB$47&gt;$HC$1-8)*($G$47:$HB$47&gt;=$HC5)))))</f>
        <v/>
      </c>
      <c r="E5" s="98" t="str">
        <f>IF(OR($B5="",$HC5=97),"",SUMPRODUCT(($G$4:$HA$4="ح")*($G5:$HA5=TRUE)*($H5:$HB5&lt;&gt;TRUE)*($G$47:$HA$47&gt;$HC$1-8)))</f>
        <v/>
      </c>
      <c r="F5" s="99" t="str">
        <f>IF($B5="","",IF($HE5=0,IF($HC5=97,"-","تمام"),IF($HE5=1,IF(INDEX($G$1:$HB$1,1,17*($HF5-1)+1)="","شهر "&amp;$HF5,INDEX($G$1:$HB$1,1,17*($HF5-1)+1)),IF($HE5=2,"شهرين",$HE5&amp;" شهور"))))</f>
        <v/>
      </c>
      <c r="G5" s="100" t="n"/>
      <c r="H5" s="101" t="n"/>
      <c r="I5" s="100" t="n"/>
      <c r="J5" s="101" t="n"/>
      <c r="K5" s="100" t="n"/>
      <c r="L5" s="101" t="n"/>
      <c r="M5" s="100" t="n"/>
      <c r="N5" s="101" t="n"/>
      <c r="O5" s="100" t="n"/>
      <c r="P5" s="101" t="n"/>
      <c r="Q5" s="100" t="n"/>
      <c r="R5" s="101" t="n"/>
      <c r="S5" s="100" t="n"/>
      <c r="T5" s="101" t="n"/>
      <c r="U5" s="100" t="n"/>
      <c r="V5" s="101" t="n"/>
      <c r="W5" s="102" t="n"/>
      <c r="X5" s="103" t="n"/>
      <c r="Y5" s="104" t="n"/>
      <c r="Z5" s="103" t="n"/>
      <c r="AA5" s="104" t="n"/>
      <c r="AB5" s="103" t="n"/>
      <c r="AC5" s="104" t="n"/>
      <c r="AD5" s="103" t="n"/>
      <c r="AE5" s="104" t="n"/>
      <c r="AF5" s="103" t="n"/>
      <c r="AG5" s="104" t="n"/>
      <c r="AH5" s="103" t="n"/>
      <c r="AI5" s="104" t="n"/>
      <c r="AJ5" s="103" t="n"/>
      <c r="AK5" s="104" t="n"/>
      <c r="AL5" s="103" t="n"/>
      <c r="AM5" s="104" t="n"/>
      <c r="AN5" s="105" t="n"/>
      <c r="AO5" s="106" t="n"/>
      <c r="AP5" s="107" t="n"/>
      <c r="AQ5" s="106" t="n"/>
      <c r="AR5" s="107" t="n"/>
      <c r="AS5" s="106" t="n"/>
      <c r="AT5" s="107" t="n"/>
      <c r="AU5" s="106" t="n"/>
      <c r="AV5" s="107" t="n"/>
      <c r="AW5" s="106" t="n"/>
      <c r="AX5" s="107" t="n"/>
      <c r="AY5" s="106" t="n"/>
      <c r="AZ5" s="107" t="n"/>
      <c r="BA5" s="106" t="n"/>
      <c r="BB5" s="107" t="n"/>
      <c r="BC5" s="106" t="n"/>
      <c r="BD5" s="107" t="n"/>
      <c r="BE5" s="108" t="n"/>
      <c r="BF5" s="109" t="n"/>
      <c r="BG5" s="110" t="n"/>
      <c r="BH5" s="109" t="n"/>
      <c r="BI5" s="110" t="n"/>
      <c r="BJ5" s="109" t="n"/>
      <c r="BK5" s="110" t="n"/>
      <c r="BL5" s="109" t="n"/>
      <c r="BM5" s="110" t="n"/>
      <c r="BN5" s="109" t="n"/>
      <c r="BO5" s="110" t="n"/>
      <c r="BP5" s="109" t="n"/>
      <c r="BQ5" s="110" t="n"/>
      <c r="BR5" s="109" t="n"/>
      <c r="BS5" s="110" t="n"/>
      <c r="BT5" s="109" t="n"/>
      <c r="BU5" s="110" t="n"/>
      <c r="BV5" s="111" t="n"/>
      <c r="BW5" s="112" t="n"/>
      <c r="BX5" s="113" t="n"/>
      <c r="BY5" s="112" t="n"/>
      <c r="BZ5" s="113" t="n"/>
      <c r="CA5" s="112" t="n"/>
      <c r="CB5" s="113" t="n"/>
      <c r="CC5" s="112" t="n"/>
      <c r="CD5" s="113" t="n"/>
      <c r="CE5" s="112" t="n"/>
      <c r="CF5" s="113" t="n"/>
      <c r="CG5" s="112" t="n"/>
      <c r="CH5" s="113" t="n"/>
      <c r="CI5" s="112" t="n"/>
      <c r="CJ5" s="113" t="n"/>
      <c r="CK5" s="112" t="n"/>
      <c r="CL5" s="113" t="n"/>
      <c r="CM5" s="114" t="n"/>
      <c r="CN5" s="115" t="n"/>
      <c r="CO5" s="116" t="n"/>
      <c r="CP5" s="115" t="n"/>
      <c r="CQ5" s="116" t="n"/>
      <c r="CR5" s="115" t="n"/>
      <c r="CS5" s="116" t="n"/>
      <c r="CT5" s="115" t="n"/>
      <c r="CU5" s="116" t="n"/>
      <c r="CV5" s="115" t="n"/>
      <c r="CW5" s="116" t="n"/>
      <c r="CX5" s="115" t="n"/>
      <c r="CY5" s="116" t="n"/>
      <c r="CZ5" s="115" t="n"/>
      <c r="DA5" s="116" t="n"/>
      <c r="DB5" s="115" t="n"/>
      <c r="DC5" s="116" t="n"/>
      <c r="DD5" s="117" t="n"/>
      <c r="DE5" s="118" t="n"/>
      <c r="DF5" s="119" t="n"/>
      <c r="DG5" s="118" t="n"/>
      <c r="DH5" s="119" t="n"/>
      <c r="DI5" s="118" t="n"/>
      <c r="DJ5" s="119" t="n"/>
      <c r="DK5" s="118" t="n"/>
      <c r="DL5" s="119" t="n"/>
      <c r="DM5" s="118" t="n"/>
      <c r="DN5" s="119" t="n"/>
      <c r="DO5" s="118" t="n"/>
      <c r="DP5" s="119" t="n"/>
      <c r="DQ5" s="118" t="n"/>
      <c r="DR5" s="119" t="n"/>
      <c r="DS5" s="118" t="n"/>
      <c r="DT5" s="119" t="n"/>
      <c r="DU5" s="120" t="n"/>
      <c r="DV5" s="121" t="n"/>
      <c r="DW5" s="122" t="n"/>
      <c r="DX5" s="121" t="n"/>
      <c r="DY5" s="122" t="n"/>
      <c r="DZ5" s="121" t="n"/>
      <c r="EA5" s="122" t="n"/>
      <c r="EB5" s="121" t="n"/>
      <c r="EC5" s="122" t="n"/>
      <c r="ED5" s="121" t="n"/>
      <c r="EE5" s="122" t="n"/>
      <c r="EF5" s="121" t="n"/>
      <c r="EG5" s="122" t="n"/>
      <c r="EH5" s="121" t="n"/>
      <c r="EI5" s="122" t="n"/>
      <c r="EJ5" s="121" t="n"/>
      <c r="EK5" s="122" t="n"/>
      <c r="EL5" s="123" t="n"/>
      <c r="EM5" s="124" t="n"/>
      <c r="EN5" s="125" t="n"/>
      <c r="EO5" s="124" t="n"/>
      <c r="EP5" s="125" t="n"/>
      <c r="EQ5" s="124" t="n"/>
      <c r="ER5" s="125" t="n"/>
      <c r="ES5" s="124" t="n"/>
      <c r="ET5" s="125" t="n"/>
      <c r="EU5" s="124" t="n"/>
      <c r="EV5" s="125" t="n"/>
      <c r="EW5" s="124" t="n"/>
      <c r="EX5" s="125" t="n"/>
      <c r="EY5" s="124" t="n"/>
      <c r="EZ5" s="125" t="n"/>
      <c r="FA5" s="124" t="n"/>
      <c r="FB5" s="125" t="n"/>
      <c r="FC5" s="126" t="n"/>
      <c r="FD5" s="127" t="n"/>
      <c r="FE5" s="128" t="n"/>
      <c r="FF5" s="127" t="n"/>
      <c r="FG5" s="128" t="n"/>
      <c r="FH5" s="127" t="n"/>
      <c r="FI5" s="128" t="n"/>
      <c r="FJ5" s="127" t="n"/>
      <c r="FK5" s="128" t="n"/>
      <c r="FL5" s="127" t="n"/>
      <c r="FM5" s="128" t="n"/>
      <c r="FN5" s="127" t="n"/>
      <c r="FO5" s="128" t="n"/>
      <c r="FP5" s="127" t="n"/>
      <c r="FQ5" s="128" t="n"/>
      <c r="FR5" s="127" t="n"/>
      <c r="FS5" s="128" t="n"/>
      <c r="FT5" s="129" t="n"/>
      <c r="FU5" s="130" t="n"/>
      <c r="FV5" s="131" t="n"/>
      <c r="FW5" s="130" t="n"/>
      <c r="FX5" s="131" t="n"/>
      <c r="FY5" s="130" t="n"/>
      <c r="FZ5" s="131" t="n"/>
      <c r="GA5" s="130" t="n"/>
      <c r="GB5" s="131" t="n"/>
      <c r="GC5" s="130" t="n"/>
      <c r="GD5" s="131" t="n"/>
      <c r="GE5" s="130" t="n"/>
      <c r="GF5" s="131" t="n"/>
      <c r="GG5" s="130" t="n"/>
      <c r="GH5" s="131" t="n"/>
      <c r="GI5" s="130" t="n"/>
      <c r="GJ5" s="131" t="n"/>
      <c r="GK5" s="132" t="n"/>
      <c r="GL5" s="133" t="n"/>
      <c r="GM5" s="134" t="n"/>
      <c r="GN5" s="133" t="n"/>
      <c r="GO5" s="134" t="n"/>
      <c r="GP5" s="133" t="n"/>
      <c r="GQ5" s="134" t="n"/>
      <c r="GR5" s="133" t="n"/>
      <c r="GS5" s="134" t="n"/>
      <c r="GT5" s="133" t="n"/>
      <c r="GU5" s="134" t="n"/>
      <c r="GV5" s="133" t="n"/>
      <c r="GW5" s="134" t="n"/>
      <c r="GX5" s="133" t="n"/>
      <c r="GY5" s="134" t="n"/>
      <c r="GZ5" s="133" t="n"/>
      <c r="HA5" s="134" t="n"/>
      <c r="HB5" s="135" t="n"/>
      <c r="HC5">
        <f>97-SUMPRODUCT(MAX(($G$4:$HB$4="ح")*($G5:$HB5=TRUE)*(97-$G$47:$HB$47)))</f>
        <v>97</v>
      </c>
      <c r="HD5">
        <f>SUMPRODUCT(($G$4:$HB$4="ح")*($G5:$HB5=TRUE)*($G$47:$HB$47&gt;$HC$1-8))</f>
        <v>0</v>
      </c>
      <c r="HE5">
        <f>(COUNTIF($G5:$V5,TRUE)&gt;0)*($W5&lt;&gt;TRUE)+(COUNTIF($X5:$AM5,TRUE)&gt;0)*($AN5&lt;&gt;TRUE)+(COUNTIF($AO5:$BD5,TRUE)&gt;0)*($BE5&lt;&gt;TRUE)+(COUNTIF($BF5:$BU5,TRUE)&gt;0)*($BV5&lt;&gt;TRUE)+(COUNTIF($BW5:$CL5,TRUE)&gt;0)*($CM5&lt;&gt;TRUE)+(COUNTIF($CN5:$DC5,TRUE)&gt;0)*($DD5&lt;&gt;TRUE)+(COUNTIF($DE5:$DT5,TRUE)&gt;0)*($DU5&lt;&gt;TRUE)+(COUNTIF($DV5:$EK5,TRUE)&gt;0)*($EL5&lt;&gt;TRUE)+(COUNTIF($EM5:$FB5,TRUE)&gt;0)*($FC5&lt;&gt;TRUE)+(COUNTIF($FD5:$FS5,TRUE)&gt;0)*($FT5&lt;&gt;TRUE)+(COUNTIF($FU5:$GJ5,TRUE)&gt;0)*($GK5&lt;&gt;TRUE)+(COUNTIF($GL5:$HA5,TRUE)&gt;0)*($HB5&lt;&gt;TRUE)</f>
        <v>0</v>
      </c>
      <c r="HF5">
        <f>IF($HE5=0,0,13-MAX((COUNTIF($G5:$V5,TRUE)&gt;0)*($W5&lt;&gt;TRUE)*12,(COUNTIF($X5:$AM5,TRUE)&gt;0)*($AN5&lt;&gt;TRUE)*11,(COUNTIF($AO5:$BD5,TRUE)&gt;0)*($BE5&lt;&gt;TRUE)*10,(COUNTIF($BF5:$BU5,TRUE)&gt;0)*($BV5&lt;&gt;TRUE)*9,(COUNTIF($BW5:$CL5,TRUE)&gt;0)*($CM5&lt;&gt;TRUE)*8,(COUNTIF($CN5:$DC5,TRUE)&gt;0)*($DD5&lt;&gt;TRUE)*7,(COUNTIF($DE5:$DT5,TRUE)&gt;0)*($DU5&lt;&gt;TRUE)*6,(COUNTIF($DV5:$EK5,TRUE)&gt;0)*($EL5&lt;&gt;TRUE)*5,(COUNTIF($EM5:$FB5,TRUE)&gt;0)*($FC5&lt;&gt;TRUE)*4,(COUNTIF($FD5:$FS5,TRUE)&gt;0)*($FT5&lt;&gt;TRUE)*3,(COUNTIF($FU5:$GJ5,TRUE)&gt;0)*($GK5&lt;&gt;TRUE)*2,(COUNTIF($GL5:$HA5,TRUE)&gt;0)*($HB5&lt;&gt;TRUE)*1))</f>
        <v>0</v>
      </c>
    </row>
    <row r="6" ht="22.5" customHeight="1">
      <c r="A6" s="36" t="n">
        <v>2</v>
      </c>
      <c r="B6" s="97" t="n"/>
      <c r="C6" s="28" t="n"/>
      <c r="D6" s="98" t="str">
        <f>IF($B6="","",IF($HC6=97,"-",IF($HD6=0,"متوقف",SUMPRODUCT(($G$4:$HB$4="ح")*($G$20:$HB$20&gt;0)*($G6:$HB6&lt;&gt;TRUE)*($G$47:$HB$47&gt;$HC$1-8)*($G$47:$HB$47&gt;=$HC6)))))</f>
        <v/>
      </c>
      <c r="E6" s="98" t="str">
        <f>IF(OR($B6="",$HC6=97),"",SUMPRODUCT(($G$4:$HA$4="ح")*($G6:$HA6=TRUE)*($H6:$HB6&lt;&gt;TRUE)*($G$47:$HA$47&gt;$HC$1-8)))</f>
        <v/>
      </c>
      <c r="F6" s="99" t="str">
        <f>IF($B6="","",IF($HE6=0,IF($HC6=97,"-","تمام"),IF($HE6=1,IF(INDEX($G$1:$HB$1,1,17*($HF6-1)+1)="","شهر "&amp;$HF6,INDEX($G$1:$HB$1,1,17*($HF6-1)+1)),IF($HE6=2,"شهرين",$HE6&amp;" شهور"))))</f>
        <v/>
      </c>
      <c r="G6" s="100" t="n"/>
      <c r="H6" s="101" t="n"/>
      <c r="I6" s="100" t="n"/>
      <c r="J6" s="101" t="n"/>
      <c r="K6" s="100" t="n"/>
      <c r="L6" s="101" t="n"/>
      <c r="M6" s="100" t="n"/>
      <c r="N6" s="101" t="n"/>
      <c r="O6" s="100" t="n"/>
      <c r="P6" s="101" t="n"/>
      <c r="Q6" s="100" t="n"/>
      <c r="R6" s="101" t="n"/>
      <c r="S6" s="100" t="n"/>
      <c r="T6" s="101" t="n"/>
      <c r="U6" s="100" t="n"/>
      <c r="V6" s="101" t="n"/>
      <c r="W6" s="102" t="n"/>
      <c r="X6" s="103" t="n"/>
      <c r="Y6" s="104" t="n"/>
      <c r="Z6" s="103" t="n"/>
      <c r="AA6" s="104" t="n"/>
      <c r="AB6" s="103" t="n"/>
      <c r="AC6" s="104" t="n"/>
      <c r="AD6" s="103" t="n"/>
      <c r="AE6" s="104" t="n"/>
      <c r="AF6" s="103" t="n"/>
      <c r="AG6" s="104" t="n"/>
      <c r="AH6" s="103" t="n"/>
      <c r="AI6" s="104" t="n"/>
      <c r="AJ6" s="103" t="n"/>
      <c r="AK6" s="104" t="n"/>
      <c r="AL6" s="103" t="n"/>
      <c r="AM6" s="104" t="n"/>
      <c r="AN6" s="105" t="n"/>
      <c r="AO6" s="106" t="n"/>
      <c r="AP6" s="107" t="n"/>
      <c r="AQ6" s="106" t="n"/>
      <c r="AR6" s="107" t="n"/>
      <c r="AS6" s="106" t="n"/>
      <c r="AT6" s="107" t="n"/>
      <c r="AU6" s="106" t="n"/>
      <c r="AV6" s="107" t="n"/>
      <c r="AW6" s="106" t="n"/>
      <c r="AX6" s="107" t="n"/>
      <c r="AY6" s="106" t="n"/>
      <c r="AZ6" s="107" t="n"/>
      <c r="BA6" s="106" t="n"/>
      <c r="BB6" s="107" t="n"/>
      <c r="BC6" s="106" t="n"/>
      <c r="BD6" s="107" t="n"/>
      <c r="BE6" s="108" t="n"/>
      <c r="BF6" s="109" t="n"/>
      <c r="BG6" s="110" t="n"/>
      <c r="BH6" s="109" t="n"/>
      <c r="BI6" s="110" t="n"/>
      <c r="BJ6" s="109" t="n"/>
      <c r="BK6" s="110" t="n"/>
      <c r="BL6" s="109" t="n"/>
      <c r="BM6" s="110" t="n"/>
      <c r="BN6" s="109" t="n"/>
      <c r="BO6" s="110" t="n"/>
      <c r="BP6" s="109" t="n"/>
      <c r="BQ6" s="110" t="n"/>
      <c r="BR6" s="109" t="n"/>
      <c r="BS6" s="110" t="n"/>
      <c r="BT6" s="109" t="n"/>
      <c r="BU6" s="110" t="n"/>
      <c r="BV6" s="111" t="n"/>
      <c r="BW6" s="112" t="n"/>
      <c r="BX6" s="113" t="n"/>
      <c r="BY6" s="112" t="n"/>
      <c r="BZ6" s="113" t="n"/>
      <c r="CA6" s="112" t="n"/>
      <c r="CB6" s="113" t="n"/>
      <c r="CC6" s="112" t="n"/>
      <c r="CD6" s="113" t="n"/>
      <c r="CE6" s="112" t="n"/>
      <c r="CF6" s="113" t="n"/>
      <c r="CG6" s="112" t="n"/>
      <c r="CH6" s="113" t="n"/>
      <c r="CI6" s="112" t="n"/>
      <c r="CJ6" s="113" t="n"/>
      <c r="CK6" s="112" t="n"/>
      <c r="CL6" s="113" t="n"/>
      <c r="CM6" s="114" t="n"/>
      <c r="CN6" s="115" t="n"/>
      <c r="CO6" s="116" t="n"/>
      <c r="CP6" s="115" t="n"/>
      <c r="CQ6" s="116" t="n"/>
      <c r="CR6" s="115" t="n"/>
      <c r="CS6" s="116" t="n"/>
      <c r="CT6" s="115" t="n"/>
      <c r="CU6" s="116" t="n"/>
      <c r="CV6" s="115" t="n"/>
      <c r="CW6" s="116" t="n"/>
      <c r="CX6" s="115" t="n"/>
      <c r="CY6" s="116" t="n"/>
      <c r="CZ6" s="115" t="n"/>
      <c r="DA6" s="116" t="n"/>
      <c r="DB6" s="115" t="n"/>
      <c r="DC6" s="116" t="n"/>
      <c r="DD6" s="117" t="n"/>
      <c r="DE6" s="118" t="n"/>
      <c r="DF6" s="119" t="n"/>
      <c r="DG6" s="118" t="n"/>
      <c r="DH6" s="119" t="n"/>
      <c r="DI6" s="118" t="n"/>
      <c r="DJ6" s="119" t="n"/>
      <c r="DK6" s="118" t="n"/>
      <c r="DL6" s="119" t="n"/>
      <c r="DM6" s="118" t="n"/>
      <c r="DN6" s="119" t="n"/>
      <c r="DO6" s="118" t="n"/>
      <c r="DP6" s="119" t="n"/>
      <c r="DQ6" s="118" t="n"/>
      <c r="DR6" s="119" t="n"/>
      <c r="DS6" s="118" t="n"/>
      <c r="DT6" s="119" t="n"/>
      <c r="DU6" s="120" t="n"/>
      <c r="DV6" s="121" t="n"/>
      <c r="DW6" s="122" t="n"/>
      <c r="DX6" s="121" t="n"/>
      <c r="DY6" s="122" t="n"/>
      <c r="DZ6" s="121" t="n"/>
      <c r="EA6" s="122" t="n"/>
      <c r="EB6" s="121" t="n"/>
      <c r="EC6" s="122" t="n"/>
      <c r="ED6" s="121" t="n"/>
      <c r="EE6" s="122" t="n"/>
      <c r="EF6" s="121" t="n"/>
      <c r="EG6" s="122" t="n"/>
      <c r="EH6" s="121" t="n"/>
      <c r="EI6" s="122" t="n"/>
      <c r="EJ6" s="121" t="n"/>
      <c r="EK6" s="122" t="n"/>
      <c r="EL6" s="123" t="n"/>
      <c r="EM6" s="124" t="n"/>
      <c r="EN6" s="125" t="n"/>
      <c r="EO6" s="124" t="n"/>
      <c r="EP6" s="125" t="n"/>
      <c r="EQ6" s="124" t="n"/>
      <c r="ER6" s="125" t="n"/>
      <c r="ES6" s="124" t="n"/>
      <c r="ET6" s="125" t="n"/>
      <c r="EU6" s="124" t="n"/>
      <c r="EV6" s="125" t="n"/>
      <c r="EW6" s="124" t="n"/>
      <c r="EX6" s="125" t="n"/>
      <c r="EY6" s="124" t="n"/>
      <c r="EZ6" s="125" t="n"/>
      <c r="FA6" s="124" t="n"/>
      <c r="FB6" s="125" t="n"/>
      <c r="FC6" s="126" t="n"/>
      <c r="FD6" s="127" t="n"/>
      <c r="FE6" s="128" t="n"/>
      <c r="FF6" s="127" t="n"/>
      <c r="FG6" s="128" t="n"/>
      <c r="FH6" s="127" t="n"/>
      <c r="FI6" s="128" t="n"/>
      <c r="FJ6" s="127" t="n"/>
      <c r="FK6" s="128" t="n"/>
      <c r="FL6" s="127" t="n"/>
      <c r="FM6" s="128" t="n"/>
      <c r="FN6" s="127" t="n"/>
      <c r="FO6" s="128" t="n"/>
      <c r="FP6" s="127" t="n"/>
      <c r="FQ6" s="128" t="n"/>
      <c r="FR6" s="127" t="n"/>
      <c r="FS6" s="128" t="n"/>
      <c r="FT6" s="129" t="n"/>
      <c r="FU6" s="130" t="n"/>
      <c r="FV6" s="131" t="n"/>
      <c r="FW6" s="130" t="n"/>
      <c r="FX6" s="131" t="n"/>
      <c r="FY6" s="130" t="n"/>
      <c r="FZ6" s="131" t="n"/>
      <c r="GA6" s="130" t="n"/>
      <c r="GB6" s="131" t="n"/>
      <c r="GC6" s="130" t="n"/>
      <c r="GD6" s="131" t="n"/>
      <c r="GE6" s="130" t="n"/>
      <c r="GF6" s="131" t="n"/>
      <c r="GG6" s="130" t="n"/>
      <c r="GH6" s="131" t="n"/>
      <c r="GI6" s="130" t="n"/>
      <c r="GJ6" s="131" t="n"/>
      <c r="GK6" s="132" t="n"/>
      <c r="GL6" s="133" t="n"/>
      <c r="GM6" s="134" t="n"/>
      <c r="GN6" s="133" t="n"/>
      <c r="GO6" s="134" t="n"/>
      <c r="GP6" s="133" t="n"/>
      <c r="GQ6" s="134" t="n"/>
      <c r="GR6" s="133" t="n"/>
      <c r="GS6" s="134" t="n"/>
      <c r="GT6" s="133" t="n"/>
      <c r="GU6" s="134" t="n"/>
      <c r="GV6" s="133" t="n"/>
      <c r="GW6" s="134" t="n"/>
      <c r="GX6" s="133" t="n"/>
      <c r="GY6" s="134" t="n"/>
      <c r="GZ6" s="133" t="n"/>
      <c r="HA6" s="134" t="n"/>
      <c r="HB6" s="135" t="n"/>
      <c r="HC6">
        <f>97-SUMPRODUCT(MAX(($G$4:$HB$4="ح")*($G6:$HB6=TRUE)*(97-$G$47:$HB$47)))</f>
        <v>97</v>
      </c>
      <c r="HD6">
        <f>SUMPRODUCT(($G$4:$HB$4="ح")*($G6:$HB6=TRUE)*($G$47:$HB$47&gt;$HC$1-8))</f>
        <v>0</v>
      </c>
      <c r="HE6">
        <f>(COUNTIF($G6:$V6,TRUE)&gt;0)*($W6&lt;&gt;TRUE)+(COUNTIF($X6:$AM6,TRUE)&gt;0)*($AN6&lt;&gt;TRUE)+(COUNTIF($AO6:$BD6,TRUE)&gt;0)*($BE6&lt;&gt;TRUE)+(COUNTIF($BF6:$BU6,TRUE)&gt;0)*($BV6&lt;&gt;TRUE)+(COUNTIF($BW6:$CL6,TRUE)&gt;0)*($CM6&lt;&gt;TRUE)+(COUNTIF($CN6:$DC6,TRUE)&gt;0)*($DD6&lt;&gt;TRUE)+(COUNTIF($DE6:$DT6,TRUE)&gt;0)*($DU6&lt;&gt;TRUE)+(COUNTIF($DV6:$EK6,TRUE)&gt;0)*($EL6&lt;&gt;TRUE)+(COUNTIF($EM6:$FB6,TRUE)&gt;0)*($FC6&lt;&gt;TRUE)+(COUNTIF($FD6:$FS6,TRUE)&gt;0)*($FT6&lt;&gt;TRUE)+(COUNTIF($FU6:$GJ6,TRUE)&gt;0)*($GK6&lt;&gt;TRUE)+(COUNTIF($GL6:$HA6,TRUE)&gt;0)*($HB6&lt;&gt;TRUE)</f>
        <v>0</v>
      </c>
      <c r="HF6">
        <f>IF($HE6=0,0,13-MAX((COUNTIF($G6:$V6,TRUE)&gt;0)*($W6&lt;&gt;TRUE)*12,(COUNTIF($X6:$AM6,TRUE)&gt;0)*($AN6&lt;&gt;TRUE)*11,(COUNTIF($AO6:$BD6,TRUE)&gt;0)*($BE6&lt;&gt;TRUE)*10,(COUNTIF($BF6:$BU6,TRUE)&gt;0)*($BV6&lt;&gt;TRUE)*9,(COUNTIF($BW6:$CL6,TRUE)&gt;0)*($CM6&lt;&gt;TRUE)*8,(COUNTIF($CN6:$DC6,TRUE)&gt;0)*($DD6&lt;&gt;TRUE)*7,(COUNTIF($DE6:$DT6,TRUE)&gt;0)*($DU6&lt;&gt;TRUE)*6,(COUNTIF($DV6:$EK6,TRUE)&gt;0)*($EL6&lt;&gt;TRUE)*5,(COUNTIF($EM6:$FB6,TRUE)&gt;0)*($FC6&lt;&gt;TRUE)*4,(COUNTIF($FD6:$FS6,TRUE)&gt;0)*($FT6&lt;&gt;TRUE)*3,(COUNTIF($FU6:$GJ6,TRUE)&gt;0)*($GK6&lt;&gt;TRUE)*2,(COUNTIF($GL6:$HA6,TRUE)&gt;0)*($HB6&lt;&gt;TRUE)*1))</f>
        <v>0</v>
      </c>
    </row>
    <row r="7" ht="22.5" customHeight="1">
      <c r="A7" s="36" t="n">
        <v>3</v>
      </c>
      <c r="B7" s="97" t="n"/>
      <c r="C7" s="28" t="n"/>
      <c r="D7" s="98" t="str">
        <f>IF($B7="","",IF($HC7=97,"-",IF($HD7=0,"متوقف",SUMPRODUCT(($G$4:$HB$4="ح")*($G$20:$HB$20&gt;0)*($G7:$HB7&lt;&gt;TRUE)*($G$47:$HB$47&gt;$HC$1-8)*($G$47:$HB$47&gt;=$HC7)))))</f>
        <v/>
      </c>
      <c r="E7" s="98" t="str">
        <f>IF(OR($B7="",$HC7=97),"",SUMPRODUCT(($G$4:$HA$4="ح")*($G7:$HA7=TRUE)*($H7:$HB7&lt;&gt;TRUE)*($G$47:$HA$47&gt;$HC$1-8)))</f>
        <v/>
      </c>
      <c r="F7" s="99" t="str">
        <f>IF($B7="","",IF($HE7=0,IF($HC7=97,"-","تمام"),IF($HE7=1,IF(INDEX($G$1:$HB$1,1,17*($HF7-1)+1)="","شهر "&amp;$HF7,INDEX($G$1:$HB$1,1,17*($HF7-1)+1)),IF($HE7=2,"شهرين",$HE7&amp;" شهور"))))</f>
        <v/>
      </c>
      <c r="G7" s="100" t="n"/>
      <c r="H7" s="101" t="n"/>
      <c r="I7" s="100" t="n"/>
      <c r="J7" s="101" t="n"/>
      <c r="K7" s="100" t="n"/>
      <c r="L7" s="101" t="n"/>
      <c r="M7" s="100" t="n"/>
      <c r="N7" s="101" t="n"/>
      <c r="O7" s="100" t="n"/>
      <c r="P7" s="101" t="n"/>
      <c r="Q7" s="100" t="n"/>
      <c r="R7" s="101" t="n"/>
      <c r="S7" s="100" t="n"/>
      <c r="T7" s="101" t="n"/>
      <c r="U7" s="100" t="n"/>
      <c r="V7" s="101" t="n"/>
      <c r="W7" s="102" t="n"/>
      <c r="X7" s="103" t="n"/>
      <c r="Y7" s="104" t="n"/>
      <c r="Z7" s="103" t="n"/>
      <c r="AA7" s="104" t="n"/>
      <c r="AB7" s="103" t="n"/>
      <c r="AC7" s="104" t="n"/>
      <c r="AD7" s="103" t="n"/>
      <c r="AE7" s="104" t="n"/>
      <c r="AF7" s="103" t="n"/>
      <c r="AG7" s="104" t="n"/>
      <c r="AH7" s="103" t="n"/>
      <c r="AI7" s="104" t="n"/>
      <c r="AJ7" s="103" t="n"/>
      <c r="AK7" s="104" t="n"/>
      <c r="AL7" s="103" t="n"/>
      <c r="AM7" s="104" t="n"/>
      <c r="AN7" s="105" t="n"/>
      <c r="AO7" s="106" t="n"/>
      <c r="AP7" s="107" t="n"/>
      <c r="AQ7" s="106" t="n"/>
      <c r="AR7" s="107" t="n"/>
      <c r="AS7" s="106" t="n"/>
      <c r="AT7" s="107" t="n"/>
      <c r="AU7" s="106" t="n"/>
      <c r="AV7" s="107" t="n"/>
      <c r="AW7" s="106" t="n"/>
      <c r="AX7" s="107" t="n"/>
      <c r="AY7" s="106" t="n"/>
      <c r="AZ7" s="107" t="n"/>
      <c r="BA7" s="106" t="n"/>
      <c r="BB7" s="107" t="n"/>
      <c r="BC7" s="106" t="n"/>
      <c r="BD7" s="107" t="n"/>
      <c r="BE7" s="108" t="n"/>
      <c r="BF7" s="109" t="n"/>
      <c r="BG7" s="110" t="n"/>
      <c r="BH7" s="109" t="n"/>
      <c r="BI7" s="110" t="n"/>
      <c r="BJ7" s="109" t="n"/>
      <c r="BK7" s="110" t="n"/>
      <c r="BL7" s="109" t="n"/>
      <c r="BM7" s="110" t="n"/>
      <c r="BN7" s="109" t="n"/>
      <c r="BO7" s="110" t="n"/>
      <c r="BP7" s="109" t="n"/>
      <c r="BQ7" s="110" t="n"/>
      <c r="BR7" s="109" t="n"/>
      <c r="BS7" s="110" t="n"/>
      <c r="BT7" s="109" t="n"/>
      <c r="BU7" s="110" t="n"/>
      <c r="BV7" s="111" t="n"/>
      <c r="BW7" s="112" t="n"/>
      <c r="BX7" s="113" t="n"/>
      <c r="BY7" s="112" t="n"/>
      <c r="BZ7" s="113" t="n"/>
      <c r="CA7" s="112" t="n"/>
      <c r="CB7" s="113" t="n"/>
      <c r="CC7" s="112" t="n"/>
      <c r="CD7" s="113" t="n"/>
      <c r="CE7" s="112" t="n"/>
      <c r="CF7" s="113" t="n"/>
      <c r="CG7" s="112" t="n"/>
      <c r="CH7" s="113" t="n"/>
      <c r="CI7" s="112" t="n"/>
      <c r="CJ7" s="113" t="n"/>
      <c r="CK7" s="112" t="n"/>
      <c r="CL7" s="113" t="n"/>
      <c r="CM7" s="114" t="n"/>
      <c r="CN7" s="115" t="n"/>
      <c r="CO7" s="116" t="n"/>
      <c r="CP7" s="115" t="n"/>
      <c r="CQ7" s="116" t="n"/>
      <c r="CR7" s="115" t="n"/>
      <c r="CS7" s="116" t="n"/>
      <c r="CT7" s="115" t="n"/>
      <c r="CU7" s="116" t="n"/>
      <c r="CV7" s="115" t="n"/>
      <c r="CW7" s="116" t="n"/>
      <c r="CX7" s="115" t="n"/>
      <c r="CY7" s="116" t="n"/>
      <c r="CZ7" s="115" t="n"/>
      <c r="DA7" s="116" t="n"/>
      <c r="DB7" s="115" t="n"/>
      <c r="DC7" s="116" t="n"/>
      <c r="DD7" s="117" t="n"/>
      <c r="DE7" s="118" t="n"/>
      <c r="DF7" s="119" t="n"/>
      <c r="DG7" s="118" t="n"/>
      <c r="DH7" s="119" t="n"/>
      <c r="DI7" s="118" t="n"/>
      <c r="DJ7" s="119" t="n"/>
      <c r="DK7" s="118" t="n"/>
      <c r="DL7" s="119" t="n"/>
      <c r="DM7" s="118" t="n"/>
      <c r="DN7" s="119" t="n"/>
      <c r="DO7" s="118" t="n"/>
      <c r="DP7" s="119" t="n"/>
      <c r="DQ7" s="118" t="n"/>
      <c r="DR7" s="119" t="n"/>
      <c r="DS7" s="118" t="n"/>
      <c r="DT7" s="119" t="n"/>
      <c r="DU7" s="120" t="n"/>
      <c r="DV7" s="121" t="n"/>
      <c r="DW7" s="122" t="n"/>
      <c r="DX7" s="121" t="n"/>
      <c r="DY7" s="122" t="n"/>
      <c r="DZ7" s="121" t="n"/>
      <c r="EA7" s="122" t="n"/>
      <c r="EB7" s="121" t="n"/>
      <c r="EC7" s="122" t="n"/>
      <c r="ED7" s="121" t="n"/>
      <c r="EE7" s="122" t="n"/>
      <c r="EF7" s="121" t="n"/>
      <c r="EG7" s="122" t="n"/>
      <c r="EH7" s="121" t="n"/>
      <c r="EI7" s="122" t="n"/>
      <c r="EJ7" s="121" t="n"/>
      <c r="EK7" s="122" t="n"/>
      <c r="EL7" s="123" t="n"/>
      <c r="EM7" s="124" t="n"/>
      <c r="EN7" s="125" t="n"/>
      <c r="EO7" s="124" t="n"/>
      <c r="EP7" s="125" t="n"/>
      <c r="EQ7" s="124" t="n"/>
      <c r="ER7" s="125" t="n"/>
      <c r="ES7" s="124" t="n"/>
      <c r="ET7" s="125" t="n"/>
      <c r="EU7" s="124" t="n"/>
      <c r="EV7" s="125" t="n"/>
      <c r="EW7" s="124" t="n"/>
      <c r="EX7" s="125" t="n"/>
      <c r="EY7" s="124" t="n"/>
      <c r="EZ7" s="125" t="n"/>
      <c r="FA7" s="124" t="n"/>
      <c r="FB7" s="125" t="n"/>
      <c r="FC7" s="126" t="n"/>
      <c r="FD7" s="127" t="n"/>
      <c r="FE7" s="128" t="n"/>
      <c r="FF7" s="127" t="n"/>
      <c r="FG7" s="128" t="n"/>
      <c r="FH7" s="127" t="n"/>
      <c r="FI7" s="128" t="n"/>
      <c r="FJ7" s="127" t="n"/>
      <c r="FK7" s="128" t="n"/>
      <c r="FL7" s="127" t="n"/>
      <c r="FM7" s="128" t="n"/>
      <c r="FN7" s="127" t="n"/>
      <c r="FO7" s="128" t="n"/>
      <c r="FP7" s="127" t="n"/>
      <c r="FQ7" s="128" t="n"/>
      <c r="FR7" s="127" t="n"/>
      <c r="FS7" s="128" t="n"/>
      <c r="FT7" s="129" t="n"/>
      <c r="FU7" s="130" t="n"/>
      <c r="FV7" s="131" t="n"/>
      <c r="FW7" s="130" t="n"/>
      <c r="FX7" s="131" t="n"/>
      <c r="FY7" s="130" t="n"/>
      <c r="FZ7" s="131" t="n"/>
      <c r="GA7" s="130" t="n"/>
      <c r="GB7" s="131" t="n"/>
      <c r="GC7" s="130" t="n"/>
      <c r="GD7" s="131" t="n"/>
      <c r="GE7" s="130" t="n"/>
      <c r="GF7" s="131" t="n"/>
      <c r="GG7" s="130" t="n"/>
      <c r="GH7" s="131" t="n"/>
      <c r="GI7" s="130" t="n"/>
      <c r="GJ7" s="131" t="n"/>
      <c r="GK7" s="132" t="n"/>
      <c r="GL7" s="133" t="n"/>
      <c r="GM7" s="134" t="n"/>
      <c r="GN7" s="133" t="n"/>
      <c r="GO7" s="134" t="n"/>
      <c r="GP7" s="133" t="n"/>
      <c r="GQ7" s="134" t="n"/>
      <c r="GR7" s="133" t="n"/>
      <c r="GS7" s="134" t="n"/>
      <c r="GT7" s="133" t="n"/>
      <c r="GU7" s="134" t="n"/>
      <c r="GV7" s="133" t="n"/>
      <c r="GW7" s="134" t="n"/>
      <c r="GX7" s="133" t="n"/>
      <c r="GY7" s="134" t="n"/>
      <c r="GZ7" s="133" t="n"/>
      <c r="HA7" s="134" t="n"/>
      <c r="HB7" s="135" t="n"/>
      <c r="HC7">
        <f>97-SUMPRODUCT(MAX(($G$4:$HB$4="ح")*($G7:$HB7=TRUE)*(97-$G$47:$HB$47)))</f>
        <v>97</v>
      </c>
      <c r="HD7">
        <f>SUMPRODUCT(($G$4:$HB$4="ح")*($G7:$HB7=TRUE)*($G$47:$HB$47&gt;$HC$1-8))</f>
        <v>0</v>
      </c>
      <c r="HE7">
        <f>(COUNTIF($G7:$V7,TRUE)&gt;0)*($W7&lt;&gt;TRUE)+(COUNTIF($X7:$AM7,TRUE)&gt;0)*($AN7&lt;&gt;TRUE)+(COUNTIF($AO7:$BD7,TRUE)&gt;0)*($BE7&lt;&gt;TRUE)+(COUNTIF($BF7:$BU7,TRUE)&gt;0)*($BV7&lt;&gt;TRUE)+(COUNTIF($BW7:$CL7,TRUE)&gt;0)*($CM7&lt;&gt;TRUE)+(COUNTIF($CN7:$DC7,TRUE)&gt;0)*($DD7&lt;&gt;TRUE)+(COUNTIF($DE7:$DT7,TRUE)&gt;0)*($DU7&lt;&gt;TRUE)+(COUNTIF($DV7:$EK7,TRUE)&gt;0)*($EL7&lt;&gt;TRUE)+(COUNTIF($EM7:$FB7,TRUE)&gt;0)*($FC7&lt;&gt;TRUE)+(COUNTIF($FD7:$FS7,TRUE)&gt;0)*($FT7&lt;&gt;TRUE)+(COUNTIF($FU7:$GJ7,TRUE)&gt;0)*($GK7&lt;&gt;TRUE)+(COUNTIF($GL7:$HA7,TRUE)&gt;0)*($HB7&lt;&gt;TRUE)</f>
        <v>0</v>
      </c>
      <c r="HF7">
        <f>IF($HE7=0,0,13-MAX((COUNTIF($G7:$V7,TRUE)&gt;0)*($W7&lt;&gt;TRUE)*12,(COUNTIF($X7:$AM7,TRUE)&gt;0)*($AN7&lt;&gt;TRUE)*11,(COUNTIF($AO7:$BD7,TRUE)&gt;0)*($BE7&lt;&gt;TRUE)*10,(COUNTIF($BF7:$BU7,TRUE)&gt;0)*($BV7&lt;&gt;TRUE)*9,(COUNTIF($BW7:$CL7,TRUE)&gt;0)*($CM7&lt;&gt;TRUE)*8,(COUNTIF($CN7:$DC7,TRUE)&gt;0)*($DD7&lt;&gt;TRUE)*7,(COUNTIF($DE7:$DT7,TRUE)&gt;0)*($DU7&lt;&gt;TRUE)*6,(COUNTIF($DV7:$EK7,TRUE)&gt;0)*($EL7&lt;&gt;TRUE)*5,(COUNTIF($EM7:$FB7,TRUE)&gt;0)*($FC7&lt;&gt;TRUE)*4,(COUNTIF($FD7:$FS7,TRUE)&gt;0)*($FT7&lt;&gt;TRUE)*3,(COUNTIF($FU7:$GJ7,TRUE)&gt;0)*($GK7&lt;&gt;TRUE)*2,(COUNTIF($GL7:$HA7,TRUE)&gt;0)*($HB7&lt;&gt;TRUE)*1))</f>
        <v>0</v>
      </c>
    </row>
    <row r="8" ht="22.5" customHeight="1">
      <c r="A8" s="36" t="n">
        <v>4</v>
      </c>
      <c r="B8" s="97" t="n"/>
      <c r="C8" s="28" t="n"/>
      <c r="D8" s="98" t="str">
        <f>IF($B8="","",IF($HC8=97,"-",IF($HD8=0,"متوقف",SUMPRODUCT(($G$4:$HB$4="ح")*($G$20:$HB$20&gt;0)*($G8:$HB8&lt;&gt;TRUE)*($G$47:$HB$47&gt;$HC$1-8)*($G$47:$HB$47&gt;=$HC8)))))</f>
        <v/>
      </c>
      <c r="E8" s="98" t="str">
        <f>IF(OR($B8="",$HC8=97),"",SUMPRODUCT(($G$4:$HA$4="ح")*($G8:$HA8=TRUE)*($H8:$HB8&lt;&gt;TRUE)*($G$47:$HA$47&gt;$HC$1-8)))</f>
        <v/>
      </c>
      <c r="F8" s="99" t="str">
        <f>IF($B8="","",IF($HE8=0,IF($HC8=97,"-","تمام"),IF($HE8=1,IF(INDEX($G$1:$HB$1,1,17*($HF8-1)+1)="","شهر "&amp;$HF8,INDEX($G$1:$HB$1,1,17*($HF8-1)+1)),IF($HE8=2,"شهرين",$HE8&amp;" شهور"))))</f>
        <v/>
      </c>
      <c r="G8" s="100" t="n"/>
      <c r="H8" s="101" t="n"/>
      <c r="I8" s="100" t="n"/>
      <c r="J8" s="101" t="n"/>
      <c r="K8" s="100" t="n"/>
      <c r="L8" s="101" t="n"/>
      <c r="M8" s="100" t="n"/>
      <c r="N8" s="101" t="n"/>
      <c r="O8" s="100" t="n"/>
      <c r="P8" s="101" t="n"/>
      <c r="Q8" s="100" t="n"/>
      <c r="R8" s="101" t="n"/>
      <c r="S8" s="100" t="n"/>
      <c r="T8" s="101" t="n"/>
      <c r="U8" s="100" t="n"/>
      <c r="V8" s="101" t="n"/>
      <c r="W8" s="102" t="n"/>
      <c r="X8" s="103" t="n"/>
      <c r="Y8" s="104" t="n"/>
      <c r="Z8" s="103" t="n"/>
      <c r="AA8" s="104" t="n"/>
      <c r="AB8" s="103" t="n"/>
      <c r="AC8" s="104" t="n"/>
      <c r="AD8" s="103" t="n"/>
      <c r="AE8" s="104" t="n"/>
      <c r="AF8" s="103" t="n"/>
      <c r="AG8" s="104" t="n"/>
      <c r="AH8" s="103" t="n"/>
      <c r="AI8" s="104" t="n"/>
      <c r="AJ8" s="103" t="n"/>
      <c r="AK8" s="104" t="n"/>
      <c r="AL8" s="103" t="n"/>
      <c r="AM8" s="104" t="n"/>
      <c r="AN8" s="105" t="n"/>
      <c r="AO8" s="106" t="n"/>
      <c r="AP8" s="107" t="n"/>
      <c r="AQ8" s="106" t="n"/>
      <c r="AR8" s="107" t="n"/>
      <c r="AS8" s="106" t="n"/>
      <c r="AT8" s="107" t="n"/>
      <c r="AU8" s="106" t="n"/>
      <c r="AV8" s="107" t="n"/>
      <c r="AW8" s="106" t="n"/>
      <c r="AX8" s="107" t="n"/>
      <c r="AY8" s="106" t="n"/>
      <c r="AZ8" s="107" t="n"/>
      <c r="BA8" s="106" t="n"/>
      <c r="BB8" s="107" t="n"/>
      <c r="BC8" s="106" t="n"/>
      <c r="BD8" s="107" t="n"/>
      <c r="BE8" s="108" t="n"/>
      <c r="BF8" s="109" t="n"/>
      <c r="BG8" s="110" t="n"/>
      <c r="BH8" s="109" t="n"/>
      <c r="BI8" s="110" t="n"/>
      <c r="BJ8" s="109" t="n"/>
      <c r="BK8" s="110" t="n"/>
      <c r="BL8" s="109" t="n"/>
      <c r="BM8" s="110" t="n"/>
      <c r="BN8" s="109" t="n"/>
      <c r="BO8" s="110" t="n"/>
      <c r="BP8" s="109" t="n"/>
      <c r="BQ8" s="110" t="n"/>
      <c r="BR8" s="109" t="n"/>
      <c r="BS8" s="110" t="n"/>
      <c r="BT8" s="109" t="n"/>
      <c r="BU8" s="110" t="n"/>
      <c r="BV8" s="111" t="n"/>
      <c r="BW8" s="112" t="n"/>
      <c r="BX8" s="113" t="n"/>
      <c r="BY8" s="112" t="n"/>
      <c r="BZ8" s="113" t="n"/>
      <c r="CA8" s="112" t="n"/>
      <c r="CB8" s="113" t="n"/>
      <c r="CC8" s="112" t="n"/>
      <c r="CD8" s="113" t="n"/>
      <c r="CE8" s="112" t="n"/>
      <c r="CF8" s="113" t="n"/>
      <c r="CG8" s="112" t="n"/>
      <c r="CH8" s="113" t="n"/>
      <c r="CI8" s="112" t="n"/>
      <c r="CJ8" s="113" t="n"/>
      <c r="CK8" s="112" t="n"/>
      <c r="CL8" s="113" t="n"/>
      <c r="CM8" s="114" t="n"/>
      <c r="CN8" s="115" t="n"/>
      <c r="CO8" s="116" t="n"/>
      <c r="CP8" s="115" t="n"/>
      <c r="CQ8" s="116" t="n"/>
      <c r="CR8" s="115" t="n"/>
      <c r="CS8" s="116" t="n"/>
      <c r="CT8" s="115" t="n"/>
      <c r="CU8" s="116" t="n"/>
      <c r="CV8" s="115" t="n"/>
      <c r="CW8" s="116" t="n"/>
      <c r="CX8" s="115" t="n"/>
      <c r="CY8" s="116" t="n"/>
      <c r="CZ8" s="115" t="n"/>
      <c r="DA8" s="116" t="n"/>
      <c r="DB8" s="115" t="n"/>
      <c r="DC8" s="116" t="n"/>
      <c r="DD8" s="117" t="n"/>
      <c r="DE8" s="118" t="n"/>
      <c r="DF8" s="119" t="n"/>
      <c r="DG8" s="118" t="n"/>
      <c r="DH8" s="119" t="n"/>
      <c r="DI8" s="118" t="n"/>
      <c r="DJ8" s="119" t="n"/>
      <c r="DK8" s="118" t="n"/>
      <c r="DL8" s="119" t="n"/>
      <c r="DM8" s="118" t="n"/>
      <c r="DN8" s="119" t="n"/>
      <c r="DO8" s="118" t="n"/>
      <c r="DP8" s="119" t="n"/>
      <c r="DQ8" s="118" t="n"/>
      <c r="DR8" s="119" t="n"/>
      <c r="DS8" s="118" t="n"/>
      <c r="DT8" s="119" t="n"/>
      <c r="DU8" s="120" t="n"/>
      <c r="DV8" s="121" t="n"/>
      <c r="DW8" s="122" t="n"/>
      <c r="DX8" s="121" t="n"/>
      <c r="DY8" s="122" t="n"/>
      <c r="DZ8" s="121" t="n"/>
      <c r="EA8" s="122" t="n"/>
      <c r="EB8" s="121" t="n"/>
      <c r="EC8" s="122" t="n"/>
      <c r="ED8" s="121" t="n"/>
      <c r="EE8" s="122" t="n"/>
      <c r="EF8" s="121" t="n"/>
      <c r="EG8" s="122" t="n"/>
      <c r="EH8" s="121" t="n"/>
      <c r="EI8" s="122" t="n"/>
      <c r="EJ8" s="121" t="n"/>
      <c r="EK8" s="122" t="n"/>
      <c r="EL8" s="123" t="n"/>
      <c r="EM8" s="124" t="n"/>
      <c r="EN8" s="125" t="n"/>
      <c r="EO8" s="124" t="n"/>
      <c r="EP8" s="125" t="n"/>
      <c r="EQ8" s="124" t="n"/>
      <c r="ER8" s="125" t="n"/>
      <c r="ES8" s="124" t="n"/>
      <c r="ET8" s="125" t="n"/>
      <c r="EU8" s="124" t="n"/>
      <c r="EV8" s="125" t="n"/>
      <c r="EW8" s="124" t="n"/>
      <c r="EX8" s="125" t="n"/>
      <c r="EY8" s="124" t="n"/>
      <c r="EZ8" s="125" t="n"/>
      <c r="FA8" s="124" t="n"/>
      <c r="FB8" s="125" t="n"/>
      <c r="FC8" s="126" t="n"/>
      <c r="FD8" s="127" t="n"/>
      <c r="FE8" s="128" t="n"/>
      <c r="FF8" s="127" t="n"/>
      <c r="FG8" s="128" t="n"/>
      <c r="FH8" s="127" t="n"/>
      <c r="FI8" s="128" t="n"/>
      <c r="FJ8" s="127" t="n"/>
      <c r="FK8" s="128" t="n"/>
      <c r="FL8" s="127" t="n"/>
      <c r="FM8" s="128" t="n"/>
      <c r="FN8" s="127" t="n"/>
      <c r="FO8" s="128" t="n"/>
      <c r="FP8" s="127" t="n"/>
      <c r="FQ8" s="128" t="n"/>
      <c r="FR8" s="127" t="n"/>
      <c r="FS8" s="128" t="n"/>
      <c r="FT8" s="129" t="n"/>
      <c r="FU8" s="130" t="n"/>
      <c r="FV8" s="131" t="n"/>
      <c r="FW8" s="130" t="n"/>
      <c r="FX8" s="131" t="n"/>
      <c r="FY8" s="130" t="n"/>
      <c r="FZ8" s="131" t="n"/>
      <c r="GA8" s="130" t="n"/>
      <c r="GB8" s="131" t="n"/>
      <c r="GC8" s="130" t="n"/>
      <c r="GD8" s="131" t="n"/>
      <c r="GE8" s="130" t="n"/>
      <c r="GF8" s="131" t="n"/>
      <c r="GG8" s="130" t="n"/>
      <c r="GH8" s="131" t="n"/>
      <c r="GI8" s="130" t="n"/>
      <c r="GJ8" s="131" t="n"/>
      <c r="GK8" s="132" t="n"/>
      <c r="GL8" s="133" t="n"/>
      <c r="GM8" s="134" t="n"/>
      <c r="GN8" s="133" t="n"/>
      <c r="GO8" s="134" t="n"/>
      <c r="GP8" s="133" t="n"/>
      <c r="GQ8" s="134" t="n"/>
      <c r="GR8" s="133" t="n"/>
      <c r="GS8" s="134" t="n"/>
      <c r="GT8" s="133" t="n"/>
      <c r="GU8" s="134" t="n"/>
      <c r="GV8" s="133" t="n"/>
      <c r="GW8" s="134" t="n"/>
      <c r="GX8" s="133" t="n"/>
      <c r="GY8" s="134" t="n"/>
      <c r="GZ8" s="133" t="n"/>
      <c r="HA8" s="134" t="n"/>
      <c r="HB8" s="135" t="n"/>
      <c r="HC8">
        <f>97-SUMPRODUCT(MAX(($G$4:$HB$4="ح")*($G8:$HB8=TRUE)*(97-$G$47:$HB$47)))</f>
        <v>97</v>
      </c>
      <c r="HD8">
        <f>SUMPRODUCT(($G$4:$HB$4="ح")*($G8:$HB8=TRUE)*($G$47:$HB$47&gt;$HC$1-8))</f>
        <v>0</v>
      </c>
      <c r="HE8">
        <f>(COUNTIF($G8:$V8,TRUE)&gt;0)*($W8&lt;&gt;TRUE)+(COUNTIF($X8:$AM8,TRUE)&gt;0)*($AN8&lt;&gt;TRUE)+(COUNTIF($AO8:$BD8,TRUE)&gt;0)*($BE8&lt;&gt;TRUE)+(COUNTIF($BF8:$BU8,TRUE)&gt;0)*($BV8&lt;&gt;TRUE)+(COUNTIF($BW8:$CL8,TRUE)&gt;0)*($CM8&lt;&gt;TRUE)+(COUNTIF($CN8:$DC8,TRUE)&gt;0)*($DD8&lt;&gt;TRUE)+(COUNTIF($DE8:$DT8,TRUE)&gt;0)*($DU8&lt;&gt;TRUE)+(COUNTIF($DV8:$EK8,TRUE)&gt;0)*($EL8&lt;&gt;TRUE)+(COUNTIF($EM8:$FB8,TRUE)&gt;0)*($FC8&lt;&gt;TRUE)+(COUNTIF($FD8:$FS8,TRUE)&gt;0)*($FT8&lt;&gt;TRUE)+(COUNTIF($FU8:$GJ8,TRUE)&gt;0)*($GK8&lt;&gt;TRUE)+(COUNTIF($GL8:$HA8,TRUE)&gt;0)*($HB8&lt;&gt;TRUE)</f>
        <v>0</v>
      </c>
      <c r="HF8">
        <f>IF($HE8=0,0,13-MAX((COUNTIF($G8:$V8,TRUE)&gt;0)*($W8&lt;&gt;TRUE)*12,(COUNTIF($X8:$AM8,TRUE)&gt;0)*($AN8&lt;&gt;TRUE)*11,(COUNTIF($AO8:$BD8,TRUE)&gt;0)*($BE8&lt;&gt;TRUE)*10,(COUNTIF($BF8:$BU8,TRUE)&gt;0)*($BV8&lt;&gt;TRUE)*9,(COUNTIF($BW8:$CL8,TRUE)&gt;0)*($CM8&lt;&gt;TRUE)*8,(COUNTIF($CN8:$DC8,TRUE)&gt;0)*($DD8&lt;&gt;TRUE)*7,(COUNTIF($DE8:$DT8,TRUE)&gt;0)*($DU8&lt;&gt;TRUE)*6,(COUNTIF($DV8:$EK8,TRUE)&gt;0)*($EL8&lt;&gt;TRUE)*5,(COUNTIF($EM8:$FB8,TRUE)&gt;0)*($FC8&lt;&gt;TRUE)*4,(COUNTIF($FD8:$FS8,TRUE)&gt;0)*($FT8&lt;&gt;TRUE)*3,(COUNTIF($FU8:$GJ8,TRUE)&gt;0)*($GK8&lt;&gt;TRUE)*2,(COUNTIF($GL8:$HA8,TRUE)&gt;0)*($HB8&lt;&gt;TRUE)*1))</f>
        <v>0</v>
      </c>
    </row>
    <row r="9" ht="22.5" customHeight="1">
      <c r="A9" s="36" t="n">
        <v>5</v>
      </c>
      <c r="B9" s="97" t="n"/>
      <c r="C9" s="28" t="n"/>
      <c r="D9" s="98" t="str">
        <f>IF($B9="","",IF($HC9=97,"-",IF($HD9=0,"متوقف",SUMPRODUCT(($G$4:$HB$4="ح")*($G$20:$HB$20&gt;0)*($G9:$HB9&lt;&gt;TRUE)*($G$47:$HB$47&gt;$HC$1-8)*($G$47:$HB$47&gt;=$HC9)))))</f>
        <v/>
      </c>
      <c r="E9" s="98" t="str">
        <f>IF(OR($B9="",$HC9=97),"",SUMPRODUCT(($G$4:$HA$4="ح")*($G9:$HA9=TRUE)*($H9:$HB9&lt;&gt;TRUE)*($G$47:$HA$47&gt;$HC$1-8)))</f>
        <v/>
      </c>
      <c r="F9" s="99" t="str">
        <f>IF($B9="","",IF($HE9=0,IF($HC9=97,"-","تمام"),IF($HE9=1,IF(INDEX($G$1:$HB$1,1,17*($HF9-1)+1)="","شهر "&amp;$HF9,INDEX($G$1:$HB$1,1,17*($HF9-1)+1)),IF($HE9=2,"شهرين",$HE9&amp;" شهور"))))</f>
        <v/>
      </c>
      <c r="G9" s="100" t="n"/>
      <c r="H9" s="101" t="n"/>
      <c r="I9" s="100" t="n"/>
      <c r="J9" s="101" t="n"/>
      <c r="K9" s="100" t="n"/>
      <c r="L9" s="101" t="n"/>
      <c r="M9" s="100" t="n"/>
      <c r="N9" s="101" t="n"/>
      <c r="O9" s="100" t="n"/>
      <c r="P9" s="101" t="n"/>
      <c r="Q9" s="100" t="n"/>
      <c r="R9" s="101" t="n"/>
      <c r="S9" s="100" t="n"/>
      <c r="T9" s="101" t="n"/>
      <c r="U9" s="100" t="n"/>
      <c r="V9" s="101" t="n"/>
      <c r="W9" s="102" t="n"/>
      <c r="X9" s="103" t="n"/>
      <c r="Y9" s="104" t="n"/>
      <c r="Z9" s="103" t="n"/>
      <c r="AA9" s="104" t="n"/>
      <c r="AB9" s="103" t="n"/>
      <c r="AC9" s="104" t="n"/>
      <c r="AD9" s="103" t="n"/>
      <c r="AE9" s="104" t="n"/>
      <c r="AF9" s="103" t="n"/>
      <c r="AG9" s="104" t="n"/>
      <c r="AH9" s="103" t="n"/>
      <c r="AI9" s="104" t="n"/>
      <c r="AJ9" s="103" t="n"/>
      <c r="AK9" s="104" t="n"/>
      <c r="AL9" s="103" t="n"/>
      <c r="AM9" s="104" t="n"/>
      <c r="AN9" s="105" t="n"/>
      <c r="AO9" s="106" t="n"/>
      <c r="AP9" s="107" t="n"/>
      <c r="AQ9" s="106" t="n"/>
      <c r="AR9" s="107" t="n"/>
      <c r="AS9" s="106" t="n"/>
      <c r="AT9" s="107" t="n"/>
      <c r="AU9" s="106" t="n"/>
      <c r="AV9" s="107" t="n"/>
      <c r="AW9" s="106" t="n"/>
      <c r="AX9" s="107" t="n"/>
      <c r="AY9" s="106" t="n"/>
      <c r="AZ9" s="107" t="n"/>
      <c r="BA9" s="106" t="n"/>
      <c r="BB9" s="107" t="n"/>
      <c r="BC9" s="106" t="n"/>
      <c r="BD9" s="107" t="n"/>
      <c r="BE9" s="108" t="n"/>
      <c r="BF9" s="109" t="n"/>
      <c r="BG9" s="110" t="n"/>
      <c r="BH9" s="109" t="n"/>
      <c r="BI9" s="110" t="n"/>
      <c r="BJ9" s="109" t="n"/>
      <c r="BK9" s="110" t="n"/>
      <c r="BL9" s="109" t="n"/>
      <c r="BM9" s="110" t="n"/>
      <c r="BN9" s="109" t="n"/>
      <c r="BO9" s="110" t="n"/>
      <c r="BP9" s="109" t="n"/>
      <c r="BQ9" s="110" t="n"/>
      <c r="BR9" s="109" t="n"/>
      <c r="BS9" s="110" t="n"/>
      <c r="BT9" s="109" t="n"/>
      <c r="BU9" s="110" t="n"/>
      <c r="BV9" s="111" t="n"/>
      <c r="BW9" s="112" t="n"/>
      <c r="BX9" s="113" t="n"/>
      <c r="BY9" s="112" t="n"/>
      <c r="BZ9" s="113" t="n"/>
      <c r="CA9" s="112" t="n"/>
      <c r="CB9" s="113" t="n"/>
      <c r="CC9" s="112" t="n"/>
      <c r="CD9" s="113" t="n"/>
      <c r="CE9" s="112" t="n"/>
      <c r="CF9" s="113" t="n"/>
      <c r="CG9" s="112" t="n"/>
      <c r="CH9" s="113" t="n"/>
      <c r="CI9" s="112" t="n"/>
      <c r="CJ9" s="113" t="n"/>
      <c r="CK9" s="112" t="n"/>
      <c r="CL9" s="113" t="n"/>
      <c r="CM9" s="114" t="n"/>
      <c r="CN9" s="115" t="n"/>
      <c r="CO9" s="116" t="n"/>
      <c r="CP9" s="115" t="n"/>
      <c r="CQ9" s="116" t="n"/>
      <c r="CR9" s="115" t="n"/>
      <c r="CS9" s="116" t="n"/>
      <c r="CT9" s="115" t="n"/>
      <c r="CU9" s="116" t="n"/>
      <c r="CV9" s="115" t="n"/>
      <c r="CW9" s="116" t="n"/>
      <c r="CX9" s="115" t="n"/>
      <c r="CY9" s="116" t="n"/>
      <c r="CZ9" s="115" t="n"/>
      <c r="DA9" s="116" t="n"/>
      <c r="DB9" s="115" t="n"/>
      <c r="DC9" s="116" t="n"/>
      <c r="DD9" s="117" t="n"/>
      <c r="DE9" s="118" t="n"/>
      <c r="DF9" s="119" t="n"/>
      <c r="DG9" s="118" t="n"/>
      <c r="DH9" s="119" t="n"/>
      <c r="DI9" s="118" t="n"/>
      <c r="DJ9" s="119" t="n"/>
      <c r="DK9" s="118" t="n"/>
      <c r="DL9" s="119" t="n"/>
      <c r="DM9" s="118" t="n"/>
      <c r="DN9" s="119" t="n"/>
      <c r="DO9" s="118" t="n"/>
      <c r="DP9" s="119" t="n"/>
      <c r="DQ9" s="118" t="n"/>
      <c r="DR9" s="119" t="n"/>
      <c r="DS9" s="118" t="n"/>
      <c r="DT9" s="119" t="n"/>
      <c r="DU9" s="120" t="n"/>
      <c r="DV9" s="121" t="n"/>
      <c r="DW9" s="122" t="n"/>
      <c r="DX9" s="121" t="n"/>
      <c r="DY9" s="122" t="n"/>
      <c r="DZ9" s="121" t="n"/>
      <c r="EA9" s="122" t="n"/>
      <c r="EB9" s="121" t="n"/>
      <c r="EC9" s="122" t="n"/>
      <c r="ED9" s="121" t="n"/>
      <c r="EE9" s="122" t="n"/>
      <c r="EF9" s="121" t="n"/>
      <c r="EG9" s="122" t="n"/>
      <c r="EH9" s="121" t="n"/>
      <c r="EI9" s="122" t="n"/>
      <c r="EJ9" s="121" t="n"/>
      <c r="EK9" s="122" t="n"/>
      <c r="EL9" s="123" t="n"/>
      <c r="EM9" s="124" t="n"/>
      <c r="EN9" s="125" t="n"/>
      <c r="EO9" s="124" t="n"/>
      <c r="EP9" s="125" t="n"/>
      <c r="EQ9" s="124" t="n"/>
      <c r="ER9" s="125" t="n"/>
      <c r="ES9" s="124" t="n"/>
      <c r="ET9" s="125" t="n"/>
      <c r="EU9" s="124" t="n"/>
      <c r="EV9" s="125" t="n"/>
      <c r="EW9" s="124" t="n"/>
      <c r="EX9" s="125" t="n"/>
      <c r="EY9" s="124" t="n"/>
      <c r="EZ9" s="125" t="n"/>
      <c r="FA9" s="124" t="n"/>
      <c r="FB9" s="125" t="n"/>
      <c r="FC9" s="126" t="n"/>
      <c r="FD9" s="127" t="n"/>
      <c r="FE9" s="128" t="n"/>
      <c r="FF9" s="127" t="n"/>
      <c r="FG9" s="128" t="n"/>
      <c r="FH9" s="127" t="n"/>
      <c r="FI9" s="128" t="n"/>
      <c r="FJ9" s="127" t="n"/>
      <c r="FK9" s="128" t="n"/>
      <c r="FL9" s="127" t="n"/>
      <c r="FM9" s="128" t="n"/>
      <c r="FN9" s="127" t="n"/>
      <c r="FO9" s="128" t="n"/>
      <c r="FP9" s="127" t="n"/>
      <c r="FQ9" s="128" t="n"/>
      <c r="FR9" s="127" t="n"/>
      <c r="FS9" s="128" t="n"/>
      <c r="FT9" s="129" t="n"/>
      <c r="FU9" s="130" t="n"/>
      <c r="FV9" s="131" t="n"/>
      <c r="FW9" s="130" t="n"/>
      <c r="FX9" s="131" t="n"/>
      <c r="FY9" s="130" t="n"/>
      <c r="FZ9" s="131" t="n"/>
      <c r="GA9" s="130" t="n"/>
      <c r="GB9" s="131" t="n"/>
      <c r="GC9" s="130" t="n"/>
      <c r="GD9" s="131" t="n"/>
      <c r="GE9" s="130" t="n"/>
      <c r="GF9" s="131" t="n"/>
      <c r="GG9" s="130" t="n"/>
      <c r="GH9" s="131" t="n"/>
      <c r="GI9" s="130" t="n"/>
      <c r="GJ9" s="131" t="n"/>
      <c r="GK9" s="132" t="n"/>
      <c r="GL9" s="133" t="n"/>
      <c r="GM9" s="134" t="n"/>
      <c r="GN9" s="133" t="n"/>
      <c r="GO9" s="134" t="n"/>
      <c r="GP9" s="133" t="n"/>
      <c r="GQ9" s="134" t="n"/>
      <c r="GR9" s="133" t="n"/>
      <c r="GS9" s="134" t="n"/>
      <c r="GT9" s="133" t="n"/>
      <c r="GU9" s="134" t="n"/>
      <c r="GV9" s="133" t="n"/>
      <c r="GW9" s="134" t="n"/>
      <c r="GX9" s="133" t="n"/>
      <c r="GY9" s="134" t="n"/>
      <c r="GZ9" s="133" t="n"/>
      <c r="HA9" s="134" t="n"/>
      <c r="HB9" s="135" t="n"/>
      <c r="HC9">
        <f>97-SUMPRODUCT(MAX(($G$4:$HB$4="ح")*($G9:$HB9=TRUE)*(97-$G$47:$HB$47)))</f>
        <v>97</v>
      </c>
      <c r="HD9">
        <f>SUMPRODUCT(($G$4:$HB$4="ح")*($G9:$HB9=TRUE)*($G$47:$HB$47&gt;$HC$1-8))</f>
        <v>0</v>
      </c>
      <c r="HE9">
        <f>(COUNTIF($G9:$V9,TRUE)&gt;0)*($W9&lt;&gt;TRUE)+(COUNTIF($X9:$AM9,TRUE)&gt;0)*($AN9&lt;&gt;TRUE)+(COUNTIF($AO9:$BD9,TRUE)&gt;0)*($BE9&lt;&gt;TRUE)+(COUNTIF($BF9:$BU9,TRUE)&gt;0)*($BV9&lt;&gt;TRUE)+(COUNTIF($BW9:$CL9,TRUE)&gt;0)*($CM9&lt;&gt;TRUE)+(COUNTIF($CN9:$DC9,TRUE)&gt;0)*($DD9&lt;&gt;TRUE)+(COUNTIF($DE9:$DT9,TRUE)&gt;0)*($DU9&lt;&gt;TRUE)+(COUNTIF($DV9:$EK9,TRUE)&gt;0)*($EL9&lt;&gt;TRUE)+(COUNTIF($EM9:$FB9,TRUE)&gt;0)*($FC9&lt;&gt;TRUE)+(COUNTIF($FD9:$FS9,TRUE)&gt;0)*($FT9&lt;&gt;TRUE)+(COUNTIF($FU9:$GJ9,TRUE)&gt;0)*($GK9&lt;&gt;TRUE)+(COUNTIF($GL9:$HA9,TRUE)&gt;0)*($HB9&lt;&gt;TRUE)</f>
        <v>0</v>
      </c>
      <c r="HF9">
        <f>IF($HE9=0,0,13-MAX((COUNTIF($G9:$V9,TRUE)&gt;0)*($W9&lt;&gt;TRUE)*12,(COUNTIF($X9:$AM9,TRUE)&gt;0)*($AN9&lt;&gt;TRUE)*11,(COUNTIF($AO9:$BD9,TRUE)&gt;0)*($BE9&lt;&gt;TRUE)*10,(COUNTIF($BF9:$BU9,TRUE)&gt;0)*($BV9&lt;&gt;TRUE)*9,(COUNTIF($BW9:$CL9,TRUE)&gt;0)*($CM9&lt;&gt;TRUE)*8,(COUNTIF($CN9:$DC9,TRUE)&gt;0)*($DD9&lt;&gt;TRUE)*7,(COUNTIF($DE9:$DT9,TRUE)&gt;0)*($DU9&lt;&gt;TRUE)*6,(COUNTIF($DV9:$EK9,TRUE)&gt;0)*($EL9&lt;&gt;TRUE)*5,(COUNTIF($EM9:$FB9,TRUE)&gt;0)*($FC9&lt;&gt;TRUE)*4,(COUNTIF($FD9:$FS9,TRUE)&gt;0)*($FT9&lt;&gt;TRUE)*3,(COUNTIF($FU9:$GJ9,TRUE)&gt;0)*($GK9&lt;&gt;TRUE)*2,(COUNTIF($GL9:$HA9,TRUE)&gt;0)*($HB9&lt;&gt;TRUE)*1))</f>
        <v>0</v>
      </c>
    </row>
    <row r="10" ht="22.5" customHeight="1">
      <c r="A10" s="36" t="n">
        <v>6</v>
      </c>
      <c r="B10" s="97" t="n"/>
      <c r="C10" s="28" t="n"/>
      <c r="D10" s="98" t="str">
        <f>IF($B10="","",IF($HC10=97,"-",IF($HD10=0,"متوقف",SUMPRODUCT(($G$4:$HB$4="ح")*($G$20:$HB$20&gt;0)*($G10:$HB10&lt;&gt;TRUE)*($G$47:$HB$47&gt;$HC$1-8)*($G$47:$HB$47&gt;=$HC10)))))</f>
        <v/>
      </c>
      <c r="E10" s="98" t="str">
        <f>IF(OR($B10="",$HC10=97),"",SUMPRODUCT(($G$4:$HA$4="ح")*($G10:$HA10=TRUE)*($H10:$HB10&lt;&gt;TRUE)*($G$47:$HA$47&gt;$HC$1-8)))</f>
        <v/>
      </c>
      <c r="F10" s="99" t="str">
        <f>IF($B10="","",IF($HE10=0,IF($HC10=97,"-","تمام"),IF($HE10=1,IF(INDEX($G$1:$HB$1,1,17*($HF10-1)+1)="","شهر "&amp;$HF10,INDEX($G$1:$HB$1,1,17*($HF10-1)+1)),IF($HE10=2,"شهرين",$HE10&amp;" شهور"))))</f>
        <v/>
      </c>
      <c r="G10" s="100" t="n"/>
      <c r="H10" s="101" t="n"/>
      <c r="I10" s="100" t="n"/>
      <c r="J10" s="101" t="n"/>
      <c r="K10" s="100" t="n"/>
      <c r="L10" s="101" t="n"/>
      <c r="M10" s="100" t="n"/>
      <c r="N10" s="101" t="n"/>
      <c r="O10" s="100" t="n"/>
      <c r="P10" s="101" t="n"/>
      <c r="Q10" s="100" t="n"/>
      <c r="R10" s="101" t="n"/>
      <c r="S10" s="100" t="n"/>
      <c r="T10" s="101" t="n"/>
      <c r="U10" s="100" t="n"/>
      <c r="V10" s="101" t="n"/>
      <c r="W10" s="102" t="n"/>
      <c r="X10" s="103" t="n"/>
      <c r="Y10" s="104" t="n"/>
      <c r="Z10" s="103" t="n"/>
      <c r="AA10" s="104" t="n"/>
      <c r="AB10" s="103" t="n"/>
      <c r="AC10" s="104" t="n"/>
      <c r="AD10" s="103" t="n"/>
      <c r="AE10" s="104" t="n"/>
      <c r="AF10" s="103" t="n"/>
      <c r="AG10" s="104" t="n"/>
      <c r="AH10" s="103" t="n"/>
      <c r="AI10" s="104" t="n"/>
      <c r="AJ10" s="103" t="n"/>
      <c r="AK10" s="104" t="n"/>
      <c r="AL10" s="103" t="n"/>
      <c r="AM10" s="104" t="n"/>
      <c r="AN10" s="105" t="n"/>
      <c r="AO10" s="106" t="n"/>
      <c r="AP10" s="107" t="n"/>
      <c r="AQ10" s="106" t="n"/>
      <c r="AR10" s="107" t="n"/>
      <c r="AS10" s="106" t="n"/>
      <c r="AT10" s="107" t="n"/>
      <c r="AU10" s="106" t="n"/>
      <c r="AV10" s="107" t="n"/>
      <c r="AW10" s="106" t="n"/>
      <c r="AX10" s="107" t="n"/>
      <c r="AY10" s="106" t="n"/>
      <c r="AZ10" s="107" t="n"/>
      <c r="BA10" s="106" t="n"/>
      <c r="BB10" s="107" t="n"/>
      <c r="BC10" s="106" t="n"/>
      <c r="BD10" s="107" t="n"/>
      <c r="BE10" s="108" t="n"/>
      <c r="BF10" s="109" t="n"/>
      <c r="BG10" s="110" t="n"/>
      <c r="BH10" s="109" t="n"/>
      <c r="BI10" s="110" t="n"/>
      <c r="BJ10" s="109" t="n"/>
      <c r="BK10" s="110" t="n"/>
      <c r="BL10" s="109" t="n"/>
      <c r="BM10" s="110" t="n"/>
      <c r="BN10" s="109" t="n"/>
      <c r="BO10" s="110" t="n"/>
      <c r="BP10" s="109" t="n"/>
      <c r="BQ10" s="110" t="n"/>
      <c r="BR10" s="109" t="n"/>
      <c r="BS10" s="110" t="n"/>
      <c r="BT10" s="109" t="n"/>
      <c r="BU10" s="110" t="n"/>
      <c r="BV10" s="111" t="n"/>
      <c r="BW10" s="112" t="n"/>
      <c r="BX10" s="113" t="n"/>
      <c r="BY10" s="112" t="n"/>
      <c r="BZ10" s="113" t="n"/>
      <c r="CA10" s="112" t="n"/>
      <c r="CB10" s="113" t="n"/>
      <c r="CC10" s="112" t="n"/>
      <c r="CD10" s="113" t="n"/>
      <c r="CE10" s="112" t="n"/>
      <c r="CF10" s="113" t="n"/>
      <c r="CG10" s="112" t="n"/>
      <c r="CH10" s="113" t="n"/>
      <c r="CI10" s="112" t="n"/>
      <c r="CJ10" s="113" t="n"/>
      <c r="CK10" s="112" t="n"/>
      <c r="CL10" s="113" t="n"/>
      <c r="CM10" s="114" t="n"/>
      <c r="CN10" s="115" t="n"/>
      <c r="CO10" s="116" t="n"/>
      <c r="CP10" s="115" t="n"/>
      <c r="CQ10" s="116" t="n"/>
      <c r="CR10" s="115" t="n"/>
      <c r="CS10" s="116" t="n"/>
      <c r="CT10" s="115" t="n"/>
      <c r="CU10" s="116" t="n"/>
      <c r="CV10" s="115" t="n"/>
      <c r="CW10" s="116" t="n"/>
      <c r="CX10" s="115" t="n"/>
      <c r="CY10" s="116" t="n"/>
      <c r="CZ10" s="115" t="n"/>
      <c r="DA10" s="116" t="n"/>
      <c r="DB10" s="115" t="n"/>
      <c r="DC10" s="116" t="n"/>
      <c r="DD10" s="117" t="n"/>
      <c r="DE10" s="118" t="n"/>
      <c r="DF10" s="119" t="n"/>
      <c r="DG10" s="118" t="n"/>
      <c r="DH10" s="119" t="n"/>
      <c r="DI10" s="118" t="n"/>
      <c r="DJ10" s="119" t="n"/>
      <c r="DK10" s="118" t="n"/>
      <c r="DL10" s="119" t="n"/>
      <c r="DM10" s="118" t="n"/>
      <c r="DN10" s="119" t="n"/>
      <c r="DO10" s="118" t="n"/>
      <c r="DP10" s="119" t="n"/>
      <c r="DQ10" s="118" t="n"/>
      <c r="DR10" s="119" t="n"/>
      <c r="DS10" s="118" t="n"/>
      <c r="DT10" s="119" t="n"/>
      <c r="DU10" s="120" t="n"/>
      <c r="DV10" s="121" t="n"/>
      <c r="DW10" s="122" t="n"/>
      <c r="DX10" s="121" t="n"/>
      <c r="DY10" s="122" t="n"/>
      <c r="DZ10" s="121" t="n"/>
      <c r="EA10" s="122" t="n"/>
      <c r="EB10" s="121" t="n"/>
      <c r="EC10" s="122" t="n"/>
      <c r="ED10" s="121" t="n"/>
      <c r="EE10" s="122" t="n"/>
      <c r="EF10" s="121" t="n"/>
      <c r="EG10" s="122" t="n"/>
      <c r="EH10" s="121" t="n"/>
      <c r="EI10" s="122" t="n"/>
      <c r="EJ10" s="121" t="n"/>
      <c r="EK10" s="122" t="n"/>
      <c r="EL10" s="123" t="n"/>
      <c r="EM10" s="124" t="n"/>
      <c r="EN10" s="125" t="n"/>
      <c r="EO10" s="124" t="n"/>
      <c r="EP10" s="125" t="n"/>
      <c r="EQ10" s="124" t="n"/>
      <c r="ER10" s="125" t="n"/>
      <c r="ES10" s="124" t="n"/>
      <c r="ET10" s="125" t="n"/>
      <c r="EU10" s="124" t="n"/>
      <c r="EV10" s="125" t="n"/>
      <c r="EW10" s="124" t="n"/>
      <c r="EX10" s="125" t="n"/>
      <c r="EY10" s="124" t="n"/>
      <c r="EZ10" s="125" t="n"/>
      <c r="FA10" s="124" t="n"/>
      <c r="FB10" s="125" t="n"/>
      <c r="FC10" s="126" t="n"/>
      <c r="FD10" s="127" t="n"/>
      <c r="FE10" s="128" t="n"/>
      <c r="FF10" s="127" t="n"/>
      <c r="FG10" s="128" t="n"/>
      <c r="FH10" s="127" t="n"/>
      <c r="FI10" s="128" t="n"/>
      <c r="FJ10" s="127" t="n"/>
      <c r="FK10" s="128" t="n"/>
      <c r="FL10" s="127" t="n"/>
      <c r="FM10" s="128" t="n"/>
      <c r="FN10" s="127" t="n"/>
      <c r="FO10" s="128" t="n"/>
      <c r="FP10" s="127" t="n"/>
      <c r="FQ10" s="128" t="n"/>
      <c r="FR10" s="127" t="n"/>
      <c r="FS10" s="128" t="n"/>
      <c r="FT10" s="129" t="n"/>
      <c r="FU10" s="130" t="n"/>
      <c r="FV10" s="131" t="n"/>
      <c r="FW10" s="130" t="n"/>
      <c r="FX10" s="131" t="n"/>
      <c r="FY10" s="130" t="n"/>
      <c r="FZ10" s="131" t="n"/>
      <c r="GA10" s="130" t="n"/>
      <c r="GB10" s="131" t="n"/>
      <c r="GC10" s="130" t="n"/>
      <c r="GD10" s="131" t="n"/>
      <c r="GE10" s="130" t="n"/>
      <c r="GF10" s="131" t="n"/>
      <c r="GG10" s="130" t="n"/>
      <c r="GH10" s="131" t="n"/>
      <c r="GI10" s="130" t="n"/>
      <c r="GJ10" s="131" t="n"/>
      <c r="GK10" s="132" t="n"/>
      <c r="GL10" s="133" t="n"/>
      <c r="GM10" s="134" t="n"/>
      <c r="GN10" s="133" t="n"/>
      <c r="GO10" s="134" t="n"/>
      <c r="GP10" s="133" t="n"/>
      <c r="GQ10" s="134" t="n"/>
      <c r="GR10" s="133" t="n"/>
      <c r="GS10" s="134" t="n"/>
      <c r="GT10" s="133" t="n"/>
      <c r="GU10" s="134" t="n"/>
      <c r="GV10" s="133" t="n"/>
      <c r="GW10" s="134" t="n"/>
      <c r="GX10" s="133" t="n"/>
      <c r="GY10" s="134" t="n"/>
      <c r="GZ10" s="133" t="n"/>
      <c r="HA10" s="134" t="n"/>
      <c r="HB10" s="135" t="n"/>
      <c r="HC10">
        <f>97-SUMPRODUCT(MAX(($G$4:$HB$4="ح")*($G10:$HB10=TRUE)*(97-$G$47:$HB$47)))</f>
        <v>97</v>
      </c>
      <c r="HD10">
        <f>SUMPRODUCT(($G$4:$HB$4="ح")*($G10:$HB10=TRUE)*($G$47:$HB$47&gt;$HC$1-8))</f>
        <v>0</v>
      </c>
      <c r="HE10">
        <f>(COUNTIF($G10:$V10,TRUE)&gt;0)*($W10&lt;&gt;TRUE)+(COUNTIF($X10:$AM10,TRUE)&gt;0)*($AN10&lt;&gt;TRUE)+(COUNTIF($AO10:$BD10,TRUE)&gt;0)*($BE10&lt;&gt;TRUE)+(COUNTIF($BF10:$BU10,TRUE)&gt;0)*($BV10&lt;&gt;TRUE)+(COUNTIF($BW10:$CL10,TRUE)&gt;0)*($CM10&lt;&gt;TRUE)+(COUNTIF($CN10:$DC10,TRUE)&gt;0)*($DD10&lt;&gt;TRUE)+(COUNTIF($DE10:$DT10,TRUE)&gt;0)*($DU10&lt;&gt;TRUE)+(COUNTIF($DV10:$EK10,TRUE)&gt;0)*($EL10&lt;&gt;TRUE)+(COUNTIF($EM10:$FB10,TRUE)&gt;0)*($FC10&lt;&gt;TRUE)+(COUNTIF($FD10:$FS10,TRUE)&gt;0)*($FT10&lt;&gt;TRUE)+(COUNTIF($FU10:$GJ10,TRUE)&gt;0)*($GK10&lt;&gt;TRUE)+(COUNTIF($GL10:$HA10,TRUE)&gt;0)*($HB10&lt;&gt;TRUE)</f>
        <v>0</v>
      </c>
      <c r="HF10">
        <f>IF($HE10=0,0,13-MAX((COUNTIF($G10:$V10,TRUE)&gt;0)*($W10&lt;&gt;TRUE)*12,(COUNTIF($X10:$AM10,TRUE)&gt;0)*($AN10&lt;&gt;TRUE)*11,(COUNTIF($AO10:$BD10,TRUE)&gt;0)*($BE10&lt;&gt;TRUE)*10,(COUNTIF($BF10:$BU10,TRUE)&gt;0)*($BV10&lt;&gt;TRUE)*9,(COUNTIF($BW10:$CL10,TRUE)&gt;0)*($CM10&lt;&gt;TRUE)*8,(COUNTIF($CN10:$DC10,TRUE)&gt;0)*($DD10&lt;&gt;TRUE)*7,(COUNTIF($DE10:$DT10,TRUE)&gt;0)*($DU10&lt;&gt;TRUE)*6,(COUNTIF($DV10:$EK10,TRUE)&gt;0)*($EL10&lt;&gt;TRUE)*5,(COUNTIF($EM10:$FB10,TRUE)&gt;0)*($FC10&lt;&gt;TRUE)*4,(COUNTIF($FD10:$FS10,TRUE)&gt;0)*($FT10&lt;&gt;TRUE)*3,(COUNTIF($FU10:$GJ10,TRUE)&gt;0)*($GK10&lt;&gt;TRUE)*2,(COUNTIF($GL10:$HA10,TRUE)&gt;0)*($HB10&lt;&gt;TRUE)*1))</f>
        <v>0</v>
      </c>
    </row>
    <row r="11" ht="22.5" customHeight="1">
      <c r="A11" s="36" t="n">
        <v>7</v>
      </c>
      <c r="B11" s="97" t="n"/>
      <c r="C11" s="28" t="n"/>
      <c r="D11" s="98" t="str">
        <f>IF($B11="","",IF($HC11=97,"-",IF($HD11=0,"متوقف",SUMPRODUCT(($G$4:$HB$4="ح")*($G$20:$HB$20&gt;0)*($G11:$HB11&lt;&gt;TRUE)*($G$47:$HB$47&gt;$HC$1-8)*($G$47:$HB$47&gt;=$HC11)))))</f>
        <v/>
      </c>
      <c r="E11" s="98" t="str">
        <f>IF(OR($B11="",$HC11=97),"",SUMPRODUCT(($G$4:$HA$4="ح")*($G11:$HA11=TRUE)*($H11:$HB11&lt;&gt;TRUE)*($G$47:$HA$47&gt;$HC$1-8)))</f>
        <v/>
      </c>
      <c r="F11" s="99" t="str">
        <f>IF($B11="","",IF($HE11=0,IF($HC11=97,"-","تمام"),IF($HE11=1,IF(INDEX($G$1:$HB$1,1,17*($HF11-1)+1)="","شهر "&amp;$HF11,INDEX($G$1:$HB$1,1,17*($HF11-1)+1)),IF($HE11=2,"شهرين",$HE11&amp;" شهور"))))</f>
        <v/>
      </c>
      <c r="G11" s="100" t="n"/>
      <c r="H11" s="101" t="n"/>
      <c r="I11" s="100" t="n"/>
      <c r="J11" s="101" t="n"/>
      <c r="K11" s="100" t="n"/>
      <c r="L11" s="101" t="n"/>
      <c r="M11" s="100" t="n"/>
      <c r="N11" s="101" t="n"/>
      <c r="O11" s="100" t="n"/>
      <c r="P11" s="101" t="n"/>
      <c r="Q11" s="100" t="n"/>
      <c r="R11" s="101" t="n"/>
      <c r="S11" s="100" t="n"/>
      <c r="T11" s="101" t="n"/>
      <c r="U11" s="100" t="n"/>
      <c r="V11" s="101" t="n"/>
      <c r="W11" s="102" t="n"/>
      <c r="X11" s="103" t="n"/>
      <c r="Y11" s="104" t="n"/>
      <c r="Z11" s="103" t="n"/>
      <c r="AA11" s="104" t="n"/>
      <c r="AB11" s="103" t="n"/>
      <c r="AC11" s="104" t="n"/>
      <c r="AD11" s="103" t="n"/>
      <c r="AE11" s="104" t="n"/>
      <c r="AF11" s="103" t="n"/>
      <c r="AG11" s="104" t="n"/>
      <c r="AH11" s="103" t="n"/>
      <c r="AI11" s="104" t="n"/>
      <c r="AJ11" s="103" t="n"/>
      <c r="AK11" s="104" t="n"/>
      <c r="AL11" s="103" t="n"/>
      <c r="AM11" s="104" t="n"/>
      <c r="AN11" s="105" t="n"/>
      <c r="AO11" s="106" t="n"/>
      <c r="AP11" s="107" t="n"/>
      <c r="AQ11" s="106" t="n"/>
      <c r="AR11" s="107" t="n"/>
      <c r="AS11" s="106" t="n"/>
      <c r="AT11" s="107" t="n"/>
      <c r="AU11" s="106" t="n"/>
      <c r="AV11" s="107" t="n"/>
      <c r="AW11" s="106" t="n"/>
      <c r="AX11" s="107" t="n"/>
      <c r="AY11" s="106" t="n"/>
      <c r="AZ11" s="107" t="n"/>
      <c r="BA11" s="106" t="n"/>
      <c r="BB11" s="107" t="n"/>
      <c r="BC11" s="106" t="n"/>
      <c r="BD11" s="107" t="n"/>
      <c r="BE11" s="108" t="n"/>
      <c r="BF11" s="109" t="n"/>
      <c r="BG11" s="110" t="n"/>
      <c r="BH11" s="109" t="n"/>
      <c r="BI11" s="110" t="n"/>
      <c r="BJ11" s="109" t="n"/>
      <c r="BK11" s="110" t="n"/>
      <c r="BL11" s="109" t="n"/>
      <c r="BM11" s="110" t="n"/>
      <c r="BN11" s="109" t="n"/>
      <c r="BO11" s="110" t="n"/>
      <c r="BP11" s="109" t="n"/>
      <c r="BQ11" s="110" t="n"/>
      <c r="BR11" s="109" t="n"/>
      <c r="BS11" s="110" t="n"/>
      <c r="BT11" s="109" t="n"/>
      <c r="BU11" s="110" t="n"/>
      <c r="BV11" s="111" t="n"/>
      <c r="BW11" s="112" t="n"/>
      <c r="BX11" s="113" t="n"/>
      <c r="BY11" s="112" t="n"/>
      <c r="BZ11" s="113" t="n"/>
      <c r="CA11" s="112" t="n"/>
      <c r="CB11" s="113" t="n"/>
      <c r="CC11" s="112" t="n"/>
      <c r="CD11" s="113" t="n"/>
      <c r="CE11" s="112" t="n"/>
      <c r="CF11" s="113" t="n"/>
      <c r="CG11" s="112" t="n"/>
      <c r="CH11" s="113" t="n"/>
      <c r="CI11" s="112" t="n"/>
      <c r="CJ11" s="113" t="n"/>
      <c r="CK11" s="112" t="n"/>
      <c r="CL11" s="113" t="n"/>
      <c r="CM11" s="114" t="n"/>
      <c r="CN11" s="115" t="n"/>
      <c r="CO11" s="116" t="n"/>
      <c r="CP11" s="115" t="n"/>
      <c r="CQ11" s="116" t="n"/>
      <c r="CR11" s="115" t="n"/>
      <c r="CS11" s="116" t="n"/>
      <c r="CT11" s="115" t="n"/>
      <c r="CU11" s="116" t="n"/>
      <c r="CV11" s="115" t="n"/>
      <c r="CW11" s="116" t="n"/>
      <c r="CX11" s="115" t="n"/>
      <c r="CY11" s="116" t="n"/>
      <c r="CZ11" s="115" t="n"/>
      <c r="DA11" s="116" t="n"/>
      <c r="DB11" s="115" t="n"/>
      <c r="DC11" s="116" t="n"/>
      <c r="DD11" s="117" t="n"/>
      <c r="DE11" s="118" t="n"/>
      <c r="DF11" s="119" t="n"/>
      <c r="DG11" s="118" t="n"/>
      <c r="DH11" s="119" t="n"/>
      <c r="DI11" s="118" t="n"/>
      <c r="DJ11" s="119" t="n"/>
      <c r="DK11" s="118" t="n"/>
      <c r="DL11" s="119" t="n"/>
      <c r="DM11" s="118" t="n"/>
      <c r="DN11" s="119" t="n"/>
      <c r="DO11" s="118" t="n"/>
      <c r="DP11" s="119" t="n"/>
      <c r="DQ11" s="118" t="n"/>
      <c r="DR11" s="119" t="n"/>
      <c r="DS11" s="118" t="n"/>
      <c r="DT11" s="119" t="n"/>
      <c r="DU11" s="120" t="n"/>
      <c r="DV11" s="121" t="n"/>
      <c r="DW11" s="122" t="n"/>
      <c r="DX11" s="121" t="n"/>
      <c r="DY11" s="122" t="n"/>
      <c r="DZ11" s="121" t="n"/>
      <c r="EA11" s="122" t="n"/>
      <c r="EB11" s="121" t="n"/>
      <c r="EC11" s="122" t="n"/>
      <c r="ED11" s="121" t="n"/>
      <c r="EE11" s="122" t="n"/>
      <c r="EF11" s="121" t="n"/>
      <c r="EG11" s="122" t="n"/>
      <c r="EH11" s="121" t="n"/>
      <c r="EI11" s="122" t="n"/>
      <c r="EJ11" s="121" t="n"/>
      <c r="EK11" s="122" t="n"/>
      <c r="EL11" s="123" t="n"/>
      <c r="EM11" s="124" t="n"/>
      <c r="EN11" s="125" t="n"/>
      <c r="EO11" s="124" t="n"/>
      <c r="EP11" s="125" t="n"/>
      <c r="EQ11" s="124" t="n"/>
      <c r="ER11" s="125" t="n"/>
      <c r="ES11" s="124" t="n"/>
      <c r="ET11" s="125" t="n"/>
      <c r="EU11" s="124" t="n"/>
      <c r="EV11" s="125" t="n"/>
      <c r="EW11" s="124" t="n"/>
      <c r="EX11" s="125" t="n"/>
      <c r="EY11" s="124" t="n"/>
      <c r="EZ11" s="125" t="n"/>
      <c r="FA11" s="124" t="n"/>
      <c r="FB11" s="125" t="n"/>
      <c r="FC11" s="126" t="n"/>
      <c r="FD11" s="127" t="n"/>
      <c r="FE11" s="128" t="n"/>
      <c r="FF11" s="127" t="n"/>
      <c r="FG11" s="128" t="n"/>
      <c r="FH11" s="127" t="n"/>
      <c r="FI11" s="128" t="n"/>
      <c r="FJ11" s="127" t="n"/>
      <c r="FK11" s="128" t="n"/>
      <c r="FL11" s="127" t="n"/>
      <c r="FM11" s="128" t="n"/>
      <c r="FN11" s="127" t="n"/>
      <c r="FO11" s="128" t="n"/>
      <c r="FP11" s="127" t="n"/>
      <c r="FQ11" s="128" t="n"/>
      <c r="FR11" s="127" t="n"/>
      <c r="FS11" s="128" t="n"/>
      <c r="FT11" s="129" t="n"/>
      <c r="FU11" s="130" t="n"/>
      <c r="FV11" s="131" t="n"/>
      <c r="FW11" s="130" t="n"/>
      <c r="FX11" s="131" t="n"/>
      <c r="FY11" s="130" t="n"/>
      <c r="FZ11" s="131" t="n"/>
      <c r="GA11" s="130" t="n"/>
      <c r="GB11" s="131" t="n"/>
      <c r="GC11" s="130" t="n"/>
      <c r="GD11" s="131" t="n"/>
      <c r="GE11" s="130" t="n"/>
      <c r="GF11" s="131" t="n"/>
      <c r="GG11" s="130" t="n"/>
      <c r="GH11" s="131" t="n"/>
      <c r="GI11" s="130" t="n"/>
      <c r="GJ11" s="131" t="n"/>
      <c r="GK11" s="132" t="n"/>
      <c r="GL11" s="133" t="n"/>
      <c r="GM11" s="134" t="n"/>
      <c r="GN11" s="133" t="n"/>
      <c r="GO11" s="134" t="n"/>
      <c r="GP11" s="133" t="n"/>
      <c r="GQ11" s="134" t="n"/>
      <c r="GR11" s="133" t="n"/>
      <c r="GS11" s="134" t="n"/>
      <c r="GT11" s="133" t="n"/>
      <c r="GU11" s="134" t="n"/>
      <c r="GV11" s="133" t="n"/>
      <c r="GW11" s="134" t="n"/>
      <c r="GX11" s="133" t="n"/>
      <c r="GY11" s="134" t="n"/>
      <c r="GZ11" s="133" t="n"/>
      <c r="HA11" s="134" t="n"/>
      <c r="HB11" s="135" t="n"/>
      <c r="HC11">
        <f>97-SUMPRODUCT(MAX(($G$4:$HB$4="ح")*($G11:$HB11=TRUE)*(97-$G$47:$HB$47)))</f>
        <v>97</v>
      </c>
      <c r="HD11">
        <f>SUMPRODUCT(($G$4:$HB$4="ح")*($G11:$HB11=TRUE)*($G$47:$HB$47&gt;$HC$1-8))</f>
        <v>0</v>
      </c>
      <c r="HE11">
        <f>(COUNTIF($G11:$V11,TRUE)&gt;0)*($W11&lt;&gt;TRUE)+(COUNTIF($X11:$AM11,TRUE)&gt;0)*($AN11&lt;&gt;TRUE)+(COUNTIF($AO11:$BD11,TRUE)&gt;0)*($BE11&lt;&gt;TRUE)+(COUNTIF($BF11:$BU11,TRUE)&gt;0)*($BV11&lt;&gt;TRUE)+(COUNTIF($BW11:$CL11,TRUE)&gt;0)*($CM11&lt;&gt;TRUE)+(COUNTIF($CN11:$DC11,TRUE)&gt;0)*($DD11&lt;&gt;TRUE)+(COUNTIF($DE11:$DT11,TRUE)&gt;0)*($DU11&lt;&gt;TRUE)+(COUNTIF($DV11:$EK11,TRUE)&gt;0)*($EL11&lt;&gt;TRUE)+(COUNTIF($EM11:$FB11,TRUE)&gt;0)*($FC11&lt;&gt;TRUE)+(COUNTIF($FD11:$FS11,TRUE)&gt;0)*($FT11&lt;&gt;TRUE)+(COUNTIF($FU11:$GJ11,TRUE)&gt;0)*($GK11&lt;&gt;TRUE)+(COUNTIF($GL11:$HA11,TRUE)&gt;0)*($HB11&lt;&gt;TRUE)</f>
        <v>0</v>
      </c>
      <c r="HF11">
        <f>IF($HE11=0,0,13-MAX((COUNTIF($G11:$V11,TRUE)&gt;0)*($W11&lt;&gt;TRUE)*12,(COUNTIF($X11:$AM11,TRUE)&gt;0)*($AN11&lt;&gt;TRUE)*11,(COUNTIF($AO11:$BD11,TRUE)&gt;0)*($BE11&lt;&gt;TRUE)*10,(COUNTIF($BF11:$BU11,TRUE)&gt;0)*($BV11&lt;&gt;TRUE)*9,(COUNTIF($BW11:$CL11,TRUE)&gt;0)*($CM11&lt;&gt;TRUE)*8,(COUNTIF($CN11:$DC11,TRUE)&gt;0)*($DD11&lt;&gt;TRUE)*7,(COUNTIF($DE11:$DT11,TRUE)&gt;0)*($DU11&lt;&gt;TRUE)*6,(COUNTIF($DV11:$EK11,TRUE)&gt;0)*($EL11&lt;&gt;TRUE)*5,(COUNTIF($EM11:$FB11,TRUE)&gt;0)*($FC11&lt;&gt;TRUE)*4,(COUNTIF($FD11:$FS11,TRUE)&gt;0)*($FT11&lt;&gt;TRUE)*3,(COUNTIF($FU11:$GJ11,TRUE)&gt;0)*($GK11&lt;&gt;TRUE)*2,(COUNTIF($GL11:$HA11,TRUE)&gt;0)*($HB11&lt;&gt;TRUE)*1))</f>
        <v>0</v>
      </c>
    </row>
    <row r="12" ht="22.5" customHeight="1">
      <c r="A12" s="36" t="n">
        <v>8</v>
      </c>
      <c r="B12" s="97" t="n"/>
      <c r="C12" s="28" t="n"/>
      <c r="D12" s="98" t="str">
        <f>IF($B12="","",IF($HC12=97,"-",IF($HD12=0,"متوقف",SUMPRODUCT(($G$4:$HB$4="ح")*($G$20:$HB$20&gt;0)*($G12:$HB12&lt;&gt;TRUE)*($G$47:$HB$47&gt;$HC$1-8)*($G$47:$HB$47&gt;=$HC12)))))</f>
        <v/>
      </c>
      <c r="E12" s="98" t="str">
        <f>IF(OR($B12="",$HC12=97),"",SUMPRODUCT(($G$4:$HA$4="ح")*($G12:$HA12=TRUE)*($H12:$HB12&lt;&gt;TRUE)*($G$47:$HA$47&gt;$HC$1-8)))</f>
        <v/>
      </c>
      <c r="F12" s="99" t="str">
        <f>IF($B12="","",IF($HE12=0,IF($HC12=97,"-","تمام"),IF($HE12=1,IF(INDEX($G$1:$HB$1,1,17*($HF12-1)+1)="","شهر "&amp;$HF12,INDEX($G$1:$HB$1,1,17*($HF12-1)+1)),IF($HE12=2,"شهرين",$HE12&amp;" شهور"))))</f>
        <v/>
      </c>
      <c r="G12" s="100" t="n"/>
      <c r="H12" s="101" t="n"/>
      <c r="I12" s="100" t="n"/>
      <c r="J12" s="101" t="n"/>
      <c r="K12" s="100" t="n"/>
      <c r="L12" s="101" t="n"/>
      <c r="M12" s="100" t="n"/>
      <c r="N12" s="101" t="n"/>
      <c r="O12" s="100" t="n"/>
      <c r="P12" s="101" t="n"/>
      <c r="Q12" s="100" t="n"/>
      <c r="R12" s="101" t="n"/>
      <c r="S12" s="100" t="n"/>
      <c r="T12" s="101" t="n"/>
      <c r="U12" s="100" t="n"/>
      <c r="V12" s="101" t="n"/>
      <c r="W12" s="102" t="n"/>
      <c r="X12" s="103" t="n"/>
      <c r="Y12" s="104" t="n"/>
      <c r="Z12" s="103" t="n"/>
      <c r="AA12" s="104" t="n"/>
      <c r="AB12" s="103" t="n"/>
      <c r="AC12" s="104" t="n"/>
      <c r="AD12" s="103" t="n"/>
      <c r="AE12" s="104" t="n"/>
      <c r="AF12" s="103" t="n"/>
      <c r="AG12" s="104" t="n"/>
      <c r="AH12" s="103" t="n"/>
      <c r="AI12" s="104" t="n"/>
      <c r="AJ12" s="103" t="n"/>
      <c r="AK12" s="104" t="n"/>
      <c r="AL12" s="103" t="n"/>
      <c r="AM12" s="104" t="n"/>
      <c r="AN12" s="105" t="n"/>
      <c r="AO12" s="106" t="n"/>
      <c r="AP12" s="107" t="n"/>
      <c r="AQ12" s="106" t="n"/>
      <c r="AR12" s="107" t="n"/>
      <c r="AS12" s="106" t="n"/>
      <c r="AT12" s="107" t="n"/>
      <c r="AU12" s="106" t="n"/>
      <c r="AV12" s="107" t="n"/>
      <c r="AW12" s="106" t="n"/>
      <c r="AX12" s="107" t="n"/>
      <c r="AY12" s="106" t="n"/>
      <c r="AZ12" s="107" t="n"/>
      <c r="BA12" s="106" t="n"/>
      <c r="BB12" s="107" t="n"/>
      <c r="BC12" s="106" t="n"/>
      <c r="BD12" s="107" t="n"/>
      <c r="BE12" s="108" t="n"/>
      <c r="BF12" s="109" t="n"/>
      <c r="BG12" s="110" t="n"/>
      <c r="BH12" s="109" t="n"/>
      <c r="BI12" s="110" t="n"/>
      <c r="BJ12" s="109" t="n"/>
      <c r="BK12" s="110" t="n"/>
      <c r="BL12" s="109" t="n"/>
      <c r="BM12" s="110" t="n"/>
      <c r="BN12" s="109" t="n"/>
      <c r="BO12" s="110" t="n"/>
      <c r="BP12" s="109" t="n"/>
      <c r="BQ12" s="110" t="n"/>
      <c r="BR12" s="109" t="n"/>
      <c r="BS12" s="110" t="n"/>
      <c r="BT12" s="109" t="n"/>
      <c r="BU12" s="110" t="n"/>
      <c r="BV12" s="111" t="n"/>
      <c r="BW12" s="112" t="n"/>
      <c r="BX12" s="113" t="n"/>
      <c r="BY12" s="112" t="n"/>
      <c r="BZ12" s="113" t="n"/>
      <c r="CA12" s="112" t="n"/>
      <c r="CB12" s="113" t="n"/>
      <c r="CC12" s="112" t="n"/>
      <c r="CD12" s="113" t="n"/>
      <c r="CE12" s="112" t="n"/>
      <c r="CF12" s="113" t="n"/>
      <c r="CG12" s="112" t="n"/>
      <c r="CH12" s="113" t="n"/>
      <c r="CI12" s="112" t="n"/>
      <c r="CJ12" s="113" t="n"/>
      <c r="CK12" s="112" t="n"/>
      <c r="CL12" s="113" t="n"/>
      <c r="CM12" s="114" t="n"/>
      <c r="CN12" s="115" t="n"/>
      <c r="CO12" s="116" t="n"/>
      <c r="CP12" s="115" t="n"/>
      <c r="CQ12" s="116" t="n"/>
      <c r="CR12" s="115" t="n"/>
      <c r="CS12" s="116" t="n"/>
      <c r="CT12" s="115" t="n"/>
      <c r="CU12" s="116" t="n"/>
      <c r="CV12" s="115" t="n"/>
      <c r="CW12" s="116" t="n"/>
      <c r="CX12" s="115" t="n"/>
      <c r="CY12" s="116" t="n"/>
      <c r="CZ12" s="115" t="n"/>
      <c r="DA12" s="116" t="n"/>
      <c r="DB12" s="115" t="n"/>
      <c r="DC12" s="116" t="n"/>
      <c r="DD12" s="117" t="n"/>
      <c r="DE12" s="118" t="n"/>
      <c r="DF12" s="119" t="n"/>
      <c r="DG12" s="118" t="n"/>
      <c r="DH12" s="119" t="n"/>
      <c r="DI12" s="118" t="n"/>
      <c r="DJ12" s="119" t="n"/>
      <c r="DK12" s="118" t="n"/>
      <c r="DL12" s="119" t="n"/>
      <c r="DM12" s="118" t="n"/>
      <c r="DN12" s="119" t="n"/>
      <c r="DO12" s="118" t="n"/>
      <c r="DP12" s="119" t="n"/>
      <c r="DQ12" s="118" t="n"/>
      <c r="DR12" s="119" t="n"/>
      <c r="DS12" s="118" t="n"/>
      <c r="DT12" s="119" t="n"/>
      <c r="DU12" s="120" t="n"/>
      <c r="DV12" s="121" t="n"/>
      <c r="DW12" s="122" t="n"/>
      <c r="DX12" s="121" t="n"/>
      <c r="DY12" s="122" t="n"/>
      <c r="DZ12" s="121" t="n"/>
      <c r="EA12" s="122" t="n"/>
      <c r="EB12" s="121" t="n"/>
      <c r="EC12" s="122" t="n"/>
      <c r="ED12" s="121" t="n"/>
      <c r="EE12" s="122" t="n"/>
      <c r="EF12" s="121" t="n"/>
      <c r="EG12" s="122" t="n"/>
      <c r="EH12" s="121" t="n"/>
      <c r="EI12" s="122" t="n"/>
      <c r="EJ12" s="121" t="n"/>
      <c r="EK12" s="122" t="n"/>
      <c r="EL12" s="123" t="n"/>
      <c r="EM12" s="124" t="n"/>
      <c r="EN12" s="125" t="n"/>
      <c r="EO12" s="124" t="n"/>
      <c r="EP12" s="125" t="n"/>
      <c r="EQ12" s="124" t="n"/>
      <c r="ER12" s="125" t="n"/>
      <c r="ES12" s="124" t="n"/>
      <c r="ET12" s="125" t="n"/>
      <c r="EU12" s="124" t="n"/>
      <c r="EV12" s="125" t="n"/>
      <c r="EW12" s="124" t="n"/>
      <c r="EX12" s="125" t="n"/>
      <c r="EY12" s="124" t="n"/>
      <c r="EZ12" s="125" t="n"/>
      <c r="FA12" s="124" t="n"/>
      <c r="FB12" s="125" t="n"/>
      <c r="FC12" s="126" t="n"/>
      <c r="FD12" s="127" t="n"/>
      <c r="FE12" s="128" t="n"/>
      <c r="FF12" s="127" t="n"/>
      <c r="FG12" s="128" t="n"/>
      <c r="FH12" s="127" t="n"/>
      <c r="FI12" s="128" t="n"/>
      <c r="FJ12" s="127" t="n"/>
      <c r="FK12" s="128" t="n"/>
      <c r="FL12" s="127" t="n"/>
      <c r="FM12" s="128" t="n"/>
      <c r="FN12" s="127" t="n"/>
      <c r="FO12" s="128" t="n"/>
      <c r="FP12" s="127" t="n"/>
      <c r="FQ12" s="128" t="n"/>
      <c r="FR12" s="127" t="n"/>
      <c r="FS12" s="128" t="n"/>
      <c r="FT12" s="129" t="n"/>
      <c r="FU12" s="130" t="n"/>
      <c r="FV12" s="131" t="n"/>
      <c r="FW12" s="130" t="n"/>
      <c r="FX12" s="131" t="n"/>
      <c r="FY12" s="130" t="n"/>
      <c r="FZ12" s="131" t="n"/>
      <c r="GA12" s="130" t="n"/>
      <c r="GB12" s="131" t="n"/>
      <c r="GC12" s="130" t="n"/>
      <c r="GD12" s="131" t="n"/>
      <c r="GE12" s="130" t="n"/>
      <c r="GF12" s="131" t="n"/>
      <c r="GG12" s="130" t="n"/>
      <c r="GH12" s="131" t="n"/>
      <c r="GI12" s="130" t="n"/>
      <c r="GJ12" s="131" t="n"/>
      <c r="GK12" s="132" t="n"/>
      <c r="GL12" s="133" t="n"/>
      <c r="GM12" s="134" t="n"/>
      <c r="GN12" s="133" t="n"/>
      <c r="GO12" s="134" t="n"/>
      <c r="GP12" s="133" t="n"/>
      <c r="GQ12" s="134" t="n"/>
      <c r="GR12" s="133" t="n"/>
      <c r="GS12" s="134" t="n"/>
      <c r="GT12" s="133" t="n"/>
      <c r="GU12" s="134" t="n"/>
      <c r="GV12" s="133" t="n"/>
      <c r="GW12" s="134" t="n"/>
      <c r="GX12" s="133" t="n"/>
      <c r="GY12" s="134" t="n"/>
      <c r="GZ12" s="133" t="n"/>
      <c r="HA12" s="134" t="n"/>
      <c r="HB12" s="135" t="n"/>
      <c r="HC12">
        <f>97-SUMPRODUCT(MAX(($G$4:$HB$4="ح")*($G12:$HB12=TRUE)*(97-$G$47:$HB$47)))</f>
        <v>97</v>
      </c>
      <c r="HD12">
        <f>SUMPRODUCT(($G$4:$HB$4="ح")*($G12:$HB12=TRUE)*($G$47:$HB$47&gt;$HC$1-8))</f>
        <v>0</v>
      </c>
      <c r="HE12">
        <f>(COUNTIF($G12:$V12,TRUE)&gt;0)*($W12&lt;&gt;TRUE)+(COUNTIF($X12:$AM12,TRUE)&gt;0)*($AN12&lt;&gt;TRUE)+(COUNTIF($AO12:$BD12,TRUE)&gt;0)*($BE12&lt;&gt;TRUE)+(COUNTIF($BF12:$BU12,TRUE)&gt;0)*($BV12&lt;&gt;TRUE)+(COUNTIF($BW12:$CL12,TRUE)&gt;0)*($CM12&lt;&gt;TRUE)+(COUNTIF($CN12:$DC12,TRUE)&gt;0)*($DD12&lt;&gt;TRUE)+(COUNTIF($DE12:$DT12,TRUE)&gt;0)*($DU12&lt;&gt;TRUE)+(COUNTIF($DV12:$EK12,TRUE)&gt;0)*($EL12&lt;&gt;TRUE)+(COUNTIF($EM12:$FB12,TRUE)&gt;0)*($FC12&lt;&gt;TRUE)+(COUNTIF($FD12:$FS12,TRUE)&gt;0)*($FT12&lt;&gt;TRUE)+(COUNTIF($FU12:$GJ12,TRUE)&gt;0)*($GK12&lt;&gt;TRUE)+(COUNTIF($GL12:$HA12,TRUE)&gt;0)*($HB12&lt;&gt;TRUE)</f>
        <v>0</v>
      </c>
      <c r="HF12">
        <f>IF($HE12=0,0,13-MAX((COUNTIF($G12:$V12,TRUE)&gt;0)*($W12&lt;&gt;TRUE)*12,(COUNTIF($X12:$AM12,TRUE)&gt;0)*($AN12&lt;&gt;TRUE)*11,(COUNTIF($AO12:$BD12,TRUE)&gt;0)*($BE12&lt;&gt;TRUE)*10,(COUNTIF($BF12:$BU12,TRUE)&gt;0)*($BV12&lt;&gt;TRUE)*9,(COUNTIF($BW12:$CL12,TRUE)&gt;0)*($CM12&lt;&gt;TRUE)*8,(COUNTIF($CN12:$DC12,TRUE)&gt;0)*($DD12&lt;&gt;TRUE)*7,(COUNTIF($DE12:$DT12,TRUE)&gt;0)*($DU12&lt;&gt;TRUE)*6,(COUNTIF($DV12:$EK12,TRUE)&gt;0)*($EL12&lt;&gt;TRUE)*5,(COUNTIF($EM12:$FB12,TRUE)&gt;0)*($FC12&lt;&gt;TRUE)*4,(COUNTIF($FD12:$FS12,TRUE)&gt;0)*($FT12&lt;&gt;TRUE)*3,(COUNTIF($FU12:$GJ12,TRUE)&gt;0)*($GK12&lt;&gt;TRUE)*2,(COUNTIF($GL12:$HA12,TRUE)&gt;0)*($HB12&lt;&gt;TRUE)*1))</f>
        <v>0</v>
      </c>
    </row>
    <row r="13" ht="22.5" customHeight="1">
      <c r="A13" s="36" t="n">
        <v>9</v>
      </c>
      <c r="B13" s="97" t="n"/>
      <c r="C13" s="28" t="n"/>
      <c r="D13" s="98" t="str">
        <f>IF($B13="","",IF($HC13=97,"-",IF($HD13=0,"متوقف",SUMPRODUCT(($G$4:$HB$4="ح")*($G$20:$HB$20&gt;0)*($G13:$HB13&lt;&gt;TRUE)*($G$47:$HB$47&gt;$HC$1-8)*($G$47:$HB$47&gt;=$HC13)))))</f>
        <v/>
      </c>
      <c r="E13" s="98" t="str">
        <f>IF(OR($B13="",$HC13=97),"",SUMPRODUCT(($G$4:$HA$4="ح")*($G13:$HA13=TRUE)*($H13:$HB13&lt;&gt;TRUE)*($G$47:$HA$47&gt;$HC$1-8)))</f>
        <v/>
      </c>
      <c r="F13" s="99" t="str">
        <f>IF($B13="","",IF($HE13=0,IF($HC13=97,"-","تمام"),IF($HE13=1,IF(INDEX($G$1:$HB$1,1,17*($HF13-1)+1)="","شهر "&amp;$HF13,INDEX($G$1:$HB$1,1,17*($HF13-1)+1)),IF($HE13=2,"شهرين",$HE13&amp;" شهور"))))</f>
        <v/>
      </c>
      <c r="G13" s="100" t="n"/>
      <c r="H13" s="101" t="n"/>
      <c r="I13" s="100" t="n"/>
      <c r="J13" s="101" t="n"/>
      <c r="K13" s="100" t="n"/>
      <c r="L13" s="101" t="n"/>
      <c r="M13" s="100" t="n"/>
      <c r="N13" s="101" t="n"/>
      <c r="O13" s="100" t="n"/>
      <c r="P13" s="101" t="n"/>
      <c r="Q13" s="100" t="n"/>
      <c r="R13" s="101" t="n"/>
      <c r="S13" s="100" t="n"/>
      <c r="T13" s="101" t="n"/>
      <c r="U13" s="100" t="n"/>
      <c r="V13" s="101" t="n"/>
      <c r="W13" s="102" t="n"/>
      <c r="X13" s="103" t="n"/>
      <c r="Y13" s="104" t="n"/>
      <c r="Z13" s="103" t="n"/>
      <c r="AA13" s="104" t="n"/>
      <c r="AB13" s="103" t="n"/>
      <c r="AC13" s="104" t="n"/>
      <c r="AD13" s="103" t="n"/>
      <c r="AE13" s="104" t="n"/>
      <c r="AF13" s="103" t="n"/>
      <c r="AG13" s="104" t="n"/>
      <c r="AH13" s="103" t="n"/>
      <c r="AI13" s="104" t="n"/>
      <c r="AJ13" s="103" t="n"/>
      <c r="AK13" s="104" t="n"/>
      <c r="AL13" s="103" t="n"/>
      <c r="AM13" s="104" t="n"/>
      <c r="AN13" s="105" t="n"/>
      <c r="AO13" s="106" t="n"/>
      <c r="AP13" s="107" t="n"/>
      <c r="AQ13" s="106" t="n"/>
      <c r="AR13" s="107" t="n"/>
      <c r="AS13" s="106" t="n"/>
      <c r="AT13" s="107" t="n"/>
      <c r="AU13" s="106" t="n"/>
      <c r="AV13" s="107" t="n"/>
      <c r="AW13" s="106" t="n"/>
      <c r="AX13" s="107" t="n"/>
      <c r="AY13" s="106" t="n"/>
      <c r="AZ13" s="107" t="n"/>
      <c r="BA13" s="106" t="n"/>
      <c r="BB13" s="107" t="n"/>
      <c r="BC13" s="106" t="n"/>
      <c r="BD13" s="107" t="n"/>
      <c r="BE13" s="108" t="n"/>
      <c r="BF13" s="109" t="n"/>
      <c r="BG13" s="110" t="n"/>
      <c r="BH13" s="109" t="n"/>
      <c r="BI13" s="110" t="n"/>
      <c r="BJ13" s="109" t="n"/>
      <c r="BK13" s="110" t="n"/>
      <c r="BL13" s="109" t="n"/>
      <c r="BM13" s="110" t="n"/>
      <c r="BN13" s="109" t="n"/>
      <c r="BO13" s="110" t="n"/>
      <c r="BP13" s="109" t="n"/>
      <c r="BQ13" s="110" t="n"/>
      <c r="BR13" s="109" t="n"/>
      <c r="BS13" s="110" t="n"/>
      <c r="BT13" s="109" t="n"/>
      <c r="BU13" s="110" t="n"/>
      <c r="BV13" s="111" t="n"/>
      <c r="BW13" s="112" t="n"/>
      <c r="BX13" s="113" t="n"/>
      <c r="BY13" s="112" t="n"/>
      <c r="BZ13" s="113" t="n"/>
      <c r="CA13" s="112" t="n"/>
      <c r="CB13" s="113" t="n"/>
      <c r="CC13" s="112" t="n"/>
      <c r="CD13" s="113" t="n"/>
      <c r="CE13" s="112" t="n"/>
      <c r="CF13" s="113" t="n"/>
      <c r="CG13" s="112" t="n"/>
      <c r="CH13" s="113" t="n"/>
      <c r="CI13" s="112" t="n"/>
      <c r="CJ13" s="113" t="n"/>
      <c r="CK13" s="112" t="n"/>
      <c r="CL13" s="113" t="n"/>
      <c r="CM13" s="114" t="n"/>
      <c r="CN13" s="115" t="n"/>
      <c r="CO13" s="116" t="n"/>
      <c r="CP13" s="115" t="n"/>
      <c r="CQ13" s="116" t="n"/>
      <c r="CR13" s="115" t="n"/>
      <c r="CS13" s="116" t="n"/>
      <c r="CT13" s="115" t="n"/>
      <c r="CU13" s="116" t="n"/>
      <c r="CV13" s="115" t="n"/>
      <c r="CW13" s="116" t="n"/>
      <c r="CX13" s="115" t="n"/>
      <c r="CY13" s="116" t="n"/>
      <c r="CZ13" s="115" t="n"/>
      <c r="DA13" s="116" t="n"/>
      <c r="DB13" s="115" t="n"/>
      <c r="DC13" s="116" t="n"/>
      <c r="DD13" s="117" t="n"/>
      <c r="DE13" s="118" t="n"/>
      <c r="DF13" s="119" t="n"/>
      <c r="DG13" s="118" t="n"/>
      <c r="DH13" s="119" t="n"/>
      <c r="DI13" s="118" t="n"/>
      <c r="DJ13" s="119" t="n"/>
      <c r="DK13" s="118" t="n"/>
      <c r="DL13" s="119" t="n"/>
      <c r="DM13" s="118" t="n"/>
      <c r="DN13" s="119" t="n"/>
      <c r="DO13" s="118" t="n"/>
      <c r="DP13" s="119" t="n"/>
      <c r="DQ13" s="118" t="n"/>
      <c r="DR13" s="119" t="n"/>
      <c r="DS13" s="118" t="n"/>
      <c r="DT13" s="119" t="n"/>
      <c r="DU13" s="120" t="n"/>
      <c r="DV13" s="121" t="n"/>
      <c r="DW13" s="122" t="n"/>
      <c r="DX13" s="121" t="n"/>
      <c r="DY13" s="122" t="n"/>
      <c r="DZ13" s="121" t="n"/>
      <c r="EA13" s="122" t="n"/>
      <c r="EB13" s="121" t="n"/>
      <c r="EC13" s="122" t="n"/>
      <c r="ED13" s="121" t="n"/>
      <c r="EE13" s="122" t="n"/>
      <c r="EF13" s="121" t="n"/>
      <c r="EG13" s="122" t="n"/>
      <c r="EH13" s="121" t="n"/>
      <c r="EI13" s="122" t="n"/>
      <c r="EJ13" s="121" t="n"/>
      <c r="EK13" s="122" t="n"/>
      <c r="EL13" s="123" t="n"/>
      <c r="EM13" s="124" t="n"/>
      <c r="EN13" s="125" t="n"/>
      <c r="EO13" s="124" t="n"/>
      <c r="EP13" s="125" t="n"/>
      <c r="EQ13" s="124" t="n"/>
      <c r="ER13" s="125" t="n"/>
      <c r="ES13" s="124" t="n"/>
      <c r="ET13" s="125" t="n"/>
      <c r="EU13" s="124" t="n"/>
      <c r="EV13" s="125" t="n"/>
      <c r="EW13" s="124" t="n"/>
      <c r="EX13" s="125" t="n"/>
      <c r="EY13" s="124" t="n"/>
      <c r="EZ13" s="125" t="n"/>
      <c r="FA13" s="124" t="n"/>
      <c r="FB13" s="125" t="n"/>
      <c r="FC13" s="126" t="n"/>
      <c r="FD13" s="127" t="n"/>
      <c r="FE13" s="128" t="n"/>
      <c r="FF13" s="127" t="n"/>
      <c r="FG13" s="128" t="n"/>
      <c r="FH13" s="127" t="n"/>
      <c r="FI13" s="128" t="n"/>
      <c r="FJ13" s="127" t="n"/>
      <c r="FK13" s="128" t="n"/>
      <c r="FL13" s="127" t="n"/>
      <c r="FM13" s="128" t="n"/>
      <c r="FN13" s="127" t="n"/>
      <c r="FO13" s="128" t="n"/>
      <c r="FP13" s="127" t="n"/>
      <c r="FQ13" s="128" t="n"/>
      <c r="FR13" s="127" t="n"/>
      <c r="FS13" s="128" t="n"/>
      <c r="FT13" s="129" t="n"/>
      <c r="FU13" s="130" t="n"/>
      <c r="FV13" s="131" t="n"/>
      <c r="FW13" s="130" t="n"/>
      <c r="FX13" s="131" t="n"/>
      <c r="FY13" s="130" t="n"/>
      <c r="FZ13" s="131" t="n"/>
      <c r="GA13" s="130" t="n"/>
      <c r="GB13" s="131" t="n"/>
      <c r="GC13" s="130" t="n"/>
      <c r="GD13" s="131" t="n"/>
      <c r="GE13" s="130" t="n"/>
      <c r="GF13" s="131" t="n"/>
      <c r="GG13" s="130" t="n"/>
      <c r="GH13" s="131" t="n"/>
      <c r="GI13" s="130" t="n"/>
      <c r="GJ13" s="131" t="n"/>
      <c r="GK13" s="132" t="n"/>
      <c r="GL13" s="133" t="n"/>
      <c r="GM13" s="134" t="n"/>
      <c r="GN13" s="133" t="n"/>
      <c r="GO13" s="134" t="n"/>
      <c r="GP13" s="133" t="n"/>
      <c r="GQ13" s="134" t="n"/>
      <c r="GR13" s="133" t="n"/>
      <c r="GS13" s="134" t="n"/>
      <c r="GT13" s="133" t="n"/>
      <c r="GU13" s="134" t="n"/>
      <c r="GV13" s="133" t="n"/>
      <c r="GW13" s="134" t="n"/>
      <c r="GX13" s="133" t="n"/>
      <c r="GY13" s="134" t="n"/>
      <c r="GZ13" s="133" t="n"/>
      <c r="HA13" s="134" t="n"/>
      <c r="HB13" s="135" t="n"/>
      <c r="HC13">
        <f>97-SUMPRODUCT(MAX(($G$4:$HB$4="ح")*($G13:$HB13=TRUE)*(97-$G$47:$HB$47)))</f>
        <v>97</v>
      </c>
      <c r="HD13">
        <f>SUMPRODUCT(($G$4:$HB$4="ح")*($G13:$HB13=TRUE)*($G$47:$HB$47&gt;$HC$1-8))</f>
        <v>0</v>
      </c>
      <c r="HE13">
        <f>(COUNTIF($G13:$V13,TRUE)&gt;0)*($W13&lt;&gt;TRUE)+(COUNTIF($X13:$AM13,TRUE)&gt;0)*($AN13&lt;&gt;TRUE)+(COUNTIF($AO13:$BD13,TRUE)&gt;0)*($BE13&lt;&gt;TRUE)+(COUNTIF($BF13:$BU13,TRUE)&gt;0)*($BV13&lt;&gt;TRUE)+(COUNTIF($BW13:$CL13,TRUE)&gt;0)*($CM13&lt;&gt;TRUE)+(COUNTIF($CN13:$DC13,TRUE)&gt;0)*($DD13&lt;&gt;TRUE)+(COUNTIF($DE13:$DT13,TRUE)&gt;0)*($DU13&lt;&gt;TRUE)+(COUNTIF($DV13:$EK13,TRUE)&gt;0)*($EL13&lt;&gt;TRUE)+(COUNTIF($EM13:$FB13,TRUE)&gt;0)*($FC13&lt;&gt;TRUE)+(COUNTIF($FD13:$FS13,TRUE)&gt;0)*($FT13&lt;&gt;TRUE)+(COUNTIF($FU13:$GJ13,TRUE)&gt;0)*($GK13&lt;&gt;TRUE)+(COUNTIF($GL13:$HA13,TRUE)&gt;0)*($HB13&lt;&gt;TRUE)</f>
        <v>0</v>
      </c>
      <c r="HF13">
        <f>IF($HE13=0,0,13-MAX((COUNTIF($G13:$V13,TRUE)&gt;0)*($W13&lt;&gt;TRUE)*12,(COUNTIF($X13:$AM13,TRUE)&gt;0)*($AN13&lt;&gt;TRUE)*11,(COUNTIF($AO13:$BD13,TRUE)&gt;0)*($BE13&lt;&gt;TRUE)*10,(COUNTIF($BF13:$BU13,TRUE)&gt;0)*($BV13&lt;&gt;TRUE)*9,(COUNTIF($BW13:$CL13,TRUE)&gt;0)*($CM13&lt;&gt;TRUE)*8,(COUNTIF($CN13:$DC13,TRUE)&gt;0)*($DD13&lt;&gt;TRUE)*7,(COUNTIF($DE13:$DT13,TRUE)&gt;0)*($DU13&lt;&gt;TRUE)*6,(COUNTIF($DV13:$EK13,TRUE)&gt;0)*($EL13&lt;&gt;TRUE)*5,(COUNTIF($EM13:$FB13,TRUE)&gt;0)*($FC13&lt;&gt;TRUE)*4,(COUNTIF($FD13:$FS13,TRUE)&gt;0)*($FT13&lt;&gt;TRUE)*3,(COUNTIF($FU13:$GJ13,TRUE)&gt;0)*($GK13&lt;&gt;TRUE)*2,(COUNTIF($GL13:$HA13,TRUE)&gt;0)*($HB13&lt;&gt;TRUE)*1))</f>
        <v>0</v>
      </c>
    </row>
    <row r="14" ht="22.5" customHeight="1">
      <c r="A14" s="36" t="n">
        <v>10</v>
      </c>
      <c r="B14" s="97" t="n"/>
      <c r="C14" s="28" t="n"/>
      <c r="D14" s="98" t="str">
        <f>IF($B14="","",IF($HC14=97,"-",IF($HD14=0,"متوقف",SUMPRODUCT(($G$4:$HB$4="ح")*($G$20:$HB$20&gt;0)*($G14:$HB14&lt;&gt;TRUE)*($G$47:$HB$47&gt;$HC$1-8)*($G$47:$HB$47&gt;=$HC14)))))</f>
        <v/>
      </c>
      <c r="E14" s="98" t="str">
        <f>IF(OR($B14="",$HC14=97),"",SUMPRODUCT(($G$4:$HA$4="ح")*($G14:$HA14=TRUE)*($H14:$HB14&lt;&gt;TRUE)*($G$47:$HA$47&gt;$HC$1-8)))</f>
        <v/>
      </c>
      <c r="F14" s="99" t="str">
        <f>IF($B14="","",IF($HE14=0,IF($HC14=97,"-","تمام"),IF($HE14=1,IF(INDEX($G$1:$HB$1,1,17*($HF14-1)+1)="","شهر "&amp;$HF14,INDEX($G$1:$HB$1,1,17*($HF14-1)+1)),IF($HE14=2,"شهرين",$HE14&amp;" شهور"))))</f>
        <v/>
      </c>
      <c r="G14" s="100" t="n"/>
      <c r="H14" s="101" t="n"/>
      <c r="I14" s="100" t="n"/>
      <c r="J14" s="101" t="n"/>
      <c r="K14" s="100" t="n"/>
      <c r="L14" s="101" t="n"/>
      <c r="M14" s="100" t="n"/>
      <c r="N14" s="101" t="n"/>
      <c r="O14" s="100" t="n"/>
      <c r="P14" s="101" t="n"/>
      <c r="Q14" s="100" t="n"/>
      <c r="R14" s="101" t="n"/>
      <c r="S14" s="100" t="n"/>
      <c r="T14" s="101" t="n"/>
      <c r="U14" s="100" t="n"/>
      <c r="V14" s="101" t="n"/>
      <c r="W14" s="102" t="n"/>
      <c r="X14" s="103" t="n"/>
      <c r="Y14" s="104" t="n"/>
      <c r="Z14" s="103" t="n"/>
      <c r="AA14" s="104" t="n"/>
      <c r="AB14" s="103" t="n"/>
      <c r="AC14" s="104" t="n"/>
      <c r="AD14" s="103" t="n"/>
      <c r="AE14" s="104" t="n"/>
      <c r="AF14" s="103" t="n"/>
      <c r="AG14" s="104" t="n"/>
      <c r="AH14" s="103" t="n"/>
      <c r="AI14" s="104" t="n"/>
      <c r="AJ14" s="103" t="n"/>
      <c r="AK14" s="104" t="n"/>
      <c r="AL14" s="103" t="n"/>
      <c r="AM14" s="104" t="n"/>
      <c r="AN14" s="105" t="n"/>
      <c r="AO14" s="106" t="n"/>
      <c r="AP14" s="107" t="n"/>
      <c r="AQ14" s="106" t="n"/>
      <c r="AR14" s="107" t="n"/>
      <c r="AS14" s="106" t="n"/>
      <c r="AT14" s="107" t="n"/>
      <c r="AU14" s="106" t="n"/>
      <c r="AV14" s="107" t="n"/>
      <c r="AW14" s="106" t="n"/>
      <c r="AX14" s="107" t="n"/>
      <c r="AY14" s="106" t="n"/>
      <c r="AZ14" s="107" t="n"/>
      <c r="BA14" s="106" t="n"/>
      <c r="BB14" s="107" t="n"/>
      <c r="BC14" s="106" t="n"/>
      <c r="BD14" s="107" t="n"/>
      <c r="BE14" s="108" t="n"/>
      <c r="BF14" s="109" t="n"/>
      <c r="BG14" s="110" t="n"/>
      <c r="BH14" s="109" t="n"/>
      <c r="BI14" s="110" t="n"/>
      <c r="BJ14" s="109" t="n"/>
      <c r="BK14" s="110" t="n"/>
      <c r="BL14" s="109" t="n"/>
      <c r="BM14" s="110" t="n"/>
      <c r="BN14" s="109" t="n"/>
      <c r="BO14" s="110" t="n"/>
      <c r="BP14" s="109" t="n"/>
      <c r="BQ14" s="110" t="n"/>
      <c r="BR14" s="109" t="n"/>
      <c r="BS14" s="110" t="n"/>
      <c r="BT14" s="109" t="n"/>
      <c r="BU14" s="110" t="n"/>
      <c r="BV14" s="111" t="n"/>
      <c r="BW14" s="112" t="n"/>
      <c r="BX14" s="113" t="n"/>
      <c r="BY14" s="112" t="n"/>
      <c r="BZ14" s="113" t="n"/>
      <c r="CA14" s="112" t="n"/>
      <c r="CB14" s="113" t="n"/>
      <c r="CC14" s="112" t="n"/>
      <c r="CD14" s="113" t="n"/>
      <c r="CE14" s="112" t="n"/>
      <c r="CF14" s="113" t="n"/>
      <c r="CG14" s="112" t="n"/>
      <c r="CH14" s="113" t="n"/>
      <c r="CI14" s="112" t="n"/>
      <c r="CJ14" s="113" t="n"/>
      <c r="CK14" s="112" t="n"/>
      <c r="CL14" s="113" t="n"/>
      <c r="CM14" s="114" t="n"/>
      <c r="CN14" s="115" t="n"/>
      <c r="CO14" s="116" t="n"/>
      <c r="CP14" s="115" t="n"/>
      <c r="CQ14" s="116" t="n"/>
      <c r="CR14" s="115" t="n"/>
      <c r="CS14" s="116" t="n"/>
      <c r="CT14" s="115" t="n"/>
      <c r="CU14" s="116" t="n"/>
      <c r="CV14" s="115" t="n"/>
      <c r="CW14" s="116" t="n"/>
      <c r="CX14" s="115" t="n"/>
      <c r="CY14" s="116" t="n"/>
      <c r="CZ14" s="115" t="n"/>
      <c r="DA14" s="116" t="n"/>
      <c r="DB14" s="115" t="n"/>
      <c r="DC14" s="116" t="n"/>
      <c r="DD14" s="117" t="n"/>
      <c r="DE14" s="118" t="n"/>
      <c r="DF14" s="119" t="n"/>
      <c r="DG14" s="118" t="n"/>
      <c r="DH14" s="119" t="n"/>
      <c r="DI14" s="118" t="n"/>
      <c r="DJ14" s="119" t="n"/>
      <c r="DK14" s="118" t="n"/>
      <c r="DL14" s="119" t="n"/>
      <c r="DM14" s="118" t="n"/>
      <c r="DN14" s="119" t="n"/>
      <c r="DO14" s="118" t="n"/>
      <c r="DP14" s="119" t="n"/>
      <c r="DQ14" s="118" t="n"/>
      <c r="DR14" s="119" t="n"/>
      <c r="DS14" s="118" t="n"/>
      <c r="DT14" s="119" t="n"/>
      <c r="DU14" s="120" t="n"/>
      <c r="DV14" s="121" t="n"/>
      <c r="DW14" s="122" t="n"/>
      <c r="DX14" s="121" t="n"/>
      <c r="DY14" s="122" t="n"/>
      <c r="DZ14" s="121" t="n"/>
      <c r="EA14" s="122" t="n"/>
      <c r="EB14" s="121" t="n"/>
      <c r="EC14" s="122" t="n"/>
      <c r="ED14" s="121" t="n"/>
      <c r="EE14" s="122" t="n"/>
      <c r="EF14" s="121" t="n"/>
      <c r="EG14" s="122" t="n"/>
      <c r="EH14" s="121" t="n"/>
      <c r="EI14" s="122" t="n"/>
      <c r="EJ14" s="121" t="n"/>
      <c r="EK14" s="122" t="n"/>
      <c r="EL14" s="123" t="n"/>
      <c r="EM14" s="124" t="n"/>
      <c r="EN14" s="125" t="n"/>
      <c r="EO14" s="124" t="n"/>
      <c r="EP14" s="125" t="n"/>
      <c r="EQ14" s="124" t="n"/>
      <c r="ER14" s="125" t="n"/>
      <c r="ES14" s="124" t="n"/>
      <c r="ET14" s="125" t="n"/>
      <c r="EU14" s="124" t="n"/>
      <c r="EV14" s="125" t="n"/>
      <c r="EW14" s="124" t="n"/>
      <c r="EX14" s="125" t="n"/>
      <c r="EY14" s="124" t="n"/>
      <c r="EZ14" s="125" t="n"/>
      <c r="FA14" s="124" t="n"/>
      <c r="FB14" s="125" t="n"/>
      <c r="FC14" s="126" t="n"/>
      <c r="FD14" s="127" t="n"/>
      <c r="FE14" s="128" t="n"/>
      <c r="FF14" s="127" t="n"/>
      <c r="FG14" s="128" t="n"/>
      <c r="FH14" s="127" t="n"/>
      <c r="FI14" s="128" t="n"/>
      <c r="FJ14" s="127" t="n"/>
      <c r="FK14" s="128" t="n"/>
      <c r="FL14" s="127" t="n"/>
      <c r="FM14" s="128" t="n"/>
      <c r="FN14" s="127" t="n"/>
      <c r="FO14" s="128" t="n"/>
      <c r="FP14" s="127" t="n"/>
      <c r="FQ14" s="128" t="n"/>
      <c r="FR14" s="127" t="n"/>
      <c r="FS14" s="128" t="n"/>
      <c r="FT14" s="129" t="n"/>
      <c r="FU14" s="130" t="n"/>
      <c r="FV14" s="131" t="n"/>
      <c r="FW14" s="130" t="n"/>
      <c r="FX14" s="131" t="n"/>
      <c r="FY14" s="130" t="n"/>
      <c r="FZ14" s="131" t="n"/>
      <c r="GA14" s="130" t="n"/>
      <c r="GB14" s="131" t="n"/>
      <c r="GC14" s="130" t="n"/>
      <c r="GD14" s="131" t="n"/>
      <c r="GE14" s="130" t="n"/>
      <c r="GF14" s="131" t="n"/>
      <c r="GG14" s="130" t="n"/>
      <c r="GH14" s="131" t="n"/>
      <c r="GI14" s="130" t="n"/>
      <c r="GJ14" s="131" t="n"/>
      <c r="GK14" s="132" t="n"/>
      <c r="GL14" s="133" t="n"/>
      <c r="GM14" s="134" t="n"/>
      <c r="GN14" s="133" t="n"/>
      <c r="GO14" s="134" t="n"/>
      <c r="GP14" s="133" t="n"/>
      <c r="GQ14" s="134" t="n"/>
      <c r="GR14" s="133" t="n"/>
      <c r="GS14" s="134" t="n"/>
      <c r="GT14" s="133" t="n"/>
      <c r="GU14" s="134" t="n"/>
      <c r="GV14" s="133" t="n"/>
      <c r="GW14" s="134" t="n"/>
      <c r="GX14" s="133" t="n"/>
      <c r="GY14" s="134" t="n"/>
      <c r="GZ14" s="133" t="n"/>
      <c r="HA14" s="134" t="n"/>
      <c r="HB14" s="135" t="n"/>
      <c r="HC14">
        <f>97-SUMPRODUCT(MAX(($G$4:$HB$4="ح")*($G14:$HB14=TRUE)*(97-$G$47:$HB$47)))</f>
        <v>97</v>
      </c>
      <c r="HD14">
        <f>SUMPRODUCT(($G$4:$HB$4="ح")*($G14:$HB14=TRUE)*($G$47:$HB$47&gt;$HC$1-8))</f>
        <v>0</v>
      </c>
      <c r="HE14">
        <f>(COUNTIF($G14:$V14,TRUE)&gt;0)*($W14&lt;&gt;TRUE)+(COUNTIF($X14:$AM14,TRUE)&gt;0)*($AN14&lt;&gt;TRUE)+(COUNTIF($AO14:$BD14,TRUE)&gt;0)*($BE14&lt;&gt;TRUE)+(COUNTIF($BF14:$BU14,TRUE)&gt;0)*($BV14&lt;&gt;TRUE)+(COUNTIF($BW14:$CL14,TRUE)&gt;0)*($CM14&lt;&gt;TRUE)+(COUNTIF($CN14:$DC14,TRUE)&gt;0)*($DD14&lt;&gt;TRUE)+(COUNTIF($DE14:$DT14,TRUE)&gt;0)*($DU14&lt;&gt;TRUE)+(COUNTIF($DV14:$EK14,TRUE)&gt;0)*($EL14&lt;&gt;TRUE)+(COUNTIF($EM14:$FB14,TRUE)&gt;0)*($FC14&lt;&gt;TRUE)+(COUNTIF($FD14:$FS14,TRUE)&gt;0)*($FT14&lt;&gt;TRUE)+(COUNTIF($FU14:$GJ14,TRUE)&gt;0)*($GK14&lt;&gt;TRUE)+(COUNTIF($GL14:$HA14,TRUE)&gt;0)*($HB14&lt;&gt;TRUE)</f>
        <v>0</v>
      </c>
      <c r="HF14">
        <f>IF($HE14=0,0,13-MAX((COUNTIF($G14:$V14,TRUE)&gt;0)*($W14&lt;&gt;TRUE)*12,(COUNTIF($X14:$AM14,TRUE)&gt;0)*($AN14&lt;&gt;TRUE)*11,(COUNTIF($AO14:$BD14,TRUE)&gt;0)*($BE14&lt;&gt;TRUE)*10,(COUNTIF($BF14:$BU14,TRUE)&gt;0)*($BV14&lt;&gt;TRUE)*9,(COUNTIF($BW14:$CL14,TRUE)&gt;0)*($CM14&lt;&gt;TRUE)*8,(COUNTIF($CN14:$DC14,TRUE)&gt;0)*($DD14&lt;&gt;TRUE)*7,(COUNTIF($DE14:$DT14,TRUE)&gt;0)*($DU14&lt;&gt;TRUE)*6,(COUNTIF($DV14:$EK14,TRUE)&gt;0)*($EL14&lt;&gt;TRUE)*5,(COUNTIF($EM14:$FB14,TRUE)&gt;0)*($FC14&lt;&gt;TRUE)*4,(COUNTIF($FD14:$FS14,TRUE)&gt;0)*($FT14&lt;&gt;TRUE)*3,(COUNTIF($FU14:$GJ14,TRUE)&gt;0)*($GK14&lt;&gt;TRUE)*2,(COUNTIF($GL14:$HA14,TRUE)&gt;0)*($HB14&lt;&gt;TRUE)*1))</f>
        <v>0</v>
      </c>
    </row>
    <row r="15" ht="22.5" customHeight="1">
      <c r="A15" s="36" t="n">
        <v>11</v>
      </c>
      <c r="B15" s="97" t="n"/>
      <c r="C15" s="28" t="n"/>
      <c r="D15" s="98" t="str">
        <f>IF($B15="","",IF($HC15=97,"-",IF($HD15=0,"متوقف",SUMPRODUCT(($G$4:$HB$4="ح")*($G$20:$HB$20&gt;0)*($G15:$HB15&lt;&gt;TRUE)*($G$47:$HB$47&gt;$HC$1-8)*($G$47:$HB$47&gt;=$HC15)))))</f>
        <v/>
      </c>
      <c r="E15" s="98" t="str">
        <f>IF(OR($B15="",$HC15=97),"",SUMPRODUCT(($G$4:$HA$4="ح")*($G15:$HA15=TRUE)*($H15:$HB15&lt;&gt;TRUE)*($G$47:$HA$47&gt;$HC$1-8)))</f>
        <v/>
      </c>
      <c r="F15" s="99" t="str">
        <f>IF($B15="","",IF($HE15=0,IF($HC15=97,"-","تمام"),IF($HE15=1,IF(INDEX($G$1:$HB$1,1,17*($HF15-1)+1)="","شهر "&amp;$HF15,INDEX($G$1:$HB$1,1,17*($HF15-1)+1)),IF($HE15=2,"شهرين",$HE15&amp;" شهور"))))</f>
        <v/>
      </c>
      <c r="G15" s="100" t="n"/>
      <c r="H15" s="101" t="n"/>
      <c r="I15" s="100" t="n"/>
      <c r="J15" s="101" t="n"/>
      <c r="K15" s="100" t="n"/>
      <c r="L15" s="101" t="n"/>
      <c r="M15" s="100" t="n"/>
      <c r="N15" s="101" t="n"/>
      <c r="O15" s="100" t="n"/>
      <c r="P15" s="101" t="n"/>
      <c r="Q15" s="100" t="n"/>
      <c r="R15" s="101" t="n"/>
      <c r="S15" s="100" t="n"/>
      <c r="T15" s="101" t="n"/>
      <c r="U15" s="100" t="n"/>
      <c r="V15" s="101" t="n"/>
      <c r="W15" s="102" t="n"/>
      <c r="X15" s="103" t="n"/>
      <c r="Y15" s="104" t="n"/>
      <c r="Z15" s="103" t="n"/>
      <c r="AA15" s="104" t="n"/>
      <c r="AB15" s="103" t="n"/>
      <c r="AC15" s="104" t="n"/>
      <c r="AD15" s="103" t="n"/>
      <c r="AE15" s="104" t="n"/>
      <c r="AF15" s="103" t="n"/>
      <c r="AG15" s="104" t="n"/>
      <c r="AH15" s="103" t="n"/>
      <c r="AI15" s="104" t="n"/>
      <c r="AJ15" s="103" t="n"/>
      <c r="AK15" s="104" t="n"/>
      <c r="AL15" s="103" t="n"/>
      <c r="AM15" s="104" t="n"/>
      <c r="AN15" s="105" t="n"/>
      <c r="AO15" s="106" t="n"/>
      <c r="AP15" s="107" t="n"/>
      <c r="AQ15" s="106" t="n"/>
      <c r="AR15" s="107" t="n"/>
      <c r="AS15" s="106" t="n"/>
      <c r="AT15" s="107" t="n"/>
      <c r="AU15" s="106" t="n"/>
      <c r="AV15" s="107" t="n"/>
      <c r="AW15" s="106" t="n"/>
      <c r="AX15" s="107" t="n"/>
      <c r="AY15" s="106" t="n"/>
      <c r="AZ15" s="107" t="n"/>
      <c r="BA15" s="106" t="n"/>
      <c r="BB15" s="107" t="n"/>
      <c r="BC15" s="106" t="n"/>
      <c r="BD15" s="107" t="n"/>
      <c r="BE15" s="108" t="n"/>
      <c r="BF15" s="109" t="n"/>
      <c r="BG15" s="110" t="n"/>
      <c r="BH15" s="109" t="n"/>
      <c r="BI15" s="110" t="n"/>
      <c r="BJ15" s="109" t="n"/>
      <c r="BK15" s="110" t="n"/>
      <c r="BL15" s="109" t="n"/>
      <c r="BM15" s="110" t="n"/>
      <c r="BN15" s="109" t="n"/>
      <c r="BO15" s="110" t="n"/>
      <c r="BP15" s="109" t="n"/>
      <c r="BQ15" s="110" t="n"/>
      <c r="BR15" s="109" t="n"/>
      <c r="BS15" s="110" t="n"/>
      <c r="BT15" s="109" t="n"/>
      <c r="BU15" s="110" t="n"/>
      <c r="BV15" s="111" t="n"/>
      <c r="BW15" s="112" t="n"/>
      <c r="BX15" s="113" t="n"/>
      <c r="BY15" s="112" t="n"/>
      <c r="BZ15" s="113" t="n"/>
      <c r="CA15" s="112" t="n"/>
      <c r="CB15" s="113" t="n"/>
      <c r="CC15" s="112" t="n"/>
      <c r="CD15" s="113" t="n"/>
      <c r="CE15" s="112" t="n"/>
      <c r="CF15" s="113" t="n"/>
      <c r="CG15" s="112" t="n"/>
      <c r="CH15" s="113" t="n"/>
      <c r="CI15" s="112" t="n"/>
      <c r="CJ15" s="113" t="n"/>
      <c r="CK15" s="112" t="n"/>
      <c r="CL15" s="113" t="n"/>
      <c r="CM15" s="114" t="n"/>
      <c r="CN15" s="115" t="n"/>
      <c r="CO15" s="116" t="n"/>
      <c r="CP15" s="115" t="n"/>
      <c r="CQ15" s="116" t="n"/>
      <c r="CR15" s="115" t="n"/>
      <c r="CS15" s="116" t="n"/>
      <c r="CT15" s="115" t="n"/>
      <c r="CU15" s="116" t="n"/>
      <c r="CV15" s="115" t="n"/>
      <c r="CW15" s="116" t="n"/>
      <c r="CX15" s="115" t="n"/>
      <c r="CY15" s="116" t="n"/>
      <c r="CZ15" s="115" t="n"/>
      <c r="DA15" s="116" t="n"/>
      <c r="DB15" s="115" t="n"/>
      <c r="DC15" s="116" t="n"/>
      <c r="DD15" s="117" t="n"/>
      <c r="DE15" s="118" t="n"/>
      <c r="DF15" s="119" t="n"/>
      <c r="DG15" s="118" t="n"/>
      <c r="DH15" s="119" t="n"/>
      <c r="DI15" s="118" t="n"/>
      <c r="DJ15" s="119" t="n"/>
      <c r="DK15" s="118" t="n"/>
      <c r="DL15" s="119" t="n"/>
      <c r="DM15" s="118" t="n"/>
      <c r="DN15" s="119" t="n"/>
      <c r="DO15" s="118" t="n"/>
      <c r="DP15" s="119" t="n"/>
      <c r="DQ15" s="118" t="n"/>
      <c r="DR15" s="119" t="n"/>
      <c r="DS15" s="118" t="n"/>
      <c r="DT15" s="119" t="n"/>
      <c r="DU15" s="120" t="n"/>
      <c r="DV15" s="121" t="n"/>
      <c r="DW15" s="122" t="n"/>
      <c r="DX15" s="121" t="n"/>
      <c r="DY15" s="122" t="n"/>
      <c r="DZ15" s="121" t="n"/>
      <c r="EA15" s="122" t="n"/>
      <c r="EB15" s="121" t="n"/>
      <c r="EC15" s="122" t="n"/>
      <c r="ED15" s="121" t="n"/>
      <c r="EE15" s="122" t="n"/>
      <c r="EF15" s="121" t="n"/>
      <c r="EG15" s="122" t="n"/>
      <c r="EH15" s="121" t="n"/>
      <c r="EI15" s="122" t="n"/>
      <c r="EJ15" s="121" t="n"/>
      <c r="EK15" s="122" t="n"/>
      <c r="EL15" s="123" t="n"/>
      <c r="EM15" s="124" t="n"/>
      <c r="EN15" s="125" t="n"/>
      <c r="EO15" s="124" t="n"/>
      <c r="EP15" s="125" t="n"/>
      <c r="EQ15" s="124" t="n"/>
      <c r="ER15" s="125" t="n"/>
      <c r="ES15" s="124" t="n"/>
      <c r="ET15" s="125" t="n"/>
      <c r="EU15" s="124" t="n"/>
      <c r="EV15" s="125" t="n"/>
      <c r="EW15" s="124" t="n"/>
      <c r="EX15" s="125" t="n"/>
      <c r="EY15" s="124" t="n"/>
      <c r="EZ15" s="125" t="n"/>
      <c r="FA15" s="124" t="n"/>
      <c r="FB15" s="125" t="n"/>
      <c r="FC15" s="126" t="n"/>
      <c r="FD15" s="127" t="n"/>
      <c r="FE15" s="128" t="n"/>
      <c r="FF15" s="127" t="n"/>
      <c r="FG15" s="128" t="n"/>
      <c r="FH15" s="127" t="n"/>
      <c r="FI15" s="128" t="n"/>
      <c r="FJ15" s="127" t="n"/>
      <c r="FK15" s="128" t="n"/>
      <c r="FL15" s="127" t="n"/>
      <c r="FM15" s="128" t="n"/>
      <c r="FN15" s="127" t="n"/>
      <c r="FO15" s="128" t="n"/>
      <c r="FP15" s="127" t="n"/>
      <c r="FQ15" s="128" t="n"/>
      <c r="FR15" s="127" t="n"/>
      <c r="FS15" s="128" t="n"/>
      <c r="FT15" s="129" t="n"/>
      <c r="FU15" s="130" t="n"/>
      <c r="FV15" s="131" t="n"/>
      <c r="FW15" s="130" t="n"/>
      <c r="FX15" s="131" t="n"/>
      <c r="FY15" s="130" t="n"/>
      <c r="FZ15" s="131" t="n"/>
      <c r="GA15" s="130" t="n"/>
      <c r="GB15" s="131" t="n"/>
      <c r="GC15" s="130" t="n"/>
      <c r="GD15" s="131" t="n"/>
      <c r="GE15" s="130" t="n"/>
      <c r="GF15" s="131" t="n"/>
      <c r="GG15" s="130" t="n"/>
      <c r="GH15" s="131" t="n"/>
      <c r="GI15" s="130" t="n"/>
      <c r="GJ15" s="131" t="n"/>
      <c r="GK15" s="132" t="n"/>
      <c r="GL15" s="133" t="n"/>
      <c r="GM15" s="134" t="n"/>
      <c r="GN15" s="133" t="n"/>
      <c r="GO15" s="134" t="n"/>
      <c r="GP15" s="133" t="n"/>
      <c r="GQ15" s="134" t="n"/>
      <c r="GR15" s="133" t="n"/>
      <c r="GS15" s="134" t="n"/>
      <c r="GT15" s="133" t="n"/>
      <c r="GU15" s="134" t="n"/>
      <c r="GV15" s="133" t="n"/>
      <c r="GW15" s="134" t="n"/>
      <c r="GX15" s="133" t="n"/>
      <c r="GY15" s="134" t="n"/>
      <c r="GZ15" s="133" t="n"/>
      <c r="HA15" s="134" t="n"/>
      <c r="HB15" s="135" t="n"/>
      <c r="HC15">
        <f>97-SUMPRODUCT(MAX(($G$4:$HB$4="ح")*($G15:$HB15=TRUE)*(97-$G$47:$HB$47)))</f>
        <v>97</v>
      </c>
      <c r="HD15">
        <f>SUMPRODUCT(($G$4:$HB$4="ح")*($G15:$HB15=TRUE)*($G$47:$HB$47&gt;$HC$1-8))</f>
        <v>0</v>
      </c>
      <c r="HE15">
        <f>(COUNTIF($G15:$V15,TRUE)&gt;0)*($W15&lt;&gt;TRUE)+(COUNTIF($X15:$AM15,TRUE)&gt;0)*($AN15&lt;&gt;TRUE)+(COUNTIF($AO15:$BD15,TRUE)&gt;0)*($BE15&lt;&gt;TRUE)+(COUNTIF($BF15:$BU15,TRUE)&gt;0)*($BV15&lt;&gt;TRUE)+(COUNTIF($BW15:$CL15,TRUE)&gt;0)*($CM15&lt;&gt;TRUE)+(COUNTIF($CN15:$DC15,TRUE)&gt;0)*($DD15&lt;&gt;TRUE)+(COUNTIF($DE15:$DT15,TRUE)&gt;0)*($DU15&lt;&gt;TRUE)+(COUNTIF($DV15:$EK15,TRUE)&gt;0)*($EL15&lt;&gt;TRUE)+(COUNTIF($EM15:$FB15,TRUE)&gt;0)*($FC15&lt;&gt;TRUE)+(COUNTIF($FD15:$FS15,TRUE)&gt;0)*($FT15&lt;&gt;TRUE)+(COUNTIF($FU15:$GJ15,TRUE)&gt;0)*($GK15&lt;&gt;TRUE)+(COUNTIF($GL15:$HA15,TRUE)&gt;0)*($HB15&lt;&gt;TRUE)</f>
        <v>0</v>
      </c>
      <c r="HF15">
        <f>IF($HE15=0,0,13-MAX((COUNTIF($G15:$V15,TRUE)&gt;0)*($W15&lt;&gt;TRUE)*12,(COUNTIF($X15:$AM15,TRUE)&gt;0)*($AN15&lt;&gt;TRUE)*11,(COUNTIF($AO15:$BD15,TRUE)&gt;0)*($BE15&lt;&gt;TRUE)*10,(COUNTIF($BF15:$BU15,TRUE)&gt;0)*($BV15&lt;&gt;TRUE)*9,(COUNTIF($BW15:$CL15,TRUE)&gt;0)*($CM15&lt;&gt;TRUE)*8,(COUNTIF($CN15:$DC15,TRUE)&gt;0)*($DD15&lt;&gt;TRUE)*7,(COUNTIF($DE15:$DT15,TRUE)&gt;0)*($DU15&lt;&gt;TRUE)*6,(COUNTIF($DV15:$EK15,TRUE)&gt;0)*($EL15&lt;&gt;TRUE)*5,(COUNTIF($EM15:$FB15,TRUE)&gt;0)*($FC15&lt;&gt;TRUE)*4,(COUNTIF($FD15:$FS15,TRUE)&gt;0)*($FT15&lt;&gt;TRUE)*3,(COUNTIF($FU15:$GJ15,TRUE)&gt;0)*($GK15&lt;&gt;TRUE)*2,(COUNTIF($GL15:$HA15,TRUE)&gt;0)*($HB15&lt;&gt;TRUE)*1))</f>
        <v>0</v>
      </c>
    </row>
    <row r="16" ht="22.5" customHeight="1">
      <c r="A16" s="36" t="n">
        <v>12</v>
      </c>
      <c r="B16" s="97" t="n"/>
      <c r="C16" s="28" t="n"/>
      <c r="D16" s="98" t="str">
        <f>IF($B16="","",IF($HC16=97,"-",IF($HD16=0,"متوقف",SUMPRODUCT(($G$4:$HB$4="ح")*($G$20:$HB$20&gt;0)*($G16:$HB16&lt;&gt;TRUE)*($G$47:$HB$47&gt;$HC$1-8)*($G$47:$HB$47&gt;=$HC16)))))</f>
        <v/>
      </c>
      <c r="E16" s="98" t="str">
        <f>IF(OR($B16="",$HC16=97),"",SUMPRODUCT(($G$4:$HA$4="ح")*($G16:$HA16=TRUE)*($H16:$HB16&lt;&gt;TRUE)*($G$47:$HA$47&gt;$HC$1-8)))</f>
        <v/>
      </c>
      <c r="F16" s="99" t="str">
        <f>IF($B16="","",IF($HE16=0,IF($HC16=97,"-","تمام"),IF($HE16=1,IF(INDEX($G$1:$HB$1,1,17*($HF16-1)+1)="","شهر "&amp;$HF16,INDEX($G$1:$HB$1,1,17*($HF16-1)+1)),IF($HE16=2,"شهرين",$HE16&amp;" شهور"))))</f>
        <v/>
      </c>
      <c r="G16" s="100" t="n"/>
      <c r="H16" s="101" t="n"/>
      <c r="I16" s="100" t="n"/>
      <c r="J16" s="101" t="n"/>
      <c r="K16" s="100" t="n"/>
      <c r="L16" s="101" t="n"/>
      <c r="M16" s="100" t="n"/>
      <c r="N16" s="101" t="n"/>
      <c r="O16" s="100" t="n"/>
      <c r="P16" s="101" t="n"/>
      <c r="Q16" s="100" t="n"/>
      <c r="R16" s="101" t="n"/>
      <c r="S16" s="100" t="n"/>
      <c r="T16" s="101" t="n"/>
      <c r="U16" s="100" t="n"/>
      <c r="V16" s="101" t="n"/>
      <c r="W16" s="102" t="n"/>
      <c r="X16" s="103" t="n"/>
      <c r="Y16" s="104" t="n"/>
      <c r="Z16" s="103" t="n"/>
      <c r="AA16" s="104" t="n"/>
      <c r="AB16" s="103" t="n"/>
      <c r="AC16" s="104" t="n"/>
      <c r="AD16" s="103" t="n"/>
      <c r="AE16" s="104" t="n"/>
      <c r="AF16" s="103" t="n"/>
      <c r="AG16" s="104" t="n"/>
      <c r="AH16" s="103" t="n"/>
      <c r="AI16" s="104" t="n"/>
      <c r="AJ16" s="103" t="n"/>
      <c r="AK16" s="104" t="n"/>
      <c r="AL16" s="103" t="n"/>
      <c r="AM16" s="104" t="n"/>
      <c r="AN16" s="105" t="n"/>
      <c r="AO16" s="106" t="n"/>
      <c r="AP16" s="107" t="n"/>
      <c r="AQ16" s="106" t="n"/>
      <c r="AR16" s="107" t="n"/>
      <c r="AS16" s="106" t="n"/>
      <c r="AT16" s="107" t="n"/>
      <c r="AU16" s="106" t="n"/>
      <c r="AV16" s="107" t="n"/>
      <c r="AW16" s="106" t="n"/>
      <c r="AX16" s="107" t="n"/>
      <c r="AY16" s="106" t="n"/>
      <c r="AZ16" s="107" t="n"/>
      <c r="BA16" s="106" t="n"/>
      <c r="BB16" s="107" t="n"/>
      <c r="BC16" s="106" t="n"/>
      <c r="BD16" s="107" t="n"/>
      <c r="BE16" s="108" t="n"/>
      <c r="BF16" s="109" t="n"/>
      <c r="BG16" s="110" t="n"/>
      <c r="BH16" s="109" t="n"/>
      <c r="BI16" s="110" t="n"/>
      <c r="BJ16" s="109" t="n"/>
      <c r="BK16" s="110" t="n"/>
      <c r="BL16" s="109" t="n"/>
      <c r="BM16" s="110" t="n"/>
      <c r="BN16" s="109" t="n"/>
      <c r="BO16" s="110" t="n"/>
      <c r="BP16" s="109" t="n"/>
      <c r="BQ16" s="110" t="n"/>
      <c r="BR16" s="109" t="n"/>
      <c r="BS16" s="110" t="n"/>
      <c r="BT16" s="109" t="n"/>
      <c r="BU16" s="110" t="n"/>
      <c r="BV16" s="111" t="n"/>
      <c r="BW16" s="112" t="n"/>
      <c r="BX16" s="113" t="n"/>
      <c r="BY16" s="112" t="n"/>
      <c r="BZ16" s="113" t="n"/>
      <c r="CA16" s="112" t="n"/>
      <c r="CB16" s="113" t="n"/>
      <c r="CC16" s="112" t="n"/>
      <c r="CD16" s="113" t="n"/>
      <c r="CE16" s="112" t="n"/>
      <c r="CF16" s="113" t="n"/>
      <c r="CG16" s="112" t="n"/>
      <c r="CH16" s="113" t="n"/>
      <c r="CI16" s="112" t="n"/>
      <c r="CJ16" s="113" t="n"/>
      <c r="CK16" s="112" t="n"/>
      <c r="CL16" s="113" t="n"/>
      <c r="CM16" s="114" t="n"/>
      <c r="CN16" s="115" t="n"/>
      <c r="CO16" s="116" t="n"/>
      <c r="CP16" s="115" t="n"/>
      <c r="CQ16" s="116" t="n"/>
      <c r="CR16" s="115" t="n"/>
      <c r="CS16" s="116" t="n"/>
      <c r="CT16" s="115" t="n"/>
      <c r="CU16" s="116" t="n"/>
      <c r="CV16" s="115" t="n"/>
      <c r="CW16" s="116" t="n"/>
      <c r="CX16" s="115" t="n"/>
      <c r="CY16" s="116" t="n"/>
      <c r="CZ16" s="115" t="n"/>
      <c r="DA16" s="116" t="n"/>
      <c r="DB16" s="115" t="n"/>
      <c r="DC16" s="116" t="n"/>
      <c r="DD16" s="117" t="n"/>
      <c r="DE16" s="118" t="n"/>
      <c r="DF16" s="119" t="n"/>
      <c r="DG16" s="118" t="n"/>
      <c r="DH16" s="119" t="n"/>
      <c r="DI16" s="118" t="n"/>
      <c r="DJ16" s="119" t="n"/>
      <c r="DK16" s="118" t="n"/>
      <c r="DL16" s="119" t="n"/>
      <c r="DM16" s="118" t="n"/>
      <c r="DN16" s="119" t="n"/>
      <c r="DO16" s="118" t="n"/>
      <c r="DP16" s="119" t="n"/>
      <c r="DQ16" s="118" t="n"/>
      <c r="DR16" s="119" t="n"/>
      <c r="DS16" s="118" t="n"/>
      <c r="DT16" s="119" t="n"/>
      <c r="DU16" s="120" t="n"/>
      <c r="DV16" s="121" t="n"/>
      <c r="DW16" s="122" t="n"/>
      <c r="DX16" s="121" t="n"/>
      <c r="DY16" s="122" t="n"/>
      <c r="DZ16" s="121" t="n"/>
      <c r="EA16" s="122" t="n"/>
      <c r="EB16" s="121" t="n"/>
      <c r="EC16" s="122" t="n"/>
      <c r="ED16" s="121" t="n"/>
      <c r="EE16" s="122" t="n"/>
      <c r="EF16" s="121" t="n"/>
      <c r="EG16" s="122" t="n"/>
      <c r="EH16" s="121" t="n"/>
      <c r="EI16" s="122" t="n"/>
      <c r="EJ16" s="121" t="n"/>
      <c r="EK16" s="122" t="n"/>
      <c r="EL16" s="123" t="n"/>
      <c r="EM16" s="124" t="n"/>
      <c r="EN16" s="125" t="n"/>
      <c r="EO16" s="124" t="n"/>
      <c r="EP16" s="125" t="n"/>
      <c r="EQ16" s="124" t="n"/>
      <c r="ER16" s="125" t="n"/>
      <c r="ES16" s="124" t="n"/>
      <c r="ET16" s="125" t="n"/>
      <c r="EU16" s="124" t="n"/>
      <c r="EV16" s="125" t="n"/>
      <c r="EW16" s="124" t="n"/>
      <c r="EX16" s="125" t="n"/>
      <c r="EY16" s="124" t="n"/>
      <c r="EZ16" s="125" t="n"/>
      <c r="FA16" s="124" t="n"/>
      <c r="FB16" s="125" t="n"/>
      <c r="FC16" s="126" t="n"/>
      <c r="FD16" s="127" t="n"/>
      <c r="FE16" s="128" t="n"/>
      <c r="FF16" s="127" t="n"/>
      <c r="FG16" s="128" t="n"/>
      <c r="FH16" s="127" t="n"/>
      <c r="FI16" s="128" t="n"/>
      <c r="FJ16" s="127" t="n"/>
      <c r="FK16" s="128" t="n"/>
      <c r="FL16" s="127" t="n"/>
      <c r="FM16" s="128" t="n"/>
      <c r="FN16" s="127" t="n"/>
      <c r="FO16" s="128" t="n"/>
      <c r="FP16" s="127" t="n"/>
      <c r="FQ16" s="128" t="n"/>
      <c r="FR16" s="127" t="n"/>
      <c r="FS16" s="128" t="n"/>
      <c r="FT16" s="129" t="n"/>
      <c r="FU16" s="130" t="n"/>
      <c r="FV16" s="131" t="n"/>
      <c r="FW16" s="130" t="n"/>
      <c r="FX16" s="131" t="n"/>
      <c r="FY16" s="130" t="n"/>
      <c r="FZ16" s="131" t="n"/>
      <c r="GA16" s="130" t="n"/>
      <c r="GB16" s="131" t="n"/>
      <c r="GC16" s="130" t="n"/>
      <c r="GD16" s="131" t="n"/>
      <c r="GE16" s="130" t="n"/>
      <c r="GF16" s="131" t="n"/>
      <c r="GG16" s="130" t="n"/>
      <c r="GH16" s="131" t="n"/>
      <c r="GI16" s="130" t="n"/>
      <c r="GJ16" s="131" t="n"/>
      <c r="GK16" s="132" t="n"/>
      <c r="GL16" s="133" t="n"/>
      <c r="GM16" s="134" t="n"/>
      <c r="GN16" s="133" t="n"/>
      <c r="GO16" s="134" t="n"/>
      <c r="GP16" s="133" t="n"/>
      <c r="GQ16" s="134" t="n"/>
      <c r="GR16" s="133" t="n"/>
      <c r="GS16" s="134" t="n"/>
      <c r="GT16" s="133" t="n"/>
      <c r="GU16" s="134" t="n"/>
      <c r="GV16" s="133" t="n"/>
      <c r="GW16" s="134" t="n"/>
      <c r="GX16" s="133" t="n"/>
      <c r="GY16" s="134" t="n"/>
      <c r="GZ16" s="133" t="n"/>
      <c r="HA16" s="134" t="n"/>
      <c r="HB16" s="135" t="n"/>
      <c r="HC16">
        <f>97-SUMPRODUCT(MAX(($G$4:$HB$4="ح")*($G16:$HB16=TRUE)*(97-$G$47:$HB$47)))</f>
        <v>97</v>
      </c>
      <c r="HD16">
        <f>SUMPRODUCT(($G$4:$HB$4="ح")*($G16:$HB16=TRUE)*($G$47:$HB$47&gt;$HC$1-8))</f>
        <v>0</v>
      </c>
      <c r="HE16">
        <f>(COUNTIF($G16:$V16,TRUE)&gt;0)*($W16&lt;&gt;TRUE)+(COUNTIF($X16:$AM16,TRUE)&gt;0)*($AN16&lt;&gt;TRUE)+(COUNTIF($AO16:$BD16,TRUE)&gt;0)*($BE16&lt;&gt;TRUE)+(COUNTIF($BF16:$BU16,TRUE)&gt;0)*($BV16&lt;&gt;TRUE)+(COUNTIF($BW16:$CL16,TRUE)&gt;0)*($CM16&lt;&gt;TRUE)+(COUNTIF($CN16:$DC16,TRUE)&gt;0)*($DD16&lt;&gt;TRUE)+(COUNTIF($DE16:$DT16,TRUE)&gt;0)*($DU16&lt;&gt;TRUE)+(COUNTIF($DV16:$EK16,TRUE)&gt;0)*($EL16&lt;&gt;TRUE)+(COUNTIF($EM16:$FB16,TRUE)&gt;0)*($FC16&lt;&gt;TRUE)+(COUNTIF($FD16:$FS16,TRUE)&gt;0)*($FT16&lt;&gt;TRUE)+(COUNTIF($FU16:$GJ16,TRUE)&gt;0)*($GK16&lt;&gt;TRUE)+(COUNTIF($GL16:$HA16,TRUE)&gt;0)*($HB16&lt;&gt;TRUE)</f>
        <v>0</v>
      </c>
      <c r="HF16">
        <f>IF($HE16=0,0,13-MAX((COUNTIF($G16:$V16,TRUE)&gt;0)*($W16&lt;&gt;TRUE)*12,(COUNTIF($X16:$AM16,TRUE)&gt;0)*($AN16&lt;&gt;TRUE)*11,(COUNTIF($AO16:$BD16,TRUE)&gt;0)*($BE16&lt;&gt;TRUE)*10,(COUNTIF($BF16:$BU16,TRUE)&gt;0)*($BV16&lt;&gt;TRUE)*9,(COUNTIF($BW16:$CL16,TRUE)&gt;0)*($CM16&lt;&gt;TRUE)*8,(COUNTIF($CN16:$DC16,TRUE)&gt;0)*($DD16&lt;&gt;TRUE)*7,(COUNTIF($DE16:$DT16,TRUE)&gt;0)*($DU16&lt;&gt;TRUE)*6,(COUNTIF($DV16:$EK16,TRUE)&gt;0)*($EL16&lt;&gt;TRUE)*5,(COUNTIF($EM16:$FB16,TRUE)&gt;0)*($FC16&lt;&gt;TRUE)*4,(COUNTIF($FD16:$FS16,TRUE)&gt;0)*($FT16&lt;&gt;TRUE)*3,(COUNTIF($FU16:$GJ16,TRUE)&gt;0)*($GK16&lt;&gt;TRUE)*2,(COUNTIF($GL16:$HA16,TRUE)&gt;0)*($HB16&lt;&gt;TRUE)*1))</f>
        <v>0</v>
      </c>
    </row>
    <row r="17" ht="22.5" customHeight="1">
      <c r="A17" s="36" t="n">
        <v>13</v>
      </c>
      <c r="B17" s="97" t="n"/>
      <c r="C17" s="28" t="n"/>
      <c r="D17" s="98" t="str">
        <f>IF($B17="","",IF($HC17=97,"-",IF($HD17=0,"متوقف",SUMPRODUCT(($G$4:$HB$4="ح")*($G$20:$HB$20&gt;0)*($G17:$HB17&lt;&gt;TRUE)*($G$47:$HB$47&gt;$HC$1-8)*($G$47:$HB$47&gt;=$HC17)))))</f>
        <v/>
      </c>
      <c r="E17" s="98" t="str">
        <f>IF(OR($B17="",$HC17=97),"",SUMPRODUCT(($G$4:$HA$4="ح")*($G17:$HA17=TRUE)*($H17:$HB17&lt;&gt;TRUE)*($G$47:$HA$47&gt;$HC$1-8)))</f>
        <v/>
      </c>
      <c r="F17" s="99" t="str">
        <f>IF($B17="","",IF($HE17=0,IF($HC17=97,"-","تمام"),IF($HE17=1,IF(INDEX($G$1:$HB$1,1,17*($HF17-1)+1)="","شهر "&amp;$HF17,INDEX($G$1:$HB$1,1,17*($HF17-1)+1)),IF($HE17=2,"شهرين",$HE17&amp;" شهور"))))</f>
        <v/>
      </c>
      <c r="G17" s="100" t="n"/>
      <c r="H17" s="101" t="n"/>
      <c r="I17" s="100" t="n"/>
      <c r="J17" s="101" t="n"/>
      <c r="K17" s="100" t="n"/>
      <c r="L17" s="101" t="n"/>
      <c r="M17" s="100" t="n"/>
      <c r="N17" s="101" t="n"/>
      <c r="O17" s="100" t="n"/>
      <c r="P17" s="101" t="n"/>
      <c r="Q17" s="100" t="n"/>
      <c r="R17" s="101" t="n"/>
      <c r="S17" s="100" t="n"/>
      <c r="T17" s="101" t="n"/>
      <c r="U17" s="100" t="n"/>
      <c r="V17" s="101" t="n"/>
      <c r="W17" s="102" t="n"/>
      <c r="X17" s="103" t="n"/>
      <c r="Y17" s="104" t="n"/>
      <c r="Z17" s="103" t="n"/>
      <c r="AA17" s="104" t="n"/>
      <c r="AB17" s="103" t="n"/>
      <c r="AC17" s="104" t="n"/>
      <c r="AD17" s="103" t="n"/>
      <c r="AE17" s="104" t="n"/>
      <c r="AF17" s="103" t="n"/>
      <c r="AG17" s="104" t="n"/>
      <c r="AH17" s="103" t="n"/>
      <c r="AI17" s="104" t="n"/>
      <c r="AJ17" s="103" t="n"/>
      <c r="AK17" s="104" t="n"/>
      <c r="AL17" s="103" t="n"/>
      <c r="AM17" s="104" t="n"/>
      <c r="AN17" s="105" t="n"/>
      <c r="AO17" s="106" t="n"/>
      <c r="AP17" s="107" t="n"/>
      <c r="AQ17" s="106" t="n"/>
      <c r="AR17" s="107" t="n"/>
      <c r="AS17" s="106" t="n"/>
      <c r="AT17" s="107" t="n"/>
      <c r="AU17" s="106" t="n"/>
      <c r="AV17" s="107" t="n"/>
      <c r="AW17" s="106" t="n"/>
      <c r="AX17" s="107" t="n"/>
      <c r="AY17" s="106" t="n"/>
      <c r="AZ17" s="107" t="n"/>
      <c r="BA17" s="106" t="n"/>
      <c r="BB17" s="107" t="n"/>
      <c r="BC17" s="106" t="n"/>
      <c r="BD17" s="107" t="n"/>
      <c r="BE17" s="108" t="n"/>
      <c r="BF17" s="109" t="n"/>
      <c r="BG17" s="110" t="n"/>
      <c r="BH17" s="109" t="n"/>
      <c r="BI17" s="110" t="n"/>
      <c r="BJ17" s="109" t="n"/>
      <c r="BK17" s="110" t="n"/>
      <c r="BL17" s="109" t="n"/>
      <c r="BM17" s="110" t="n"/>
      <c r="BN17" s="109" t="n"/>
      <c r="BO17" s="110" t="n"/>
      <c r="BP17" s="109" t="n"/>
      <c r="BQ17" s="110" t="n"/>
      <c r="BR17" s="109" t="n"/>
      <c r="BS17" s="110" t="n"/>
      <c r="BT17" s="109" t="n"/>
      <c r="BU17" s="110" t="n"/>
      <c r="BV17" s="111" t="n"/>
      <c r="BW17" s="112" t="n"/>
      <c r="BX17" s="113" t="n"/>
      <c r="BY17" s="112" t="n"/>
      <c r="BZ17" s="113" t="n"/>
      <c r="CA17" s="112" t="n"/>
      <c r="CB17" s="113" t="n"/>
      <c r="CC17" s="112" t="n"/>
      <c r="CD17" s="113" t="n"/>
      <c r="CE17" s="112" t="n"/>
      <c r="CF17" s="113" t="n"/>
      <c r="CG17" s="112" t="n"/>
      <c r="CH17" s="113" t="n"/>
      <c r="CI17" s="112" t="n"/>
      <c r="CJ17" s="113" t="n"/>
      <c r="CK17" s="112" t="n"/>
      <c r="CL17" s="113" t="n"/>
      <c r="CM17" s="114" t="n"/>
      <c r="CN17" s="115" t="n"/>
      <c r="CO17" s="116" t="n"/>
      <c r="CP17" s="115" t="n"/>
      <c r="CQ17" s="116" t="n"/>
      <c r="CR17" s="115" t="n"/>
      <c r="CS17" s="116" t="n"/>
      <c r="CT17" s="115" t="n"/>
      <c r="CU17" s="116" t="n"/>
      <c r="CV17" s="115" t="n"/>
      <c r="CW17" s="116" t="n"/>
      <c r="CX17" s="115" t="n"/>
      <c r="CY17" s="116" t="n"/>
      <c r="CZ17" s="115" t="n"/>
      <c r="DA17" s="116" t="n"/>
      <c r="DB17" s="115" t="n"/>
      <c r="DC17" s="116" t="n"/>
      <c r="DD17" s="117" t="n"/>
      <c r="DE17" s="118" t="n"/>
      <c r="DF17" s="119" t="n"/>
      <c r="DG17" s="118" t="n"/>
      <c r="DH17" s="119" t="n"/>
      <c r="DI17" s="118" t="n"/>
      <c r="DJ17" s="119" t="n"/>
      <c r="DK17" s="118" t="n"/>
      <c r="DL17" s="119" t="n"/>
      <c r="DM17" s="118" t="n"/>
      <c r="DN17" s="119" t="n"/>
      <c r="DO17" s="118" t="n"/>
      <c r="DP17" s="119" t="n"/>
      <c r="DQ17" s="118" t="n"/>
      <c r="DR17" s="119" t="n"/>
      <c r="DS17" s="118" t="n"/>
      <c r="DT17" s="119" t="n"/>
      <c r="DU17" s="120" t="n"/>
      <c r="DV17" s="121" t="n"/>
      <c r="DW17" s="122" t="n"/>
      <c r="DX17" s="121" t="n"/>
      <c r="DY17" s="122" t="n"/>
      <c r="DZ17" s="121" t="n"/>
      <c r="EA17" s="122" t="n"/>
      <c r="EB17" s="121" t="n"/>
      <c r="EC17" s="122" t="n"/>
      <c r="ED17" s="121" t="n"/>
      <c r="EE17" s="122" t="n"/>
      <c r="EF17" s="121" t="n"/>
      <c r="EG17" s="122" t="n"/>
      <c r="EH17" s="121" t="n"/>
      <c r="EI17" s="122" t="n"/>
      <c r="EJ17" s="121" t="n"/>
      <c r="EK17" s="122" t="n"/>
      <c r="EL17" s="123" t="n"/>
      <c r="EM17" s="124" t="n"/>
      <c r="EN17" s="125" t="n"/>
      <c r="EO17" s="124" t="n"/>
      <c r="EP17" s="125" t="n"/>
      <c r="EQ17" s="124" t="n"/>
      <c r="ER17" s="125" t="n"/>
      <c r="ES17" s="124" t="n"/>
      <c r="ET17" s="125" t="n"/>
      <c r="EU17" s="124" t="n"/>
      <c r="EV17" s="125" t="n"/>
      <c r="EW17" s="124" t="n"/>
      <c r="EX17" s="125" t="n"/>
      <c r="EY17" s="124" t="n"/>
      <c r="EZ17" s="125" t="n"/>
      <c r="FA17" s="124" t="n"/>
      <c r="FB17" s="125" t="n"/>
      <c r="FC17" s="126" t="n"/>
      <c r="FD17" s="127" t="n"/>
      <c r="FE17" s="128" t="n"/>
      <c r="FF17" s="127" t="n"/>
      <c r="FG17" s="128" t="n"/>
      <c r="FH17" s="127" t="n"/>
      <c r="FI17" s="128" t="n"/>
      <c r="FJ17" s="127" t="n"/>
      <c r="FK17" s="128" t="n"/>
      <c r="FL17" s="127" t="n"/>
      <c r="FM17" s="128" t="n"/>
      <c r="FN17" s="127" t="n"/>
      <c r="FO17" s="128" t="n"/>
      <c r="FP17" s="127" t="n"/>
      <c r="FQ17" s="128" t="n"/>
      <c r="FR17" s="127" t="n"/>
      <c r="FS17" s="128" t="n"/>
      <c r="FT17" s="129" t="n"/>
      <c r="FU17" s="130" t="n"/>
      <c r="FV17" s="131" t="n"/>
      <c r="FW17" s="130" t="n"/>
      <c r="FX17" s="131" t="n"/>
      <c r="FY17" s="130" t="n"/>
      <c r="FZ17" s="131" t="n"/>
      <c r="GA17" s="130" t="n"/>
      <c r="GB17" s="131" t="n"/>
      <c r="GC17" s="130" t="n"/>
      <c r="GD17" s="131" t="n"/>
      <c r="GE17" s="130" t="n"/>
      <c r="GF17" s="131" t="n"/>
      <c r="GG17" s="130" t="n"/>
      <c r="GH17" s="131" t="n"/>
      <c r="GI17" s="130" t="n"/>
      <c r="GJ17" s="131" t="n"/>
      <c r="GK17" s="132" t="n"/>
      <c r="GL17" s="133" t="n"/>
      <c r="GM17" s="134" t="n"/>
      <c r="GN17" s="133" t="n"/>
      <c r="GO17" s="134" t="n"/>
      <c r="GP17" s="133" t="n"/>
      <c r="GQ17" s="134" t="n"/>
      <c r="GR17" s="133" t="n"/>
      <c r="GS17" s="134" t="n"/>
      <c r="GT17" s="133" t="n"/>
      <c r="GU17" s="134" t="n"/>
      <c r="GV17" s="133" t="n"/>
      <c r="GW17" s="134" t="n"/>
      <c r="GX17" s="133" t="n"/>
      <c r="GY17" s="134" t="n"/>
      <c r="GZ17" s="133" t="n"/>
      <c r="HA17" s="134" t="n"/>
      <c r="HB17" s="135" t="n"/>
      <c r="HC17">
        <f>97-SUMPRODUCT(MAX(($G$4:$HB$4="ح")*($G17:$HB17=TRUE)*(97-$G$47:$HB$47)))</f>
        <v>97</v>
      </c>
      <c r="HD17">
        <f>SUMPRODUCT(($G$4:$HB$4="ح")*($G17:$HB17=TRUE)*($G$47:$HB$47&gt;$HC$1-8))</f>
        <v>0</v>
      </c>
      <c r="HE17">
        <f>(COUNTIF($G17:$V17,TRUE)&gt;0)*($W17&lt;&gt;TRUE)+(COUNTIF($X17:$AM17,TRUE)&gt;0)*($AN17&lt;&gt;TRUE)+(COUNTIF($AO17:$BD17,TRUE)&gt;0)*($BE17&lt;&gt;TRUE)+(COUNTIF($BF17:$BU17,TRUE)&gt;0)*($BV17&lt;&gt;TRUE)+(COUNTIF($BW17:$CL17,TRUE)&gt;0)*($CM17&lt;&gt;TRUE)+(COUNTIF($CN17:$DC17,TRUE)&gt;0)*($DD17&lt;&gt;TRUE)+(COUNTIF($DE17:$DT17,TRUE)&gt;0)*($DU17&lt;&gt;TRUE)+(COUNTIF($DV17:$EK17,TRUE)&gt;0)*($EL17&lt;&gt;TRUE)+(COUNTIF($EM17:$FB17,TRUE)&gt;0)*($FC17&lt;&gt;TRUE)+(COUNTIF($FD17:$FS17,TRUE)&gt;0)*($FT17&lt;&gt;TRUE)+(COUNTIF($FU17:$GJ17,TRUE)&gt;0)*($GK17&lt;&gt;TRUE)+(COUNTIF($GL17:$HA17,TRUE)&gt;0)*($HB17&lt;&gt;TRUE)</f>
        <v>0</v>
      </c>
      <c r="HF17">
        <f>IF($HE17=0,0,13-MAX((COUNTIF($G17:$V17,TRUE)&gt;0)*($W17&lt;&gt;TRUE)*12,(COUNTIF($X17:$AM17,TRUE)&gt;0)*($AN17&lt;&gt;TRUE)*11,(COUNTIF($AO17:$BD17,TRUE)&gt;0)*($BE17&lt;&gt;TRUE)*10,(COUNTIF($BF17:$BU17,TRUE)&gt;0)*($BV17&lt;&gt;TRUE)*9,(COUNTIF($BW17:$CL17,TRUE)&gt;0)*($CM17&lt;&gt;TRUE)*8,(COUNTIF($CN17:$DC17,TRUE)&gt;0)*($DD17&lt;&gt;TRUE)*7,(COUNTIF($DE17:$DT17,TRUE)&gt;0)*($DU17&lt;&gt;TRUE)*6,(COUNTIF($DV17:$EK17,TRUE)&gt;0)*($EL17&lt;&gt;TRUE)*5,(COUNTIF($EM17:$FB17,TRUE)&gt;0)*($FC17&lt;&gt;TRUE)*4,(COUNTIF($FD17:$FS17,TRUE)&gt;0)*($FT17&lt;&gt;TRUE)*3,(COUNTIF($FU17:$GJ17,TRUE)&gt;0)*($GK17&lt;&gt;TRUE)*2,(COUNTIF($GL17:$HA17,TRUE)&gt;0)*($HB17&lt;&gt;TRUE)*1))</f>
        <v>0</v>
      </c>
    </row>
    <row r="18" ht="22.5" customHeight="1">
      <c r="A18" s="36" t="n">
        <v>14</v>
      </c>
      <c r="B18" s="97" t="n"/>
      <c r="C18" s="28" t="n"/>
      <c r="D18" s="98" t="str">
        <f>IF($B18="","",IF($HC18=97,"-",IF($HD18=0,"متوقف",SUMPRODUCT(($G$4:$HB$4="ح")*($G$20:$HB$20&gt;0)*($G18:$HB18&lt;&gt;TRUE)*($G$47:$HB$47&gt;$HC$1-8)*($G$47:$HB$47&gt;=$HC18)))))</f>
        <v/>
      </c>
      <c r="E18" s="98" t="str">
        <f>IF(OR($B18="",$HC18=97),"",SUMPRODUCT(($G$4:$HA$4="ح")*($G18:$HA18=TRUE)*($H18:$HB18&lt;&gt;TRUE)*($G$47:$HA$47&gt;$HC$1-8)))</f>
        <v/>
      </c>
      <c r="F18" s="99" t="str">
        <f>IF($B18="","",IF($HE18=0,IF($HC18=97,"-","تمام"),IF($HE18=1,IF(INDEX($G$1:$HB$1,1,17*($HF18-1)+1)="","شهر "&amp;$HF18,INDEX($G$1:$HB$1,1,17*($HF18-1)+1)),IF($HE18=2,"شهرين",$HE18&amp;" شهور"))))</f>
        <v/>
      </c>
      <c r="G18" s="100" t="n"/>
      <c r="H18" s="101" t="n"/>
      <c r="I18" s="100" t="n"/>
      <c r="J18" s="101" t="n"/>
      <c r="K18" s="100" t="n"/>
      <c r="L18" s="101" t="n"/>
      <c r="M18" s="100" t="n"/>
      <c r="N18" s="101" t="n"/>
      <c r="O18" s="100" t="n"/>
      <c r="P18" s="101" t="n"/>
      <c r="Q18" s="100" t="n"/>
      <c r="R18" s="101" t="n"/>
      <c r="S18" s="100" t="n"/>
      <c r="T18" s="101" t="n"/>
      <c r="U18" s="100" t="n"/>
      <c r="V18" s="101" t="n"/>
      <c r="W18" s="102" t="n"/>
      <c r="X18" s="103" t="n"/>
      <c r="Y18" s="104" t="n"/>
      <c r="Z18" s="103" t="n"/>
      <c r="AA18" s="104" t="n"/>
      <c r="AB18" s="103" t="n"/>
      <c r="AC18" s="104" t="n"/>
      <c r="AD18" s="103" t="n"/>
      <c r="AE18" s="104" t="n"/>
      <c r="AF18" s="103" t="n"/>
      <c r="AG18" s="104" t="n"/>
      <c r="AH18" s="103" t="n"/>
      <c r="AI18" s="104" t="n"/>
      <c r="AJ18" s="103" t="n"/>
      <c r="AK18" s="104" t="n"/>
      <c r="AL18" s="103" t="n"/>
      <c r="AM18" s="104" t="n"/>
      <c r="AN18" s="105" t="n"/>
      <c r="AO18" s="106" t="n"/>
      <c r="AP18" s="107" t="n"/>
      <c r="AQ18" s="106" t="n"/>
      <c r="AR18" s="107" t="n"/>
      <c r="AS18" s="106" t="n"/>
      <c r="AT18" s="107" t="n"/>
      <c r="AU18" s="106" t="n"/>
      <c r="AV18" s="107" t="n"/>
      <c r="AW18" s="106" t="n"/>
      <c r="AX18" s="107" t="n"/>
      <c r="AY18" s="106" t="n"/>
      <c r="AZ18" s="107" t="n"/>
      <c r="BA18" s="106" t="n"/>
      <c r="BB18" s="107" t="n"/>
      <c r="BC18" s="106" t="n"/>
      <c r="BD18" s="107" t="n"/>
      <c r="BE18" s="108" t="n"/>
      <c r="BF18" s="109" t="n"/>
      <c r="BG18" s="110" t="n"/>
      <c r="BH18" s="109" t="n"/>
      <c r="BI18" s="110" t="n"/>
      <c r="BJ18" s="109" t="n"/>
      <c r="BK18" s="110" t="n"/>
      <c r="BL18" s="109" t="n"/>
      <c r="BM18" s="110" t="n"/>
      <c r="BN18" s="109" t="n"/>
      <c r="BO18" s="110" t="n"/>
      <c r="BP18" s="109" t="n"/>
      <c r="BQ18" s="110" t="n"/>
      <c r="BR18" s="109" t="n"/>
      <c r="BS18" s="110" t="n"/>
      <c r="BT18" s="109" t="n"/>
      <c r="BU18" s="110" t="n"/>
      <c r="BV18" s="111" t="n"/>
      <c r="BW18" s="112" t="n"/>
      <c r="BX18" s="113" t="n"/>
      <c r="BY18" s="112" t="n"/>
      <c r="BZ18" s="113" t="n"/>
      <c r="CA18" s="112" t="n"/>
      <c r="CB18" s="113" t="n"/>
      <c r="CC18" s="112" t="n"/>
      <c r="CD18" s="113" t="n"/>
      <c r="CE18" s="112" t="n"/>
      <c r="CF18" s="113" t="n"/>
      <c r="CG18" s="112" t="n"/>
      <c r="CH18" s="113" t="n"/>
      <c r="CI18" s="112" t="n"/>
      <c r="CJ18" s="113" t="n"/>
      <c r="CK18" s="112" t="n"/>
      <c r="CL18" s="113" t="n"/>
      <c r="CM18" s="114" t="n"/>
      <c r="CN18" s="115" t="n"/>
      <c r="CO18" s="116" t="n"/>
      <c r="CP18" s="115" t="n"/>
      <c r="CQ18" s="116" t="n"/>
      <c r="CR18" s="115" t="n"/>
      <c r="CS18" s="116" t="n"/>
      <c r="CT18" s="115" t="n"/>
      <c r="CU18" s="116" t="n"/>
      <c r="CV18" s="115" t="n"/>
      <c r="CW18" s="116" t="n"/>
      <c r="CX18" s="115" t="n"/>
      <c r="CY18" s="116" t="n"/>
      <c r="CZ18" s="115" t="n"/>
      <c r="DA18" s="116" t="n"/>
      <c r="DB18" s="115" t="n"/>
      <c r="DC18" s="116" t="n"/>
      <c r="DD18" s="117" t="n"/>
      <c r="DE18" s="118" t="n"/>
      <c r="DF18" s="119" t="n"/>
      <c r="DG18" s="118" t="n"/>
      <c r="DH18" s="119" t="n"/>
      <c r="DI18" s="118" t="n"/>
      <c r="DJ18" s="119" t="n"/>
      <c r="DK18" s="118" t="n"/>
      <c r="DL18" s="119" t="n"/>
      <c r="DM18" s="118" t="n"/>
      <c r="DN18" s="119" t="n"/>
      <c r="DO18" s="118" t="n"/>
      <c r="DP18" s="119" t="n"/>
      <c r="DQ18" s="118" t="n"/>
      <c r="DR18" s="119" t="n"/>
      <c r="DS18" s="118" t="n"/>
      <c r="DT18" s="119" t="n"/>
      <c r="DU18" s="120" t="n"/>
      <c r="DV18" s="121" t="n"/>
      <c r="DW18" s="122" t="n"/>
      <c r="DX18" s="121" t="n"/>
      <c r="DY18" s="122" t="n"/>
      <c r="DZ18" s="121" t="n"/>
      <c r="EA18" s="122" t="n"/>
      <c r="EB18" s="121" t="n"/>
      <c r="EC18" s="122" t="n"/>
      <c r="ED18" s="121" t="n"/>
      <c r="EE18" s="122" t="n"/>
      <c r="EF18" s="121" t="n"/>
      <c r="EG18" s="122" t="n"/>
      <c r="EH18" s="121" t="n"/>
      <c r="EI18" s="122" t="n"/>
      <c r="EJ18" s="121" t="n"/>
      <c r="EK18" s="122" t="n"/>
      <c r="EL18" s="123" t="n"/>
      <c r="EM18" s="124" t="n"/>
      <c r="EN18" s="125" t="n"/>
      <c r="EO18" s="124" t="n"/>
      <c r="EP18" s="125" t="n"/>
      <c r="EQ18" s="124" t="n"/>
      <c r="ER18" s="125" t="n"/>
      <c r="ES18" s="124" t="n"/>
      <c r="ET18" s="125" t="n"/>
      <c r="EU18" s="124" t="n"/>
      <c r="EV18" s="125" t="n"/>
      <c r="EW18" s="124" t="n"/>
      <c r="EX18" s="125" t="n"/>
      <c r="EY18" s="124" t="n"/>
      <c r="EZ18" s="125" t="n"/>
      <c r="FA18" s="124" t="n"/>
      <c r="FB18" s="125" t="n"/>
      <c r="FC18" s="126" t="n"/>
      <c r="FD18" s="127" t="n"/>
      <c r="FE18" s="128" t="n"/>
      <c r="FF18" s="127" t="n"/>
      <c r="FG18" s="128" t="n"/>
      <c r="FH18" s="127" t="n"/>
      <c r="FI18" s="128" t="n"/>
      <c r="FJ18" s="127" t="n"/>
      <c r="FK18" s="128" t="n"/>
      <c r="FL18" s="127" t="n"/>
      <c r="FM18" s="128" t="n"/>
      <c r="FN18" s="127" t="n"/>
      <c r="FO18" s="128" t="n"/>
      <c r="FP18" s="127" t="n"/>
      <c r="FQ18" s="128" t="n"/>
      <c r="FR18" s="127" t="n"/>
      <c r="FS18" s="128" t="n"/>
      <c r="FT18" s="129" t="n"/>
      <c r="FU18" s="130" t="n"/>
      <c r="FV18" s="131" t="n"/>
      <c r="FW18" s="130" t="n"/>
      <c r="FX18" s="131" t="n"/>
      <c r="FY18" s="130" t="n"/>
      <c r="FZ18" s="131" t="n"/>
      <c r="GA18" s="130" t="n"/>
      <c r="GB18" s="131" t="n"/>
      <c r="GC18" s="130" t="n"/>
      <c r="GD18" s="131" t="n"/>
      <c r="GE18" s="130" t="n"/>
      <c r="GF18" s="131" t="n"/>
      <c r="GG18" s="130" t="n"/>
      <c r="GH18" s="131" t="n"/>
      <c r="GI18" s="130" t="n"/>
      <c r="GJ18" s="131" t="n"/>
      <c r="GK18" s="132" t="n"/>
      <c r="GL18" s="133" t="n"/>
      <c r="GM18" s="134" t="n"/>
      <c r="GN18" s="133" t="n"/>
      <c r="GO18" s="134" t="n"/>
      <c r="GP18" s="133" t="n"/>
      <c r="GQ18" s="134" t="n"/>
      <c r="GR18" s="133" t="n"/>
      <c r="GS18" s="134" t="n"/>
      <c r="GT18" s="133" t="n"/>
      <c r="GU18" s="134" t="n"/>
      <c r="GV18" s="133" t="n"/>
      <c r="GW18" s="134" t="n"/>
      <c r="GX18" s="133" t="n"/>
      <c r="GY18" s="134" t="n"/>
      <c r="GZ18" s="133" t="n"/>
      <c r="HA18" s="134" t="n"/>
      <c r="HB18" s="135" t="n"/>
      <c r="HC18">
        <f>97-SUMPRODUCT(MAX(($G$4:$HB$4="ح")*($G18:$HB18=TRUE)*(97-$G$47:$HB$47)))</f>
        <v>97</v>
      </c>
      <c r="HD18">
        <f>SUMPRODUCT(($G$4:$HB$4="ح")*($G18:$HB18=TRUE)*($G$47:$HB$47&gt;$HC$1-8))</f>
        <v>0</v>
      </c>
      <c r="HE18">
        <f>(COUNTIF($G18:$V18,TRUE)&gt;0)*($W18&lt;&gt;TRUE)+(COUNTIF($X18:$AM18,TRUE)&gt;0)*($AN18&lt;&gt;TRUE)+(COUNTIF($AO18:$BD18,TRUE)&gt;0)*($BE18&lt;&gt;TRUE)+(COUNTIF($BF18:$BU18,TRUE)&gt;0)*($BV18&lt;&gt;TRUE)+(COUNTIF($BW18:$CL18,TRUE)&gt;0)*($CM18&lt;&gt;TRUE)+(COUNTIF($CN18:$DC18,TRUE)&gt;0)*($DD18&lt;&gt;TRUE)+(COUNTIF($DE18:$DT18,TRUE)&gt;0)*($DU18&lt;&gt;TRUE)+(COUNTIF($DV18:$EK18,TRUE)&gt;0)*($EL18&lt;&gt;TRUE)+(COUNTIF($EM18:$FB18,TRUE)&gt;0)*($FC18&lt;&gt;TRUE)+(COUNTIF($FD18:$FS18,TRUE)&gt;0)*($FT18&lt;&gt;TRUE)+(COUNTIF($FU18:$GJ18,TRUE)&gt;0)*($GK18&lt;&gt;TRUE)+(COUNTIF($GL18:$HA18,TRUE)&gt;0)*($HB18&lt;&gt;TRUE)</f>
        <v>0</v>
      </c>
      <c r="HF18">
        <f>IF($HE18=0,0,13-MAX((COUNTIF($G18:$V18,TRUE)&gt;0)*($W18&lt;&gt;TRUE)*12,(COUNTIF($X18:$AM18,TRUE)&gt;0)*($AN18&lt;&gt;TRUE)*11,(COUNTIF($AO18:$BD18,TRUE)&gt;0)*($BE18&lt;&gt;TRUE)*10,(COUNTIF($BF18:$BU18,TRUE)&gt;0)*($BV18&lt;&gt;TRUE)*9,(COUNTIF($BW18:$CL18,TRUE)&gt;0)*($CM18&lt;&gt;TRUE)*8,(COUNTIF($CN18:$DC18,TRUE)&gt;0)*($DD18&lt;&gt;TRUE)*7,(COUNTIF($DE18:$DT18,TRUE)&gt;0)*($DU18&lt;&gt;TRUE)*6,(COUNTIF($DV18:$EK18,TRUE)&gt;0)*($EL18&lt;&gt;TRUE)*5,(COUNTIF($EM18:$FB18,TRUE)&gt;0)*($FC18&lt;&gt;TRUE)*4,(COUNTIF($FD18:$FS18,TRUE)&gt;0)*($FT18&lt;&gt;TRUE)*3,(COUNTIF($FU18:$GJ18,TRUE)&gt;0)*($GK18&lt;&gt;TRUE)*2,(COUNTIF($GL18:$HA18,TRUE)&gt;0)*($HB18&lt;&gt;TRUE)*1))</f>
        <v>0</v>
      </c>
    </row>
    <row r="19" ht="22.5" customHeight="1">
      <c r="A19" s="36" t="n">
        <v>15</v>
      </c>
      <c r="B19" s="97" t="n"/>
      <c r="C19" s="28" t="n"/>
      <c r="D19" s="98" t="str">
        <f>IF($B19="","",IF($HC19=97,"-",IF($HD19=0,"متوقف",SUMPRODUCT(($G$4:$HB$4="ح")*($G$20:$HB$20&gt;0)*($G19:$HB19&lt;&gt;TRUE)*($G$47:$HB$47&gt;$HC$1-8)*($G$47:$HB$47&gt;=$HC19)))))</f>
        <v/>
      </c>
      <c r="E19" s="98" t="str">
        <f>IF(OR($B19="",$HC19=97),"",SUMPRODUCT(($G$4:$HA$4="ح")*($G19:$HA19=TRUE)*($H19:$HB19&lt;&gt;TRUE)*($G$47:$HA$47&gt;$HC$1-8)))</f>
        <v/>
      </c>
      <c r="F19" s="99" t="str">
        <f>IF($B19="","",IF($HE19=0,IF($HC19=97,"-","تمام"),IF($HE19=1,IF(INDEX($G$1:$HB$1,1,17*($HF19-1)+1)="","شهر "&amp;$HF19,INDEX($G$1:$HB$1,1,17*($HF19-1)+1)),IF($HE19=2,"شهرين",$HE19&amp;" شهور"))))</f>
        <v/>
      </c>
      <c r="G19" s="100" t="n"/>
      <c r="H19" s="101" t="n"/>
      <c r="I19" s="100" t="n"/>
      <c r="J19" s="101" t="n"/>
      <c r="K19" s="100" t="n"/>
      <c r="L19" s="101" t="n"/>
      <c r="M19" s="100" t="n"/>
      <c r="N19" s="101" t="n"/>
      <c r="O19" s="100" t="n"/>
      <c r="P19" s="101" t="n"/>
      <c r="Q19" s="100" t="n"/>
      <c r="R19" s="101" t="n"/>
      <c r="S19" s="100" t="n"/>
      <c r="T19" s="101" t="n"/>
      <c r="U19" s="100" t="n"/>
      <c r="V19" s="101" t="n"/>
      <c r="W19" s="102" t="n"/>
      <c r="X19" s="103" t="n"/>
      <c r="Y19" s="104" t="n"/>
      <c r="Z19" s="103" t="n"/>
      <c r="AA19" s="104" t="n"/>
      <c r="AB19" s="103" t="n"/>
      <c r="AC19" s="104" t="n"/>
      <c r="AD19" s="103" t="n"/>
      <c r="AE19" s="104" t="n"/>
      <c r="AF19" s="103" t="n"/>
      <c r="AG19" s="104" t="n"/>
      <c r="AH19" s="103" t="n"/>
      <c r="AI19" s="104" t="n"/>
      <c r="AJ19" s="103" t="n"/>
      <c r="AK19" s="104" t="n"/>
      <c r="AL19" s="103" t="n"/>
      <c r="AM19" s="104" t="n"/>
      <c r="AN19" s="105" t="n"/>
      <c r="AO19" s="106" t="n"/>
      <c r="AP19" s="107" t="n"/>
      <c r="AQ19" s="106" t="n"/>
      <c r="AR19" s="107" t="n"/>
      <c r="AS19" s="106" t="n"/>
      <c r="AT19" s="107" t="n"/>
      <c r="AU19" s="106" t="n"/>
      <c r="AV19" s="107" t="n"/>
      <c r="AW19" s="106" t="n"/>
      <c r="AX19" s="107" t="n"/>
      <c r="AY19" s="106" t="n"/>
      <c r="AZ19" s="107" t="n"/>
      <c r="BA19" s="106" t="n"/>
      <c r="BB19" s="107" t="n"/>
      <c r="BC19" s="106" t="n"/>
      <c r="BD19" s="107" t="n"/>
      <c r="BE19" s="108" t="n"/>
      <c r="BF19" s="109" t="n"/>
      <c r="BG19" s="110" t="n"/>
      <c r="BH19" s="109" t="n"/>
      <c r="BI19" s="110" t="n"/>
      <c r="BJ19" s="109" t="n"/>
      <c r="BK19" s="110" t="n"/>
      <c r="BL19" s="109" t="n"/>
      <c r="BM19" s="110" t="n"/>
      <c r="BN19" s="109" t="n"/>
      <c r="BO19" s="110" t="n"/>
      <c r="BP19" s="109" t="n"/>
      <c r="BQ19" s="110" t="n"/>
      <c r="BR19" s="109" t="n"/>
      <c r="BS19" s="110" t="n"/>
      <c r="BT19" s="109" t="n"/>
      <c r="BU19" s="110" t="n"/>
      <c r="BV19" s="111" t="n"/>
      <c r="BW19" s="112" t="n"/>
      <c r="BX19" s="113" t="n"/>
      <c r="BY19" s="112" t="n"/>
      <c r="BZ19" s="113" t="n"/>
      <c r="CA19" s="112" t="n"/>
      <c r="CB19" s="113" t="n"/>
      <c r="CC19" s="112" t="n"/>
      <c r="CD19" s="113" t="n"/>
      <c r="CE19" s="112" t="n"/>
      <c r="CF19" s="113" t="n"/>
      <c r="CG19" s="112" t="n"/>
      <c r="CH19" s="113" t="n"/>
      <c r="CI19" s="112" t="n"/>
      <c r="CJ19" s="113" t="n"/>
      <c r="CK19" s="112" t="n"/>
      <c r="CL19" s="113" t="n"/>
      <c r="CM19" s="114" t="n"/>
      <c r="CN19" s="115" t="n"/>
      <c r="CO19" s="116" t="n"/>
      <c r="CP19" s="115" t="n"/>
      <c r="CQ19" s="116" t="n"/>
      <c r="CR19" s="115" t="n"/>
      <c r="CS19" s="116" t="n"/>
      <c r="CT19" s="115" t="n"/>
      <c r="CU19" s="116" t="n"/>
      <c r="CV19" s="115" t="n"/>
      <c r="CW19" s="116" t="n"/>
      <c r="CX19" s="115" t="n"/>
      <c r="CY19" s="116" t="n"/>
      <c r="CZ19" s="115" t="n"/>
      <c r="DA19" s="116" t="n"/>
      <c r="DB19" s="115" t="n"/>
      <c r="DC19" s="116" t="n"/>
      <c r="DD19" s="117" t="n"/>
      <c r="DE19" s="118" t="n"/>
      <c r="DF19" s="119" t="n"/>
      <c r="DG19" s="118" t="n"/>
      <c r="DH19" s="119" t="n"/>
      <c r="DI19" s="118" t="n"/>
      <c r="DJ19" s="119" t="n"/>
      <c r="DK19" s="118" t="n"/>
      <c r="DL19" s="119" t="n"/>
      <c r="DM19" s="118" t="n"/>
      <c r="DN19" s="119" t="n"/>
      <c r="DO19" s="118" t="n"/>
      <c r="DP19" s="119" t="n"/>
      <c r="DQ19" s="118" t="n"/>
      <c r="DR19" s="119" t="n"/>
      <c r="DS19" s="118" t="n"/>
      <c r="DT19" s="119" t="n"/>
      <c r="DU19" s="120" t="n"/>
      <c r="DV19" s="121" t="n"/>
      <c r="DW19" s="122" t="n"/>
      <c r="DX19" s="121" t="n"/>
      <c r="DY19" s="122" t="n"/>
      <c r="DZ19" s="121" t="n"/>
      <c r="EA19" s="122" t="n"/>
      <c r="EB19" s="121" t="n"/>
      <c r="EC19" s="122" t="n"/>
      <c r="ED19" s="121" t="n"/>
      <c r="EE19" s="122" t="n"/>
      <c r="EF19" s="121" t="n"/>
      <c r="EG19" s="122" t="n"/>
      <c r="EH19" s="121" t="n"/>
      <c r="EI19" s="122" t="n"/>
      <c r="EJ19" s="121" t="n"/>
      <c r="EK19" s="122" t="n"/>
      <c r="EL19" s="123" t="n"/>
      <c r="EM19" s="124" t="n"/>
      <c r="EN19" s="125" t="n"/>
      <c r="EO19" s="124" t="n"/>
      <c r="EP19" s="125" t="n"/>
      <c r="EQ19" s="124" t="n"/>
      <c r="ER19" s="125" t="n"/>
      <c r="ES19" s="124" t="n"/>
      <c r="ET19" s="125" t="n"/>
      <c r="EU19" s="124" t="n"/>
      <c r="EV19" s="125" t="n"/>
      <c r="EW19" s="124" t="n"/>
      <c r="EX19" s="125" t="n"/>
      <c r="EY19" s="124" t="n"/>
      <c r="EZ19" s="125" t="n"/>
      <c r="FA19" s="124" t="n"/>
      <c r="FB19" s="125" t="n"/>
      <c r="FC19" s="126" t="n"/>
      <c r="FD19" s="127" t="n"/>
      <c r="FE19" s="128" t="n"/>
      <c r="FF19" s="127" t="n"/>
      <c r="FG19" s="128" t="n"/>
      <c r="FH19" s="127" t="n"/>
      <c r="FI19" s="128" t="n"/>
      <c r="FJ19" s="127" t="n"/>
      <c r="FK19" s="128" t="n"/>
      <c r="FL19" s="127" t="n"/>
      <c r="FM19" s="128" t="n"/>
      <c r="FN19" s="127" t="n"/>
      <c r="FO19" s="128" t="n"/>
      <c r="FP19" s="127" t="n"/>
      <c r="FQ19" s="128" t="n"/>
      <c r="FR19" s="127" t="n"/>
      <c r="FS19" s="128" t="n"/>
      <c r="FT19" s="129" t="n"/>
      <c r="FU19" s="130" t="n"/>
      <c r="FV19" s="131" t="n"/>
      <c r="FW19" s="130" t="n"/>
      <c r="FX19" s="131" t="n"/>
      <c r="FY19" s="130" t="n"/>
      <c r="FZ19" s="131" t="n"/>
      <c r="GA19" s="130" t="n"/>
      <c r="GB19" s="131" t="n"/>
      <c r="GC19" s="130" t="n"/>
      <c r="GD19" s="131" t="n"/>
      <c r="GE19" s="130" t="n"/>
      <c r="GF19" s="131" t="n"/>
      <c r="GG19" s="130" t="n"/>
      <c r="GH19" s="131" t="n"/>
      <c r="GI19" s="130" t="n"/>
      <c r="GJ19" s="131" t="n"/>
      <c r="GK19" s="132" t="n"/>
      <c r="GL19" s="133" t="n"/>
      <c r="GM19" s="134" t="n"/>
      <c r="GN19" s="133" t="n"/>
      <c r="GO19" s="134" t="n"/>
      <c r="GP19" s="133" t="n"/>
      <c r="GQ19" s="134" t="n"/>
      <c r="GR19" s="133" t="n"/>
      <c r="GS19" s="134" t="n"/>
      <c r="GT19" s="133" t="n"/>
      <c r="GU19" s="134" t="n"/>
      <c r="GV19" s="133" t="n"/>
      <c r="GW19" s="134" t="n"/>
      <c r="GX19" s="133" t="n"/>
      <c r="GY19" s="134" t="n"/>
      <c r="GZ19" s="133" t="n"/>
      <c r="HA19" s="134" t="n"/>
      <c r="HB19" s="135" t="n"/>
      <c r="HC19">
        <f>97-SUMPRODUCT(MAX(($G$4:$HB$4="ح")*($G19:$HB19=TRUE)*(97-$G$47:$HB$47)))</f>
        <v>97</v>
      </c>
      <c r="HD19">
        <f>SUMPRODUCT(($G$4:$HB$4="ح")*($G19:$HB19=TRUE)*($G$47:$HB$47&gt;$HC$1-8))</f>
        <v>0</v>
      </c>
      <c r="HE19">
        <f>(COUNTIF($G19:$V19,TRUE)&gt;0)*($W19&lt;&gt;TRUE)+(COUNTIF($X19:$AM19,TRUE)&gt;0)*($AN19&lt;&gt;TRUE)+(COUNTIF($AO19:$BD19,TRUE)&gt;0)*($BE19&lt;&gt;TRUE)+(COUNTIF($BF19:$BU19,TRUE)&gt;0)*($BV19&lt;&gt;TRUE)+(COUNTIF($BW19:$CL19,TRUE)&gt;0)*($CM19&lt;&gt;TRUE)+(COUNTIF($CN19:$DC19,TRUE)&gt;0)*($DD19&lt;&gt;TRUE)+(COUNTIF($DE19:$DT19,TRUE)&gt;0)*($DU19&lt;&gt;TRUE)+(COUNTIF($DV19:$EK19,TRUE)&gt;0)*($EL19&lt;&gt;TRUE)+(COUNTIF($EM19:$FB19,TRUE)&gt;0)*($FC19&lt;&gt;TRUE)+(COUNTIF($FD19:$FS19,TRUE)&gt;0)*($FT19&lt;&gt;TRUE)+(COUNTIF($FU19:$GJ19,TRUE)&gt;0)*($GK19&lt;&gt;TRUE)+(COUNTIF($GL19:$HA19,TRUE)&gt;0)*($HB19&lt;&gt;TRUE)</f>
        <v>0</v>
      </c>
      <c r="HF19">
        <f>IF($HE19=0,0,13-MAX((COUNTIF($G19:$V19,TRUE)&gt;0)*($W19&lt;&gt;TRUE)*12,(COUNTIF($X19:$AM19,TRUE)&gt;0)*($AN19&lt;&gt;TRUE)*11,(COUNTIF($AO19:$BD19,TRUE)&gt;0)*($BE19&lt;&gt;TRUE)*10,(COUNTIF($BF19:$BU19,TRUE)&gt;0)*($BV19&lt;&gt;TRUE)*9,(COUNTIF($BW19:$CL19,TRUE)&gt;0)*($CM19&lt;&gt;TRUE)*8,(COUNTIF($CN19:$DC19,TRUE)&gt;0)*($DD19&lt;&gt;TRUE)*7,(COUNTIF($DE19:$DT19,TRUE)&gt;0)*($DU19&lt;&gt;TRUE)*6,(COUNTIF($DV19:$EK19,TRUE)&gt;0)*($EL19&lt;&gt;TRUE)*5,(COUNTIF($EM19:$FB19,TRUE)&gt;0)*($FC19&lt;&gt;TRUE)*4,(COUNTIF($FD19:$FS19,TRUE)&gt;0)*($FT19&lt;&gt;TRUE)*3,(COUNTIF($FU19:$GJ19,TRUE)&gt;0)*($GK19&lt;&gt;TRUE)*2,(COUNTIF($GL19:$HA19,TRUE)&gt;0)*($HB19&lt;&gt;TRUE)*1))</f>
        <v>0</v>
      </c>
    </row>
    <row r="20" ht="16.5" customHeight="1">
      <c r="A20" s="36" t="inlineStr">
        <is>
          <t>العدد</t>
        </is>
      </c>
      <c r="B20" s="4" t="n"/>
      <c r="C20" s="136" t="n"/>
      <c r="D20" s="13" t="n"/>
      <c r="E20" s="13" t="n"/>
      <c r="F20" s="4" t="n"/>
      <c r="G20" s="137">
        <f>COUNTIF(G5:G19,TRUE)</f>
        <v>0</v>
      </c>
      <c r="H20" s="137">
        <f>COUNTIF(H5:H19,TRUE)</f>
        <v>0</v>
      </c>
      <c r="I20" s="137">
        <f>COUNTIF(I5:I19,TRUE)</f>
        <v>0</v>
      </c>
      <c r="J20" s="137">
        <f>COUNTIF(J5:J19,TRUE)</f>
        <v>0</v>
      </c>
      <c r="K20" s="137">
        <f>COUNTIF(K5:K19,TRUE)</f>
        <v>0</v>
      </c>
      <c r="L20" s="137">
        <f>COUNTIF(L5:L19,TRUE)</f>
        <v>0</v>
      </c>
      <c r="M20" s="137">
        <f>COUNTIF(M5:M19,TRUE)</f>
        <v>0</v>
      </c>
      <c r="N20" s="137">
        <f>COUNTIF(N5:N19,TRUE)</f>
        <v>0</v>
      </c>
      <c r="O20" s="137">
        <f>COUNTIF(O5:O19,TRUE)</f>
        <v>0</v>
      </c>
      <c r="P20" s="137">
        <f>COUNTIF(P5:P19,TRUE)</f>
        <v>0</v>
      </c>
      <c r="Q20" s="137">
        <f>COUNTIF(Q5:Q19,TRUE)</f>
        <v>0</v>
      </c>
      <c r="R20" s="137">
        <f>COUNTIF(R5:R19,TRUE)</f>
        <v>0</v>
      </c>
      <c r="S20" s="137">
        <f>COUNTIF(S5:S19,TRUE)</f>
        <v>0</v>
      </c>
      <c r="T20" s="137">
        <f>COUNTIF(T5:T19,TRUE)</f>
        <v>0</v>
      </c>
      <c r="U20" s="137">
        <f>COUNTIF(U5:U19,TRUE)</f>
        <v>0</v>
      </c>
      <c r="V20" s="137">
        <f>COUNTIF(V5:V19,TRUE)</f>
        <v>0</v>
      </c>
      <c r="W20" s="137">
        <f>COUNTIF(W5:W19,TRUE)</f>
        <v>0</v>
      </c>
      <c r="X20" s="137">
        <f>COUNTIF(X5:X19,TRUE)</f>
        <v>0</v>
      </c>
      <c r="Y20" s="137">
        <f>COUNTIF(Y5:Y19,TRUE)</f>
        <v>0</v>
      </c>
      <c r="Z20" s="137">
        <f>COUNTIF(Z5:Z19,TRUE)</f>
        <v>0</v>
      </c>
      <c r="AA20" s="137">
        <f>COUNTIF(AA5:AA19,TRUE)</f>
        <v>0</v>
      </c>
      <c r="AB20" s="137">
        <f>COUNTIF(AB5:AB19,TRUE)</f>
        <v>0</v>
      </c>
      <c r="AC20" s="137">
        <f>COUNTIF(AC5:AC19,TRUE)</f>
        <v>0</v>
      </c>
      <c r="AD20" s="137">
        <f>COUNTIF(AD5:AD19,TRUE)</f>
        <v>0</v>
      </c>
      <c r="AE20" s="137">
        <f>COUNTIF(AE5:AE19,TRUE)</f>
        <v>0</v>
      </c>
      <c r="AF20" s="137">
        <f>COUNTIF(AF5:AF19,TRUE)</f>
        <v>0</v>
      </c>
      <c r="AG20" s="137">
        <f>COUNTIF(AG5:AG19,TRUE)</f>
        <v>0</v>
      </c>
      <c r="AH20" s="137">
        <f>COUNTIF(AH5:AH19,TRUE)</f>
        <v>0</v>
      </c>
      <c r="AI20" s="137">
        <f>COUNTIF(AI5:AI19,TRUE)</f>
        <v>0</v>
      </c>
      <c r="AJ20" s="137">
        <f>COUNTIF(AJ5:AJ19,TRUE)</f>
        <v>0</v>
      </c>
      <c r="AK20" s="137">
        <f>COUNTIF(AK5:AK19,TRUE)</f>
        <v>0</v>
      </c>
      <c r="AL20" s="137">
        <f>COUNTIF(AL5:AL19,TRUE)</f>
        <v>0</v>
      </c>
      <c r="AM20" s="137">
        <f>COUNTIF(AM5:AM19,TRUE)</f>
        <v>0</v>
      </c>
      <c r="AN20" s="137">
        <f>COUNTIF(AN5:AN19,TRUE)</f>
        <v>0</v>
      </c>
      <c r="AO20" s="137">
        <f>COUNTIF(AO5:AO19,TRUE)</f>
        <v>0</v>
      </c>
      <c r="AP20" s="137">
        <f>COUNTIF(AP5:AP19,TRUE)</f>
        <v>0</v>
      </c>
      <c r="AQ20" s="137">
        <f>COUNTIF(AQ5:AQ19,TRUE)</f>
        <v>0</v>
      </c>
      <c r="AR20" s="137">
        <f>COUNTIF(AR5:AR19,TRUE)</f>
        <v>0</v>
      </c>
      <c r="AS20" s="137">
        <f>COUNTIF(AS5:AS19,TRUE)</f>
        <v>0</v>
      </c>
      <c r="AT20" s="137">
        <f>COUNTIF(AT5:AT19,TRUE)</f>
        <v>0</v>
      </c>
      <c r="AU20" s="137">
        <f>COUNTIF(AU5:AU19,TRUE)</f>
        <v>0</v>
      </c>
      <c r="AV20" s="137">
        <f>COUNTIF(AV5:AV19,TRUE)</f>
        <v>0</v>
      </c>
      <c r="AW20" s="137">
        <f>COUNTIF(AW5:AW19,TRUE)</f>
        <v>0</v>
      </c>
      <c r="AX20" s="137">
        <f>COUNTIF(AX5:AX19,TRUE)</f>
        <v>0</v>
      </c>
      <c r="AY20" s="137">
        <f>COUNTIF(AY5:AY19,TRUE)</f>
        <v>0</v>
      </c>
      <c r="AZ20" s="137">
        <f>COUNTIF(AZ5:AZ19,TRUE)</f>
        <v>0</v>
      </c>
      <c r="BA20" s="137">
        <f>COUNTIF(BA5:BA19,TRUE)</f>
        <v>0</v>
      </c>
      <c r="BB20" s="137">
        <f>COUNTIF(BB5:BB19,TRUE)</f>
        <v>0</v>
      </c>
      <c r="BC20" s="137">
        <f>COUNTIF(BC5:BC19,TRUE)</f>
        <v>0</v>
      </c>
      <c r="BD20" s="137">
        <f>COUNTIF(BD5:BD19,TRUE)</f>
        <v>0</v>
      </c>
      <c r="BE20" s="137">
        <f>COUNTIF(BE5:BE19,TRUE)</f>
        <v>0</v>
      </c>
      <c r="BF20" s="137">
        <f>COUNTIF(BF5:BF19,TRUE)</f>
        <v>0</v>
      </c>
      <c r="BG20" s="137">
        <f>COUNTIF(BG5:BG19,TRUE)</f>
        <v>0</v>
      </c>
      <c r="BH20" s="137">
        <f>COUNTIF(BH5:BH19,TRUE)</f>
        <v>0</v>
      </c>
      <c r="BI20" s="137">
        <f>COUNTIF(BI5:BI19,TRUE)</f>
        <v>0</v>
      </c>
      <c r="BJ20" s="137">
        <f>COUNTIF(BJ5:BJ19,TRUE)</f>
        <v>0</v>
      </c>
      <c r="BK20" s="137">
        <f>COUNTIF(BK5:BK19,TRUE)</f>
        <v>0</v>
      </c>
      <c r="BL20" s="137">
        <f>COUNTIF(BL5:BL19,TRUE)</f>
        <v>0</v>
      </c>
      <c r="BM20" s="137">
        <f>COUNTIF(BM5:BM19,TRUE)</f>
        <v>0</v>
      </c>
      <c r="BN20" s="137">
        <f>COUNTIF(BN5:BN19,TRUE)</f>
        <v>0</v>
      </c>
      <c r="BO20" s="137">
        <f>COUNTIF(BO5:BO19,TRUE)</f>
        <v>0</v>
      </c>
      <c r="BP20" s="137">
        <f>COUNTIF(BP5:BP19,TRUE)</f>
        <v>0</v>
      </c>
      <c r="BQ20" s="137">
        <f>COUNTIF(BQ5:BQ19,TRUE)</f>
        <v>0</v>
      </c>
      <c r="BR20" s="137">
        <f>COUNTIF(BR5:BR19,TRUE)</f>
        <v>0</v>
      </c>
      <c r="BS20" s="137">
        <f>COUNTIF(BS5:BS19,TRUE)</f>
        <v>0</v>
      </c>
      <c r="BT20" s="137">
        <f>COUNTIF(BT5:BT19,TRUE)</f>
        <v>0</v>
      </c>
      <c r="BU20" s="137">
        <f>COUNTIF(BU5:BU19,TRUE)</f>
        <v>0</v>
      </c>
      <c r="BV20" s="137">
        <f>COUNTIF(BV5:BV19,TRUE)</f>
        <v>0</v>
      </c>
      <c r="BW20" s="137">
        <f>COUNTIF(BW5:BW19,TRUE)</f>
        <v>0</v>
      </c>
      <c r="BX20" s="137">
        <f>COUNTIF(BX5:BX19,TRUE)</f>
        <v>0</v>
      </c>
      <c r="BY20" s="137">
        <f>COUNTIF(BY5:BY19,TRUE)</f>
        <v>0</v>
      </c>
      <c r="BZ20" s="137">
        <f>COUNTIF(BZ5:BZ19,TRUE)</f>
        <v>0</v>
      </c>
      <c r="CA20" s="137">
        <f>COUNTIF(CA5:CA19,TRUE)</f>
        <v>0</v>
      </c>
      <c r="CB20" s="137">
        <f>COUNTIF(CB5:CB19,TRUE)</f>
        <v>0</v>
      </c>
      <c r="CC20" s="137">
        <f>COUNTIF(CC5:CC19,TRUE)</f>
        <v>0</v>
      </c>
      <c r="CD20" s="137">
        <f>COUNTIF(CD5:CD19,TRUE)</f>
        <v>0</v>
      </c>
      <c r="CE20" s="137">
        <f>COUNTIF(CE5:CE19,TRUE)</f>
        <v>0</v>
      </c>
      <c r="CF20" s="137">
        <f>COUNTIF(CF5:CF19,TRUE)</f>
        <v>0</v>
      </c>
      <c r="CG20" s="137">
        <f>COUNTIF(CG5:CG19,TRUE)</f>
        <v>0</v>
      </c>
      <c r="CH20" s="137">
        <f>COUNTIF(CH5:CH19,TRUE)</f>
        <v>0</v>
      </c>
      <c r="CI20" s="137">
        <f>COUNTIF(CI5:CI19,TRUE)</f>
        <v>0</v>
      </c>
      <c r="CJ20" s="137">
        <f>COUNTIF(CJ5:CJ19,TRUE)</f>
        <v>0</v>
      </c>
      <c r="CK20" s="137">
        <f>COUNTIF(CK5:CK19,TRUE)</f>
        <v>0</v>
      </c>
      <c r="CL20" s="137">
        <f>COUNTIF(CL5:CL19,TRUE)</f>
        <v>0</v>
      </c>
      <c r="CM20" s="137">
        <f>COUNTIF(CM5:CM19,TRUE)</f>
        <v>0</v>
      </c>
      <c r="CN20" s="137">
        <f>COUNTIF(CN5:CN19,TRUE)</f>
        <v>0</v>
      </c>
      <c r="CO20" s="137">
        <f>COUNTIF(CO5:CO19,TRUE)</f>
        <v>0</v>
      </c>
      <c r="CP20" s="137">
        <f>COUNTIF(CP5:CP19,TRUE)</f>
        <v>0</v>
      </c>
      <c r="CQ20" s="137">
        <f>COUNTIF(CQ5:CQ19,TRUE)</f>
        <v>0</v>
      </c>
      <c r="CR20" s="137">
        <f>COUNTIF(CR5:CR19,TRUE)</f>
        <v>0</v>
      </c>
      <c r="CS20" s="137">
        <f>COUNTIF(CS5:CS19,TRUE)</f>
        <v>0</v>
      </c>
      <c r="CT20" s="137">
        <f>COUNTIF(CT5:CT19,TRUE)</f>
        <v>0</v>
      </c>
      <c r="CU20" s="137">
        <f>COUNTIF(CU5:CU19,TRUE)</f>
        <v>0</v>
      </c>
      <c r="CV20" s="137">
        <f>COUNTIF(CV5:CV19,TRUE)</f>
        <v>0</v>
      </c>
      <c r="CW20" s="137">
        <f>COUNTIF(CW5:CW19,TRUE)</f>
        <v>0</v>
      </c>
      <c r="CX20" s="137">
        <f>COUNTIF(CX5:CX19,TRUE)</f>
        <v>0</v>
      </c>
      <c r="CY20" s="137">
        <f>COUNTIF(CY5:CY19,TRUE)</f>
        <v>0</v>
      </c>
      <c r="CZ20" s="137">
        <f>COUNTIF(CZ5:CZ19,TRUE)</f>
        <v>0</v>
      </c>
      <c r="DA20" s="137">
        <f>COUNTIF(DA5:DA19,TRUE)</f>
        <v>0</v>
      </c>
      <c r="DB20" s="137">
        <f>COUNTIF(DB5:DB19,TRUE)</f>
        <v>0</v>
      </c>
      <c r="DC20" s="137">
        <f>COUNTIF(DC5:DC19,TRUE)</f>
        <v>0</v>
      </c>
      <c r="DD20" s="137">
        <f>COUNTIF(DD5:DD19,TRUE)</f>
        <v>0</v>
      </c>
      <c r="DE20" s="137">
        <f>COUNTIF(DE5:DE19,TRUE)</f>
        <v>0</v>
      </c>
      <c r="DF20" s="137">
        <f>COUNTIF(DF5:DF19,TRUE)</f>
        <v>0</v>
      </c>
      <c r="DG20" s="137">
        <f>COUNTIF(DG5:DG19,TRUE)</f>
        <v>0</v>
      </c>
      <c r="DH20" s="137">
        <f>COUNTIF(DH5:DH19,TRUE)</f>
        <v>0</v>
      </c>
      <c r="DI20" s="137">
        <f>COUNTIF(DI5:DI19,TRUE)</f>
        <v>0</v>
      </c>
      <c r="DJ20" s="137">
        <f>COUNTIF(DJ5:DJ19,TRUE)</f>
        <v>0</v>
      </c>
      <c r="DK20" s="137">
        <f>COUNTIF(DK5:DK19,TRUE)</f>
        <v>0</v>
      </c>
      <c r="DL20" s="137">
        <f>COUNTIF(DL5:DL19,TRUE)</f>
        <v>0</v>
      </c>
      <c r="DM20" s="137">
        <f>COUNTIF(DM5:DM19,TRUE)</f>
        <v>0</v>
      </c>
      <c r="DN20" s="137">
        <f>COUNTIF(DN5:DN19,TRUE)</f>
        <v>0</v>
      </c>
      <c r="DO20" s="137">
        <f>COUNTIF(DO5:DO19,TRUE)</f>
        <v>0</v>
      </c>
      <c r="DP20" s="137">
        <f>COUNTIF(DP5:DP19,TRUE)</f>
        <v>0</v>
      </c>
      <c r="DQ20" s="137">
        <f>COUNTIF(DQ5:DQ19,TRUE)</f>
        <v>0</v>
      </c>
      <c r="DR20" s="137">
        <f>COUNTIF(DR5:DR19,TRUE)</f>
        <v>0</v>
      </c>
      <c r="DS20" s="137">
        <f>COUNTIF(DS5:DS19,TRUE)</f>
        <v>0</v>
      </c>
      <c r="DT20" s="137">
        <f>COUNTIF(DT5:DT19,TRUE)</f>
        <v>0</v>
      </c>
      <c r="DU20" s="137">
        <f>COUNTIF(DU5:DU19,TRUE)</f>
        <v>0</v>
      </c>
      <c r="DV20" s="137">
        <f>COUNTIF(DV5:DV19,TRUE)</f>
        <v>0</v>
      </c>
      <c r="DW20" s="137">
        <f>COUNTIF(DW5:DW19,TRUE)</f>
        <v>0</v>
      </c>
      <c r="DX20" s="137">
        <f>COUNTIF(DX5:DX19,TRUE)</f>
        <v>0</v>
      </c>
      <c r="DY20" s="137">
        <f>COUNTIF(DY5:DY19,TRUE)</f>
        <v>0</v>
      </c>
      <c r="DZ20" s="137">
        <f>COUNTIF(DZ5:DZ19,TRUE)</f>
        <v>0</v>
      </c>
      <c r="EA20" s="137">
        <f>COUNTIF(EA5:EA19,TRUE)</f>
        <v>0</v>
      </c>
      <c r="EB20" s="137">
        <f>COUNTIF(EB5:EB19,TRUE)</f>
        <v>0</v>
      </c>
      <c r="EC20" s="137">
        <f>COUNTIF(EC5:EC19,TRUE)</f>
        <v>0</v>
      </c>
      <c r="ED20" s="137">
        <f>COUNTIF(ED5:ED19,TRUE)</f>
        <v>0</v>
      </c>
      <c r="EE20" s="137">
        <f>COUNTIF(EE5:EE19,TRUE)</f>
        <v>0</v>
      </c>
      <c r="EF20" s="137">
        <f>COUNTIF(EF5:EF19,TRUE)</f>
        <v>0</v>
      </c>
      <c r="EG20" s="137">
        <f>COUNTIF(EG5:EG19,TRUE)</f>
        <v>0</v>
      </c>
      <c r="EH20" s="137">
        <f>COUNTIF(EH5:EH19,TRUE)</f>
        <v>0</v>
      </c>
      <c r="EI20" s="137">
        <f>COUNTIF(EI5:EI19,TRUE)</f>
        <v>0</v>
      </c>
      <c r="EJ20" s="137">
        <f>COUNTIF(EJ5:EJ19,TRUE)</f>
        <v>0</v>
      </c>
      <c r="EK20" s="137">
        <f>COUNTIF(EK5:EK19,TRUE)</f>
        <v>0</v>
      </c>
      <c r="EL20" s="137">
        <f>COUNTIF(EL5:EL19,TRUE)</f>
        <v>0</v>
      </c>
      <c r="EM20" s="137">
        <f>COUNTIF(EM5:EM19,TRUE)</f>
        <v>0</v>
      </c>
      <c r="EN20" s="137">
        <f>COUNTIF(EN5:EN19,TRUE)</f>
        <v>0</v>
      </c>
      <c r="EO20" s="137">
        <f>COUNTIF(EO5:EO19,TRUE)</f>
        <v>0</v>
      </c>
      <c r="EP20" s="137">
        <f>COUNTIF(EP5:EP19,TRUE)</f>
        <v>0</v>
      </c>
      <c r="EQ20" s="137">
        <f>COUNTIF(EQ5:EQ19,TRUE)</f>
        <v>0</v>
      </c>
      <c r="ER20" s="137">
        <f>COUNTIF(ER5:ER19,TRUE)</f>
        <v>0</v>
      </c>
      <c r="ES20" s="137">
        <f>COUNTIF(ES5:ES19,TRUE)</f>
        <v>0</v>
      </c>
      <c r="ET20" s="137">
        <f>COUNTIF(ET5:ET19,TRUE)</f>
        <v>0</v>
      </c>
      <c r="EU20" s="137">
        <f>COUNTIF(EU5:EU19,TRUE)</f>
        <v>0</v>
      </c>
      <c r="EV20" s="137">
        <f>COUNTIF(EV5:EV19,TRUE)</f>
        <v>0</v>
      </c>
      <c r="EW20" s="137">
        <f>COUNTIF(EW5:EW19,TRUE)</f>
        <v>0</v>
      </c>
      <c r="EX20" s="137">
        <f>COUNTIF(EX5:EX19,TRUE)</f>
        <v>0</v>
      </c>
      <c r="EY20" s="137">
        <f>COUNTIF(EY5:EY19,TRUE)</f>
        <v>0</v>
      </c>
      <c r="EZ20" s="137">
        <f>COUNTIF(EZ5:EZ19,TRUE)</f>
        <v>0</v>
      </c>
      <c r="FA20" s="137">
        <f>COUNTIF(FA5:FA19,TRUE)</f>
        <v>0</v>
      </c>
      <c r="FB20" s="137">
        <f>COUNTIF(FB5:FB19,TRUE)</f>
        <v>0</v>
      </c>
      <c r="FC20" s="137">
        <f>COUNTIF(FC5:FC19,TRUE)</f>
        <v>0</v>
      </c>
      <c r="FD20" s="137">
        <f>COUNTIF(FD5:FD19,TRUE)</f>
        <v>0</v>
      </c>
      <c r="FE20" s="137">
        <f>COUNTIF(FE5:FE19,TRUE)</f>
        <v>0</v>
      </c>
      <c r="FF20" s="137">
        <f>COUNTIF(FF5:FF19,TRUE)</f>
        <v>0</v>
      </c>
      <c r="FG20" s="137">
        <f>COUNTIF(FG5:FG19,TRUE)</f>
        <v>0</v>
      </c>
      <c r="FH20" s="137">
        <f>COUNTIF(FH5:FH19,TRUE)</f>
        <v>0</v>
      </c>
      <c r="FI20" s="137">
        <f>COUNTIF(FI5:FI19,TRUE)</f>
        <v>0</v>
      </c>
      <c r="FJ20" s="137">
        <f>COUNTIF(FJ5:FJ19,TRUE)</f>
        <v>0</v>
      </c>
      <c r="FK20" s="137">
        <f>COUNTIF(FK5:FK19,TRUE)</f>
        <v>0</v>
      </c>
      <c r="FL20" s="137">
        <f>COUNTIF(FL5:FL19,TRUE)</f>
        <v>0</v>
      </c>
      <c r="FM20" s="137">
        <f>COUNTIF(FM5:FM19,TRUE)</f>
        <v>0</v>
      </c>
      <c r="FN20" s="137">
        <f>COUNTIF(FN5:FN19,TRUE)</f>
        <v>0</v>
      </c>
      <c r="FO20" s="137">
        <f>COUNTIF(FO5:FO19,TRUE)</f>
        <v>0</v>
      </c>
      <c r="FP20" s="137">
        <f>COUNTIF(FP5:FP19,TRUE)</f>
        <v>0</v>
      </c>
      <c r="FQ20" s="137">
        <f>COUNTIF(FQ5:FQ19,TRUE)</f>
        <v>0</v>
      </c>
      <c r="FR20" s="137">
        <f>COUNTIF(FR5:FR19,TRUE)</f>
        <v>0</v>
      </c>
      <c r="FS20" s="137">
        <f>COUNTIF(FS5:FS19,TRUE)</f>
        <v>0</v>
      </c>
      <c r="FT20" s="137">
        <f>COUNTIF(FT5:FT19,TRUE)</f>
        <v>0</v>
      </c>
      <c r="FU20" s="137">
        <f>COUNTIF(FU5:FU19,TRUE)</f>
        <v>0</v>
      </c>
      <c r="FV20" s="137">
        <f>COUNTIF(FV5:FV19,TRUE)</f>
        <v>0</v>
      </c>
      <c r="FW20" s="137">
        <f>COUNTIF(FW5:FW19,TRUE)</f>
        <v>0</v>
      </c>
      <c r="FX20" s="137">
        <f>COUNTIF(FX5:FX19,TRUE)</f>
        <v>0</v>
      </c>
      <c r="FY20" s="137">
        <f>COUNTIF(FY5:FY19,TRUE)</f>
        <v>0</v>
      </c>
      <c r="FZ20" s="137">
        <f>COUNTIF(FZ5:FZ19,TRUE)</f>
        <v>0</v>
      </c>
      <c r="GA20" s="137">
        <f>COUNTIF(GA5:GA19,TRUE)</f>
        <v>0</v>
      </c>
      <c r="GB20" s="137">
        <f>COUNTIF(GB5:GB19,TRUE)</f>
        <v>0</v>
      </c>
      <c r="GC20" s="137">
        <f>COUNTIF(GC5:GC19,TRUE)</f>
        <v>0</v>
      </c>
      <c r="GD20" s="137">
        <f>COUNTIF(GD5:GD19,TRUE)</f>
        <v>0</v>
      </c>
      <c r="GE20" s="137">
        <f>COUNTIF(GE5:GE19,TRUE)</f>
        <v>0</v>
      </c>
      <c r="GF20" s="137">
        <f>COUNTIF(GF5:GF19,TRUE)</f>
        <v>0</v>
      </c>
      <c r="GG20" s="137">
        <f>COUNTIF(GG5:GG19,TRUE)</f>
        <v>0</v>
      </c>
      <c r="GH20" s="137">
        <f>COUNTIF(GH5:GH19,TRUE)</f>
        <v>0</v>
      </c>
      <c r="GI20" s="137">
        <f>COUNTIF(GI5:GI19,TRUE)</f>
        <v>0</v>
      </c>
      <c r="GJ20" s="137">
        <f>COUNTIF(GJ5:GJ19,TRUE)</f>
        <v>0</v>
      </c>
      <c r="GK20" s="137">
        <f>COUNTIF(GK5:GK19,TRUE)</f>
        <v>0</v>
      </c>
      <c r="GL20" s="137">
        <f>COUNTIF(GL5:GL19,TRUE)</f>
        <v>0</v>
      </c>
      <c r="GM20" s="137">
        <f>COUNTIF(GM5:GM19,TRUE)</f>
        <v>0</v>
      </c>
      <c r="GN20" s="137">
        <f>COUNTIF(GN5:GN19,TRUE)</f>
        <v>0</v>
      </c>
      <c r="GO20" s="137">
        <f>COUNTIF(GO5:GO19,TRUE)</f>
        <v>0</v>
      </c>
      <c r="GP20" s="137">
        <f>COUNTIF(GP5:GP19,TRUE)</f>
        <v>0</v>
      </c>
      <c r="GQ20" s="137">
        <f>COUNTIF(GQ5:GQ19,TRUE)</f>
        <v>0</v>
      </c>
      <c r="GR20" s="137">
        <f>COUNTIF(GR5:GR19,TRUE)</f>
        <v>0</v>
      </c>
      <c r="GS20" s="137">
        <f>COUNTIF(GS5:GS19,TRUE)</f>
        <v>0</v>
      </c>
      <c r="GT20" s="137">
        <f>COUNTIF(GT5:GT19,TRUE)</f>
        <v>0</v>
      </c>
      <c r="GU20" s="137">
        <f>COUNTIF(GU5:GU19,TRUE)</f>
        <v>0</v>
      </c>
      <c r="GV20" s="137">
        <f>COUNTIF(GV5:GV19,TRUE)</f>
        <v>0</v>
      </c>
      <c r="GW20" s="137">
        <f>COUNTIF(GW5:GW19,TRUE)</f>
        <v>0</v>
      </c>
      <c r="GX20" s="137">
        <f>COUNTIF(GX5:GX19,TRUE)</f>
        <v>0</v>
      </c>
      <c r="GY20" s="137">
        <f>COUNTIF(GY5:GY19,TRUE)</f>
        <v>0</v>
      </c>
      <c r="GZ20" s="137">
        <f>COUNTIF(GZ5:GZ19,TRUE)</f>
        <v>0</v>
      </c>
      <c r="HA20" s="137">
        <f>COUNTIF(HA5:HA19,TRUE)</f>
        <v>0</v>
      </c>
      <c r="HB20" s="137">
        <f>COUNTIF(HB5:HB19,TRUE)</f>
        <v>0</v>
      </c>
    </row>
    <row r="21" ht="7.5" customHeight="1"/>
    <row r="22" ht="15" customHeight="1">
      <c r="A22" s="138" t="inlineStr">
        <is>
          <t>الحصة الجاية: هنعمل إيه؟</t>
        </is>
      </c>
      <c r="B22" s="4" t="n"/>
      <c r="C22" s="138" t="inlineStr">
        <is>
          <t>ميعادها حسب صفحة المواعيد</t>
        </is>
      </c>
      <c r="D22" s="13" t="n"/>
      <c r="E22" s="13" t="n"/>
      <c r="F22" s="4" t="n"/>
    </row>
    <row r="23" ht="42" customHeight="1">
      <c r="A23" s="139" t="n"/>
      <c r="B23" s="4" t="n"/>
      <c r="C23" s="140" t="str">
        <f>IF($HF$4="","مفيش ميعاد للمجموعة دي في صفحة المواعيد",$HF$4)</f>
        <v>مفيش ميعاد للمجموعة دي في صفحة المواعيد</v>
      </c>
      <c r="D23" s="13" t="n"/>
      <c r="E23" s="13" t="n"/>
      <c r="F23" s="4" t="n"/>
    </row>
    <row r="24" ht="15" customHeight="1">
      <c r="A24" s="138" t="inlineStr">
        <is>
          <t>ميعاد مختلف؟ (اختياري)</t>
        </is>
      </c>
      <c r="B24" s="4" t="n"/>
      <c r="C24" s="141" t="inlineStr">
        <is>
          <t>لو الحصة اتأجلت أو في حصة إضافية، اكتبي ميعادها في الخانة البيضا</t>
        </is>
      </c>
      <c r="D24" s="42" t="n"/>
      <c r="E24" s="42" t="n"/>
      <c r="F24" s="43" t="n"/>
    </row>
    <row r="25" ht="22.5" customHeight="1">
      <c r="A25" s="139" t="n"/>
      <c r="B25" s="4" t="n"/>
      <c r="C25" s="71" t="n"/>
      <c r="D25" s="73" t="n"/>
      <c r="E25" s="73" t="n"/>
      <c r="F25" s="72" t="n"/>
    </row>
    <row r="26" ht="10.5" customHeight="1"/>
    <row r="27" ht="21" customHeight="1">
      <c r="A27" s="76" t="inlineStr">
        <is>
          <t>الدرجات · نوع الامتحان</t>
        </is>
      </c>
      <c r="B27" s="4" t="n"/>
      <c r="C27" s="142" t="inlineStr">
        <is>
          <t>النسبة والترتيب على:</t>
        </is>
      </c>
      <c r="D27" s="13" t="n"/>
      <c r="E27" s="4" t="n"/>
      <c r="F27" s="15" t="inlineStr">
        <is>
          <t>الكل</t>
        </is>
      </c>
      <c r="G27" s="143" t="n"/>
      <c r="H27" s="4" t="n"/>
      <c r="I27" s="143" t="n"/>
      <c r="J27" s="4" t="n"/>
      <c r="K27" s="143" t="n"/>
      <c r="L27" s="4" t="n"/>
      <c r="M27" s="143" t="n"/>
      <c r="N27" s="4" t="n"/>
      <c r="O27" s="143" t="n"/>
      <c r="P27" s="4" t="n"/>
      <c r="Q27" s="143" t="n"/>
      <c r="R27" s="4" t="n"/>
      <c r="S27" s="143" t="n"/>
      <c r="T27" s="4" t="n"/>
      <c r="U27" s="143" t="n"/>
      <c r="V27" s="4" t="n"/>
      <c r="W27" s="144" t="inlineStr">
        <is>
          <t>ملاحظات
(سبب الغياب)</t>
        </is>
      </c>
      <c r="X27" s="143" t="n"/>
      <c r="Y27" s="4" t="n"/>
      <c r="Z27" s="143" t="n"/>
      <c r="AA27" s="4" t="n"/>
      <c r="AB27" s="143" t="n"/>
      <c r="AC27" s="4" t="n"/>
      <c r="AD27" s="143" t="n"/>
      <c r="AE27" s="4" t="n"/>
      <c r="AF27" s="143" t="n"/>
      <c r="AG27" s="4" t="n"/>
      <c r="AH27" s="143" t="n"/>
      <c r="AI27" s="4" t="n"/>
      <c r="AJ27" s="143" t="n"/>
      <c r="AK27" s="4" t="n"/>
      <c r="AL27" s="143" t="n"/>
      <c r="AM27" s="4" t="n"/>
      <c r="AN27" s="145" t="inlineStr">
        <is>
          <t>ملاحظات
(سبب الغياب)</t>
        </is>
      </c>
      <c r="AO27" s="143" t="n"/>
      <c r="AP27" s="4" t="n"/>
      <c r="AQ27" s="143" t="n"/>
      <c r="AR27" s="4" t="n"/>
      <c r="AS27" s="143" t="n"/>
      <c r="AT27" s="4" t="n"/>
      <c r="AU27" s="143" t="n"/>
      <c r="AV27" s="4" t="n"/>
      <c r="AW27" s="143" t="n"/>
      <c r="AX27" s="4" t="n"/>
      <c r="AY27" s="143" t="n"/>
      <c r="AZ27" s="4" t="n"/>
      <c r="BA27" s="143" t="n"/>
      <c r="BB27" s="4" t="n"/>
      <c r="BC27" s="143" t="n"/>
      <c r="BD27" s="4" t="n"/>
      <c r="BE27" s="146" t="inlineStr">
        <is>
          <t>ملاحظات
(سبب الغياب)</t>
        </is>
      </c>
      <c r="BF27" s="143" t="n"/>
      <c r="BG27" s="4" t="n"/>
      <c r="BH27" s="143" t="n"/>
      <c r="BI27" s="4" t="n"/>
      <c r="BJ27" s="143" t="n"/>
      <c r="BK27" s="4" t="n"/>
      <c r="BL27" s="143" t="n"/>
      <c r="BM27" s="4" t="n"/>
      <c r="BN27" s="143" t="n"/>
      <c r="BO27" s="4" t="n"/>
      <c r="BP27" s="143" t="n"/>
      <c r="BQ27" s="4" t="n"/>
      <c r="BR27" s="143" t="n"/>
      <c r="BS27" s="4" t="n"/>
      <c r="BT27" s="143" t="n"/>
      <c r="BU27" s="4" t="n"/>
      <c r="BV27" s="147" t="inlineStr">
        <is>
          <t>ملاحظات
(سبب الغياب)</t>
        </is>
      </c>
      <c r="BW27" s="143" t="n"/>
      <c r="BX27" s="4" t="n"/>
      <c r="BY27" s="143" t="n"/>
      <c r="BZ27" s="4" t="n"/>
      <c r="CA27" s="143" t="n"/>
      <c r="CB27" s="4" t="n"/>
      <c r="CC27" s="143" t="n"/>
      <c r="CD27" s="4" t="n"/>
      <c r="CE27" s="143" t="n"/>
      <c r="CF27" s="4" t="n"/>
      <c r="CG27" s="143" t="n"/>
      <c r="CH27" s="4" t="n"/>
      <c r="CI27" s="143" t="n"/>
      <c r="CJ27" s="4" t="n"/>
      <c r="CK27" s="143" t="n"/>
      <c r="CL27" s="4" t="n"/>
      <c r="CM27" s="148" t="inlineStr">
        <is>
          <t>ملاحظات
(سبب الغياب)</t>
        </is>
      </c>
      <c r="CN27" s="143" t="n"/>
      <c r="CO27" s="4" t="n"/>
      <c r="CP27" s="143" t="n"/>
      <c r="CQ27" s="4" t="n"/>
      <c r="CR27" s="143" t="n"/>
      <c r="CS27" s="4" t="n"/>
      <c r="CT27" s="143" t="n"/>
      <c r="CU27" s="4" t="n"/>
      <c r="CV27" s="143" t="n"/>
      <c r="CW27" s="4" t="n"/>
      <c r="CX27" s="143" t="n"/>
      <c r="CY27" s="4" t="n"/>
      <c r="CZ27" s="143" t="n"/>
      <c r="DA27" s="4" t="n"/>
      <c r="DB27" s="143" t="n"/>
      <c r="DC27" s="4" t="n"/>
      <c r="DD27" s="149" t="inlineStr">
        <is>
          <t>ملاحظات
(سبب الغياب)</t>
        </is>
      </c>
      <c r="DE27" s="143" t="n"/>
      <c r="DF27" s="4" t="n"/>
      <c r="DG27" s="143" t="n"/>
      <c r="DH27" s="4" t="n"/>
      <c r="DI27" s="143" t="n"/>
      <c r="DJ27" s="4" t="n"/>
      <c r="DK27" s="143" t="n"/>
      <c r="DL27" s="4" t="n"/>
      <c r="DM27" s="143" t="n"/>
      <c r="DN27" s="4" t="n"/>
      <c r="DO27" s="143" t="n"/>
      <c r="DP27" s="4" t="n"/>
      <c r="DQ27" s="143" t="n"/>
      <c r="DR27" s="4" t="n"/>
      <c r="DS27" s="143" t="n"/>
      <c r="DT27" s="4" t="n"/>
      <c r="DU27" s="150" t="inlineStr">
        <is>
          <t>ملاحظات
(سبب الغياب)</t>
        </is>
      </c>
      <c r="DV27" s="143" t="n"/>
      <c r="DW27" s="4" t="n"/>
      <c r="DX27" s="143" t="n"/>
      <c r="DY27" s="4" t="n"/>
      <c r="DZ27" s="143" t="n"/>
      <c r="EA27" s="4" t="n"/>
      <c r="EB27" s="143" t="n"/>
      <c r="EC27" s="4" t="n"/>
      <c r="ED27" s="143" t="n"/>
      <c r="EE27" s="4" t="n"/>
      <c r="EF27" s="143" t="n"/>
      <c r="EG27" s="4" t="n"/>
      <c r="EH27" s="143" t="n"/>
      <c r="EI27" s="4" t="n"/>
      <c r="EJ27" s="143" t="n"/>
      <c r="EK27" s="4" t="n"/>
      <c r="EL27" s="151" t="inlineStr">
        <is>
          <t>ملاحظات
(سبب الغياب)</t>
        </is>
      </c>
      <c r="EM27" s="143" t="n"/>
      <c r="EN27" s="4" t="n"/>
      <c r="EO27" s="143" t="n"/>
      <c r="EP27" s="4" t="n"/>
      <c r="EQ27" s="143" t="n"/>
      <c r="ER27" s="4" t="n"/>
      <c r="ES27" s="143" t="n"/>
      <c r="ET27" s="4" t="n"/>
      <c r="EU27" s="143" t="n"/>
      <c r="EV27" s="4" t="n"/>
      <c r="EW27" s="143" t="n"/>
      <c r="EX27" s="4" t="n"/>
      <c r="EY27" s="143" t="n"/>
      <c r="EZ27" s="4" t="n"/>
      <c r="FA27" s="143" t="n"/>
      <c r="FB27" s="4" t="n"/>
      <c r="FC27" s="152" t="inlineStr">
        <is>
          <t>ملاحظات
(سبب الغياب)</t>
        </is>
      </c>
      <c r="FD27" s="143" t="n"/>
      <c r="FE27" s="4" t="n"/>
      <c r="FF27" s="143" t="n"/>
      <c r="FG27" s="4" t="n"/>
      <c r="FH27" s="143" t="n"/>
      <c r="FI27" s="4" t="n"/>
      <c r="FJ27" s="143" t="n"/>
      <c r="FK27" s="4" t="n"/>
      <c r="FL27" s="143" t="n"/>
      <c r="FM27" s="4" t="n"/>
      <c r="FN27" s="143" t="n"/>
      <c r="FO27" s="4" t="n"/>
      <c r="FP27" s="143" t="n"/>
      <c r="FQ27" s="4" t="n"/>
      <c r="FR27" s="143" t="n"/>
      <c r="FS27" s="4" t="n"/>
      <c r="FT27" s="153" t="inlineStr">
        <is>
          <t>ملاحظات
(سبب الغياب)</t>
        </is>
      </c>
      <c r="FU27" s="143" t="n"/>
      <c r="FV27" s="4" t="n"/>
      <c r="FW27" s="143" t="n"/>
      <c r="FX27" s="4" t="n"/>
      <c r="FY27" s="143" t="n"/>
      <c r="FZ27" s="4" t="n"/>
      <c r="GA27" s="143" t="n"/>
      <c r="GB27" s="4" t="n"/>
      <c r="GC27" s="143" t="n"/>
      <c r="GD27" s="4" t="n"/>
      <c r="GE27" s="143" t="n"/>
      <c r="GF27" s="4" t="n"/>
      <c r="GG27" s="143" t="n"/>
      <c r="GH27" s="4" t="n"/>
      <c r="GI27" s="143" t="n"/>
      <c r="GJ27" s="4" t="n"/>
      <c r="GK27" s="154" t="inlineStr">
        <is>
          <t>ملاحظات
(سبب الغياب)</t>
        </is>
      </c>
      <c r="GL27" s="143" t="n"/>
      <c r="GM27" s="4" t="n"/>
      <c r="GN27" s="143" t="n"/>
      <c r="GO27" s="4" t="n"/>
      <c r="GP27" s="143" t="n"/>
      <c r="GQ27" s="4" t="n"/>
      <c r="GR27" s="143" t="n"/>
      <c r="GS27" s="4" t="n"/>
      <c r="GT27" s="143" t="n"/>
      <c r="GU27" s="4" t="n"/>
      <c r="GV27" s="143" t="n"/>
      <c r="GW27" s="4" t="n"/>
      <c r="GX27" s="143" t="n"/>
      <c r="GY27" s="4" t="n"/>
      <c r="GZ27" s="143" t="n"/>
      <c r="HA27" s="4" t="n"/>
      <c r="HB27" s="155" t="inlineStr">
        <is>
          <t>ملاحظات
(سبب الغياب)</t>
        </is>
      </c>
    </row>
    <row r="28" ht="21" customHeight="1">
      <c r="A28" s="142" t="inlineStr">
        <is>
          <t>الدرجة النهائية (من كام)</t>
        </is>
      </c>
      <c r="B28" s="4" t="n"/>
      <c r="C28" s="156" t="inlineStr">
        <is>
          <t>الدرجة ما بتتحسبش من غير نهائية</t>
        </is>
      </c>
      <c r="D28" s="13" t="n"/>
      <c r="E28" s="13" t="n"/>
      <c r="F28" s="4" t="n"/>
      <c r="G28" s="15" t="n"/>
      <c r="H28" s="15" t="n"/>
      <c r="I28" s="15" t="n"/>
      <c r="J28" s="15" t="n"/>
      <c r="K28" s="15" t="n"/>
      <c r="L28" s="15" t="n"/>
      <c r="M28" s="15" t="n"/>
      <c r="N28" s="15" t="n"/>
      <c r="O28" s="15" t="n"/>
      <c r="P28" s="15" t="n"/>
      <c r="Q28" s="15" t="n"/>
      <c r="R28" s="15" t="n"/>
      <c r="S28" s="15" t="n"/>
      <c r="T28" s="15" t="n"/>
      <c r="U28" s="15" t="n"/>
      <c r="V28" s="15" t="n"/>
      <c r="W28" s="75" t="n"/>
      <c r="X28" s="15" t="n"/>
      <c r="Y28" s="15" t="n"/>
      <c r="Z28" s="15" t="n"/>
      <c r="AA28" s="15" t="n"/>
      <c r="AB28" s="15" t="n"/>
      <c r="AC28" s="15" t="n"/>
      <c r="AD28" s="15" t="n"/>
      <c r="AE28" s="15" t="n"/>
      <c r="AF28" s="15" t="n"/>
      <c r="AG28" s="15" t="n"/>
      <c r="AH28" s="15" t="n"/>
      <c r="AI28" s="15" t="n"/>
      <c r="AJ28" s="15" t="n"/>
      <c r="AK28" s="15" t="n"/>
      <c r="AL28" s="15" t="n"/>
      <c r="AM28" s="15" t="n"/>
      <c r="AN28" s="75" t="n"/>
      <c r="AO28" s="15" t="n"/>
      <c r="AP28" s="15" t="n"/>
      <c r="AQ28" s="15" t="n"/>
      <c r="AR28" s="15" t="n"/>
      <c r="AS28" s="15" t="n"/>
      <c r="AT28" s="15" t="n"/>
      <c r="AU28" s="15" t="n"/>
      <c r="AV28" s="15" t="n"/>
      <c r="AW28" s="15" t="n"/>
      <c r="AX28" s="15" t="n"/>
      <c r="AY28" s="15" t="n"/>
      <c r="AZ28" s="15" t="n"/>
      <c r="BA28" s="15" t="n"/>
      <c r="BB28" s="15" t="n"/>
      <c r="BC28" s="15" t="n"/>
      <c r="BD28" s="15" t="n"/>
      <c r="BE28" s="75" t="n"/>
      <c r="BF28" s="15" t="n"/>
      <c r="BG28" s="15" t="n"/>
      <c r="BH28" s="15" t="n"/>
      <c r="BI28" s="15" t="n"/>
      <c r="BJ28" s="15" t="n"/>
      <c r="BK28" s="15" t="n"/>
      <c r="BL28" s="15" t="n"/>
      <c r="BM28" s="15" t="n"/>
      <c r="BN28" s="15" t="n"/>
      <c r="BO28" s="15" t="n"/>
      <c r="BP28" s="15" t="n"/>
      <c r="BQ28" s="15" t="n"/>
      <c r="BR28" s="15" t="n"/>
      <c r="BS28" s="15" t="n"/>
      <c r="BT28" s="15" t="n"/>
      <c r="BU28" s="15" t="n"/>
      <c r="BV28" s="75" t="n"/>
      <c r="BW28" s="15" t="n"/>
      <c r="BX28" s="15" t="n"/>
      <c r="BY28" s="15" t="n"/>
      <c r="BZ28" s="15" t="n"/>
      <c r="CA28" s="15" t="n"/>
      <c r="CB28" s="15" t="n"/>
      <c r="CC28" s="15" t="n"/>
      <c r="CD28" s="15" t="n"/>
      <c r="CE28" s="15" t="n"/>
      <c r="CF28" s="15" t="n"/>
      <c r="CG28" s="15" t="n"/>
      <c r="CH28" s="15" t="n"/>
      <c r="CI28" s="15" t="n"/>
      <c r="CJ28" s="15" t="n"/>
      <c r="CK28" s="15" t="n"/>
      <c r="CL28" s="15" t="n"/>
      <c r="CM28" s="75" t="n"/>
      <c r="CN28" s="15" t="n"/>
      <c r="CO28" s="15" t="n"/>
      <c r="CP28" s="15" t="n"/>
      <c r="CQ28" s="15" t="n"/>
      <c r="CR28" s="15" t="n"/>
      <c r="CS28" s="15" t="n"/>
      <c r="CT28" s="15" t="n"/>
      <c r="CU28" s="15" t="n"/>
      <c r="CV28" s="15" t="n"/>
      <c r="CW28" s="15" t="n"/>
      <c r="CX28" s="15" t="n"/>
      <c r="CY28" s="15" t="n"/>
      <c r="CZ28" s="15" t="n"/>
      <c r="DA28" s="15" t="n"/>
      <c r="DB28" s="15" t="n"/>
      <c r="DC28" s="15" t="n"/>
      <c r="DD28" s="75" t="n"/>
      <c r="DE28" s="15" t="n"/>
      <c r="DF28" s="15" t="n"/>
      <c r="DG28" s="15" t="n"/>
      <c r="DH28" s="15" t="n"/>
      <c r="DI28" s="15" t="n"/>
      <c r="DJ28" s="15" t="n"/>
      <c r="DK28" s="15" t="n"/>
      <c r="DL28" s="15" t="n"/>
      <c r="DM28" s="15" t="n"/>
      <c r="DN28" s="15" t="n"/>
      <c r="DO28" s="15" t="n"/>
      <c r="DP28" s="15" t="n"/>
      <c r="DQ28" s="15" t="n"/>
      <c r="DR28" s="15" t="n"/>
      <c r="DS28" s="15" t="n"/>
      <c r="DT28" s="15" t="n"/>
      <c r="DU28" s="75" t="n"/>
      <c r="DV28" s="15" t="n"/>
      <c r="DW28" s="15" t="n"/>
      <c r="DX28" s="15" t="n"/>
      <c r="DY28" s="15" t="n"/>
      <c r="DZ28" s="15" t="n"/>
      <c r="EA28" s="15" t="n"/>
      <c r="EB28" s="15" t="n"/>
      <c r="EC28" s="15" t="n"/>
      <c r="ED28" s="15" t="n"/>
      <c r="EE28" s="15" t="n"/>
      <c r="EF28" s="15" t="n"/>
      <c r="EG28" s="15" t="n"/>
      <c r="EH28" s="15" t="n"/>
      <c r="EI28" s="15" t="n"/>
      <c r="EJ28" s="15" t="n"/>
      <c r="EK28" s="15" t="n"/>
      <c r="EL28" s="75" t="n"/>
      <c r="EM28" s="15" t="n"/>
      <c r="EN28" s="15" t="n"/>
      <c r="EO28" s="15" t="n"/>
      <c r="EP28" s="15" t="n"/>
      <c r="EQ28" s="15" t="n"/>
      <c r="ER28" s="15" t="n"/>
      <c r="ES28" s="15" t="n"/>
      <c r="ET28" s="15" t="n"/>
      <c r="EU28" s="15" t="n"/>
      <c r="EV28" s="15" t="n"/>
      <c r="EW28" s="15" t="n"/>
      <c r="EX28" s="15" t="n"/>
      <c r="EY28" s="15" t="n"/>
      <c r="EZ28" s="15" t="n"/>
      <c r="FA28" s="15" t="n"/>
      <c r="FB28" s="15" t="n"/>
      <c r="FC28" s="75" t="n"/>
      <c r="FD28" s="15" t="n"/>
      <c r="FE28" s="15" t="n"/>
      <c r="FF28" s="15" t="n"/>
      <c r="FG28" s="15" t="n"/>
      <c r="FH28" s="15" t="n"/>
      <c r="FI28" s="15" t="n"/>
      <c r="FJ28" s="15" t="n"/>
      <c r="FK28" s="15" t="n"/>
      <c r="FL28" s="15" t="n"/>
      <c r="FM28" s="15" t="n"/>
      <c r="FN28" s="15" t="n"/>
      <c r="FO28" s="15" t="n"/>
      <c r="FP28" s="15" t="n"/>
      <c r="FQ28" s="15" t="n"/>
      <c r="FR28" s="15" t="n"/>
      <c r="FS28" s="15" t="n"/>
      <c r="FT28" s="75" t="n"/>
      <c r="FU28" s="15" t="n"/>
      <c r="FV28" s="15" t="n"/>
      <c r="FW28" s="15" t="n"/>
      <c r="FX28" s="15" t="n"/>
      <c r="FY28" s="15" t="n"/>
      <c r="FZ28" s="15" t="n"/>
      <c r="GA28" s="15" t="n"/>
      <c r="GB28" s="15" t="n"/>
      <c r="GC28" s="15" t="n"/>
      <c r="GD28" s="15" t="n"/>
      <c r="GE28" s="15" t="n"/>
      <c r="GF28" s="15" t="n"/>
      <c r="GG28" s="15" t="n"/>
      <c r="GH28" s="15" t="n"/>
      <c r="GI28" s="15" t="n"/>
      <c r="GJ28" s="15" t="n"/>
      <c r="GK28" s="75" t="n"/>
      <c r="GL28" s="15" t="n"/>
      <c r="GM28" s="15" t="n"/>
      <c r="GN28" s="15" t="n"/>
      <c r="GO28" s="15" t="n"/>
      <c r="GP28" s="15" t="n"/>
      <c r="GQ28" s="15" t="n"/>
      <c r="GR28" s="15" t="n"/>
      <c r="GS28" s="15" t="n"/>
      <c r="GT28" s="15" t="n"/>
      <c r="GU28" s="15" t="n"/>
      <c r="GV28" s="15" t="n"/>
      <c r="GW28" s="15" t="n"/>
      <c r="GX28" s="15" t="n"/>
      <c r="GY28" s="15" t="n"/>
      <c r="GZ28" s="15" t="n"/>
      <c r="HA28" s="15" t="n"/>
      <c r="HB28" s="75" t="n"/>
    </row>
    <row r="29" ht="16.5" customHeight="1">
      <c r="A29" s="76" t="inlineStr">
        <is>
          <t>م</t>
        </is>
      </c>
      <c r="B29" s="76" t="inlineStr">
        <is>
          <t>الاسم</t>
        </is>
      </c>
      <c r="C29" s="76" t="inlineStr">
        <is>
          <t>المجموع</t>
        </is>
      </c>
      <c r="D29" s="76" t="inlineStr">
        <is>
          <t>%</t>
        </is>
      </c>
      <c r="E29" s="76" t="inlineStr">
        <is>
          <t>الترتيب</t>
        </is>
      </c>
      <c r="F29" s="76" t="inlineStr">
        <is>
          <t>التقدير</t>
        </is>
      </c>
      <c r="G29" s="157" t="inlineStr">
        <is>
          <t>كويز</t>
        </is>
      </c>
      <c r="H29" s="158" t="inlineStr">
        <is>
          <t>امتحان</t>
        </is>
      </c>
      <c r="I29" s="157" t="inlineStr">
        <is>
          <t>كويز</t>
        </is>
      </c>
      <c r="J29" s="158" t="inlineStr">
        <is>
          <t>امتحان</t>
        </is>
      </c>
      <c r="K29" s="157" t="inlineStr">
        <is>
          <t>كويز</t>
        </is>
      </c>
      <c r="L29" s="158" t="inlineStr">
        <is>
          <t>امتحان</t>
        </is>
      </c>
      <c r="M29" s="157" t="inlineStr">
        <is>
          <t>كويز</t>
        </is>
      </c>
      <c r="N29" s="158" t="inlineStr">
        <is>
          <t>امتحان</t>
        </is>
      </c>
      <c r="O29" s="157" t="inlineStr">
        <is>
          <t>كويز</t>
        </is>
      </c>
      <c r="P29" s="158" t="inlineStr">
        <is>
          <t>امتحان</t>
        </is>
      </c>
      <c r="Q29" s="157" t="inlineStr">
        <is>
          <t>كويز</t>
        </is>
      </c>
      <c r="R29" s="158" t="inlineStr">
        <is>
          <t>امتحان</t>
        </is>
      </c>
      <c r="S29" s="157" t="inlineStr">
        <is>
          <t>كويز</t>
        </is>
      </c>
      <c r="T29" s="158" t="inlineStr">
        <is>
          <t>امتحان</t>
        </is>
      </c>
      <c r="U29" s="157" t="inlineStr">
        <is>
          <t>كويز</t>
        </is>
      </c>
      <c r="V29" s="158" t="inlineStr">
        <is>
          <t>امتحان</t>
        </is>
      </c>
      <c r="W29" s="59" t="inlineStr">
        <is>
          <t>ملاحظات</t>
        </is>
      </c>
      <c r="X29" s="159" t="inlineStr">
        <is>
          <t>كويز</t>
        </is>
      </c>
      <c r="Y29" s="160" t="inlineStr">
        <is>
          <t>امتحان</t>
        </is>
      </c>
      <c r="Z29" s="159" t="inlineStr">
        <is>
          <t>كويز</t>
        </is>
      </c>
      <c r="AA29" s="160" t="inlineStr">
        <is>
          <t>امتحان</t>
        </is>
      </c>
      <c r="AB29" s="159" t="inlineStr">
        <is>
          <t>كويز</t>
        </is>
      </c>
      <c r="AC29" s="160" t="inlineStr">
        <is>
          <t>امتحان</t>
        </is>
      </c>
      <c r="AD29" s="159" t="inlineStr">
        <is>
          <t>كويز</t>
        </is>
      </c>
      <c r="AE29" s="160" t="inlineStr">
        <is>
          <t>امتحان</t>
        </is>
      </c>
      <c r="AF29" s="159" t="inlineStr">
        <is>
          <t>كويز</t>
        </is>
      </c>
      <c r="AG29" s="160" t="inlineStr">
        <is>
          <t>امتحان</t>
        </is>
      </c>
      <c r="AH29" s="159" t="inlineStr">
        <is>
          <t>كويز</t>
        </is>
      </c>
      <c r="AI29" s="160" t="inlineStr">
        <is>
          <t>امتحان</t>
        </is>
      </c>
      <c r="AJ29" s="159" t="inlineStr">
        <is>
          <t>كويز</t>
        </is>
      </c>
      <c r="AK29" s="160" t="inlineStr">
        <is>
          <t>امتحان</t>
        </is>
      </c>
      <c r="AL29" s="159" t="inlineStr">
        <is>
          <t>كويز</t>
        </is>
      </c>
      <c r="AM29" s="160" t="inlineStr">
        <is>
          <t>امتحان</t>
        </is>
      </c>
      <c r="AN29" s="60" t="inlineStr">
        <is>
          <t>ملاحظات</t>
        </is>
      </c>
      <c r="AO29" s="161" t="inlineStr">
        <is>
          <t>كويز</t>
        </is>
      </c>
      <c r="AP29" s="162" t="inlineStr">
        <is>
          <t>امتحان</t>
        </is>
      </c>
      <c r="AQ29" s="161" t="inlineStr">
        <is>
          <t>كويز</t>
        </is>
      </c>
      <c r="AR29" s="162" t="inlineStr">
        <is>
          <t>امتحان</t>
        </is>
      </c>
      <c r="AS29" s="161" t="inlineStr">
        <is>
          <t>كويز</t>
        </is>
      </c>
      <c r="AT29" s="162" t="inlineStr">
        <is>
          <t>امتحان</t>
        </is>
      </c>
      <c r="AU29" s="161" t="inlineStr">
        <is>
          <t>كويز</t>
        </is>
      </c>
      <c r="AV29" s="162" t="inlineStr">
        <is>
          <t>امتحان</t>
        </is>
      </c>
      <c r="AW29" s="161" t="inlineStr">
        <is>
          <t>كويز</t>
        </is>
      </c>
      <c r="AX29" s="162" t="inlineStr">
        <is>
          <t>امتحان</t>
        </is>
      </c>
      <c r="AY29" s="161" t="inlineStr">
        <is>
          <t>كويز</t>
        </is>
      </c>
      <c r="AZ29" s="162" t="inlineStr">
        <is>
          <t>امتحان</t>
        </is>
      </c>
      <c r="BA29" s="161" t="inlineStr">
        <is>
          <t>كويز</t>
        </is>
      </c>
      <c r="BB29" s="162" t="inlineStr">
        <is>
          <t>امتحان</t>
        </is>
      </c>
      <c r="BC29" s="161" t="inlineStr">
        <is>
          <t>كويز</t>
        </is>
      </c>
      <c r="BD29" s="162" t="inlineStr">
        <is>
          <t>امتحان</t>
        </is>
      </c>
      <c r="BE29" s="61" t="inlineStr">
        <is>
          <t>ملاحظات</t>
        </is>
      </c>
      <c r="BF29" s="163" t="inlineStr">
        <is>
          <t>كويز</t>
        </is>
      </c>
      <c r="BG29" s="164" t="inlineStr">
        <is>
          <t>امتحان</t>
        </is>
      </c>
      <c r="BH29" s="163" t="inlineStr">
        <is>
          <t>كويز</t>
        </is>
      </c>
      <c r="BI29" s="164" t="inlineStr">
        <is>
          <t>امتحان</t>
        </is>
      </c>
      <c r="BJ29" s="163" t="inlineStr">
        <is>
          <t>كويز</t>
        </is>
      </c>
      <c r="BK29" s="164" t="inlineStr">
        <is>
          <t>امتحان</t>
        </is>
      </c>
      <c r="BL29" s="163" t="inlineStr">
        <is>
          <t>كويز</t>
        </is>
      </c>
      <c r="BM29" s="164" t="inlineStr">
        <is>
          <t>امتحان</t>
        </is>
      </c>
      <c r="BN29" s="163" t="inlineStr">
        <is>
          <t>كويز</t>
        </is>
      </c>
      <c r="BO29" s="164" t="inlineStr">
        <is>
          <t>امتحان</t>
        </is>
      </c>
      <c r="BP29" s="163" t="inlineStr">
        <is>
          <t>كويز</t>
        </is>
      </c>
      <c r="BQ29" s="164" t="inlineStr">
        <is>
          <t>امتحان</t>
        </is>
      </c>
      <c r="BR29" s="163" t="inlineStr">
        <is>
          <t>كويز</t>
        </is>
      </c>
      <c r="BS29" s="164" t="inlineStr">
        <is>
          <t>امتحان</t>
        </is>
      </c>
      <c r="BT29" s="163" t="inlineStr">
        <is>
          <t>كويز</t>
        </is>
      </c>
      <c r="BU29" s="164" t="inlineStr">
        <is>
          <t>امتحان</t>
        </is>
      </c>
      <c r="BV29" s="62" t="inlineStr">
        <is>
          <t>ملاحظات</t>
        </is>
      </c>
      <c r="BW29" s="165" t="inlineStr">
        <is>
          <t>كويز</t>
        </is>
      </c>
      <c r="BX29" s="166" t="inlineStr">
        <is>
          <t>امتحان</t>
        </is>
      </c>
      <c r="BY29" s="165" t="inlineStr">
        <is>
          <t>كويز</t>
        </is>
      </c>
      <c r="BZ29" s="166" t="inlineStr">
        <is>
          <t>امتحان</t>
        </is>
      </c>
      <c r="CA29" s="165" t="inlineStr">
        <is>
          <t>كويز</t>
        </is>
      </c>
      <c r="CB29" s="166" t="inlineStr">
        <is>
          <t>امتحان</t>
        </is>
      </c>
      <c r="CC29" s="165" t="inlineStr">
        <is>
          <t>كويز</t>
        </is>
      </c>
      <c r="CD29" s="166" t="inlineStr">
        <is>
          <t>امتحان</t>
        </is>
      </c>
      <c r="CE29" s="165" t="inlineStr">
        <is>
          <t>كويز</t>
        </is>
      </c>
      <c r="CF29" s="166" t="inlineStr">
        <is>
          <t>امتحان</t>
        </is>
      </c>
      <c r="CG29" s="165" t="inlineStr">
        <is>
          <t>كويز</t>
        </is>
      </c>
      <c r="CH29" s="166" t="inlineStr">
        <is>
          <t>امتحان</t>
        </is>
      </c>
      <c r="CI29" s="165" t="inlineStr">
        <is>
          <t>كويز</t>
        </is>
      </c>
      <c r="CJ29" s="166" t="inlineStr">
        <is>
          <t>امتحان</t>
        </is>
      </c>
      <c r="CK29" s="165" t="inlineStr">
        <is>
          <t>كويز</t>
        </is>
      </c>
      <c r="CL29" s="166" t="inlineStr">
        <is>
          <t>امتحان</t>
        </is>
      </c>
      <c r="CM29" s="63" t="inlineStr">
        <is>
          <t>ملاحظات</t>
        </is>
      </c>
      <c r="CN29" s="167" t="inlineStr">
        <is>
          <t>كويز</t>
        </is>
      </c>
      <c r="CO29" s="168" t="inlineStr">
        <is>
          <t>امتحان</t>
        </is>
      </c>
      <c r="CP29" s="167" t="inlineStr">
        <is>
          <t>كويز</t>
        </is>
      </c>
      <c r="CQ29" s="168" t="inlineStr">
        <is>
          <t>امتحان</t>
        </is>
      </c>
      <c r="CR29" s="167" t="inlineStr">
        <is>
          <t>كويز</t>
        </is>
      </c>
      <c r="CS29" s="168" t="inlineStr">
        <is>
          <t>امتحان</t>
        </is>
      </c>
      <c r="CT29" s="167" t="inlineStr">
        <is>
          <t>كويز</t>
        </is>
      </c>
      <c r="CU29" s="168" t="inlineStr">
        <is>
          <t>امتحان</t>
        </is>
      </c>
      <c r="CV29" s="167" t="inlineStr">
        <is>
          <t>كويز</t>
        </is>
      </c>
      <c r="CW29" s="168" t="inlineStr">
        <is>
          <t>امتحان</t>
        </is>
      </c>
      <c r="CX29" s="167" t="inlineStr">
        <is>
          <t>كويز</t>
        </is>
      </c>
      <c r="CY29" s="168" t="inlineStr">
        <is>
          <t>امتحان</t>
        </is>
      </c>
      <c r="CZ29" s="167" t="inlineStr">
        <is>
          <t>كويز</t>
        </is>
      </c>
      <c r="DA29" s="168" t="inlineStr">
        <is>
          <t>امتحان</t>
        </is>
      </c>
      <c r="DB29" s="167" t="inlineStr">
        <is>
          <t>كويز</t>
        </is>
      </c>
      <c r="DC29" s="168" t="inlineStr">
        <is>
          <t>امتحان</t>
        </is>
      </c>
      <c r="DD29" s="64" t="inlineStr">
        <is>
          <t>ملاحظات</t>
        </is>
      </c>
      <c r="DE29" s="169" t="inlineStr">
        <is>
          <t>كويز</t>
        </is>
      </c>
      <c r="DF29" s="170" t="inlineStr">
        <is>
          <t>امتحان</t>
        </is>
      </c>
      <c r="DG29" s="169" t="inlineStr">
        <is>
          <t>كويز</t>
        </is>
      </c>
      <c r="DH29" s="170" t="inlineStr">
        <is>
          <t>امتحان</t>
        </is>
      </c>
      <c r="DI29" s="169" t="inlineStr">
        <is>
          <t>كويز</t>
        </is>
      </c>
      <c r="DJ29" s="170" t="inlineStr">
        <is>
          <t>امتحان</t>
        </is>
      </c>
      <c r="DK29" s="169" t="inlineStr">
        <is>
          <t>كويز</t>
        </is>
      </c>
      <c r="DL29" s="170" t="inlineStr">
        <is>
          <t>امتحان</t>
        </is>
      </c>
      <c r="DM29" s="169" t="inlineStr">
        <is>
          <t>كويز</t>
        </is>
      </c>
      <c r="DN29" s="170" t="inlineStr">
        <is>
          <t>امتحان</t>
        </is>
      </c>
      <c r="DO29" s="169" t="inlineStr">
        <is>
          <t>كويز</t>
        </is>
      </c>
      <c r="DP29" s="170" t="inlineStr">
        <is>
          <t>امتحان</t>
        </is>
      </c>
      <c r="DQ29" s="169" t="inlineStr">
        <is>
          <t>كويز</t>
        </is>
      </c>
      <c r="DR29" s="170" t="inlineStr">
        <is>
          <t>امتحان</t>
        </is>
      </c>
      <c r="DS29" s="169" t="inlineStr">
        <is>
          <t>كويز</t>
        </is>
      </c>
      <c r="DT29" s="170" t="inlineStr">
        <is>
          <t>امتحان</t>
        </is>
      </c>
      <c r="DU29" s="65" t="inlineStr">
        <is>
          <t>ملاحظات</t>
        </is>
      </c>
      <c r="DV29" s="171" t="inlineStr">
        <is>
          <t>كويز</t>
        </is>
      </c>
      <c r="DW29" s="172" t="inlineStr">
        <is>
          <t>امتحان</t>
        </is>
      </c>
      <c r="DX29" s="171" t="inlineStr">
        <is>
          <t>كويز</t>
        </is>
      </c>
      <c r="DY29" s="172" t="inlineStr">
        <is>
          <t>امتحان</t>
        </is>
      </c>
      <c r="DZ29" s="171" t="inlineStr">
        <is>
          <t>كويز</t>
        </is>
      </c>
      <c r="EA29" s="172" t="inlineStr">
        <is>
          <t>امتحان</t>
        </is>
      </c>
      <c r="EB29" s="171" t="inlineStr">
        <is>
          <t>كويز</t>
        </is>
      </c>
      <c r="EC29" s="172" t="inlineStr">
        <is>
          <t>امتحان</t>
        </is>
      </c>
      <c r="ED29" s="171" t="inlineStr">
        <is>
          <t>كويز</t>
        </is>
      </c>
      <c r="EE29" s="172" t="inlineStr">
        <is>
          <t>امتحان</t>
        </is>
      </c>
      <c r="EF29" s="171" t="inlineStr">
        <is>
          <t>كويز</t>
        </is>
      </c>
      <c r="EG29" s="172" t="inlineStr">
        <is>
          <t>امتحان</t>
        </is>
      </c>
      <c r="EH29" s="171" t="inlineStr">
        <is>
          <t>كويز</t>
        </is>
      </c>
      <c r="EI29" s="172" t="inlineStr">
        <is>
          <t>امتحان</t>
        </is>
      </c>
      <c r="EJ29" s="171" t="inlineStr">
        <is>
          <t>كويز</t>
        </is>
      </c>
      <c r="EK29" s="172" t="inlineStr">
        <is>
          <t>امتحان</t>
        </is>
      </c>
      <c r="EL29" s="66" t="inlineStr">
        <is>
          <t>ملاحظات</t>
        </is>
      </c>
      <c r="EM29" s="173" t="inlineStr">
        <is>
          <t>كويز</t>
        </is>
      </c>
      <c r="EN29" s="174" t="inlineStr">
        <is>
          <t>امتحان</t>
        </is>
      </c>
      <c r="EO29" s="173" t="inlineStr">
        <is>
          <t>كويز</t>
        </is>
      </c>
      <c r="EP29" s="174" t="inlineStr">
        <is>
          <t>امتحان</t>
        </is>
      </c>
      <c r="EQ29" s="173" t="inlineStr">
        <is>
          <t>كويز</t>
        </is>
      </c>
      <c r="ER29" s="174" t="inlineStr">
        <is>
          <t>امتحان</t>
        </is>
      </c>
      <c r="ES29" s="173" t="inlineStr">
        <is>
          <t>كويز</t>
        </is>
      </c>
      <c r="ET29" s="174" t="inlineStr">
        <is>
          <t>امتحان</t>
        </is>
      </c>
      <c r="EU29" s="173" t="inlineStr">
        <is>
          <t>كويز</t>
        </is>
      </c>
      <c r="EV29" s="174" t="inlineStr">
        <is>
          <t>امتحان</t>
        </is>
      </c>
      <c r="EW29" s="173" t="inlineStr">
        <is>
          <t>كويز</t>
        </is>
      </c>
      <c r="EX29" s="174" t="inlineStr">
        <is>
          <t>امتحان</t>
        </is>
      </c>
      <c r="EY29" s="173" t="inlineStr">
        <is>
          <t>كويز</t>
        </is>
      </c>
      <c r="EZ29" s="174" t="inlineStr">
        <is>
          <t>امتحان</t>
        </is>
      </c>
      <c r="FA29" s="173" t="inlineStr">
        <is>
          <t>كويز</t>
        </is>
      </c>
      <c r="FB29" s="174" t="inlineStr">
        <is>
          <t>امتحان</t>
        </is>
      </c>
      <c r="FC29" s="67" t="inlineStr">
        <is>
          <t>ملاحظات</t>
        </is>
      </c>
      <c r="FD29" s="175" t="inlineStr">
        <is>
          <t>كويز</t>
        </is>
      </c>
      <c r="FE29" s="176" t="inlineStr">
        <is>
          <t>امتحان</t>
        </is>
      </c>
      <c r="FF29" s="175" t="inlineStr">
        <is>
          <t>كويز</t>
        </is>
      </c>
      <c r="FG29" s="176" t="inlineStr">
        <is>
          <t>امتحان</t>
        </is>
      </c>
      <c r="FH29" s="175" t="inlineStr">
        <is>
          <t>كويز</t>
        </is>
      </c>
      <c r="FI29" s="176" t="inlineStr">
        <is>
          <t>امتحان</t>
        </is>
      </c>
      <c r="FJ29" s="175" t="inlineStr">
        <is>
          <t>كويز</t>
        </is>
      </c>
      <c r="FK29" s="176" t="inlineStr">
        <is>
          <t>امتحان</t>
        </is>
      </c>
      <c r="FL29" s="175" t="inlineStr">
        <is>
          <t>كويز</t>
        </is>
      </c>
      <c r="FM29" s="176" t="inlineStr">
        <is>
          <t>امتحان</t>
        </is>
      </c>
      <c r="FN29" s="175" t="inlineStr">
        <is>
          <t>كويز</t>
        </is>
      </c>
      <c r="FO29" s="176" t="inlineStr">
        <is>
          <t>امتحان</t>
        </is>
      </c>
      <c r="FP29" s="175" t="inlineStr">
        <is>
          <t>كويز</t>
        </is>
      </c>
      <c r="FQ29" s="176" t="inlineStr">
        <is>
          <t>امتحان</t>
        </is>
      </c>
      <c r="FR29" s="175" t="inlineStr">
        <is>
          <t>كويز</t>
        </is>
      </c>
      <c r="FS29" s="176" t="inlineStr">
        <is>
          <t>امتحان</t>
        </is>
      </c>
      <c r="FT29" s="68" t="inlineStr">
        <is>
          <t>ملاحظات</t>
        </is>
      </c>
      <c r="FU29" s="177" t="inlineStr">
        <is>
          <t>كويز</t>
        </is>
      </c>
      <c r="FV29" s="178" t="inlineStr">
        <is>
          <t>امتحان</t>
        </is>
      </c>
      <c r="FW29" s="177" t="inlineStr">
        <is>
          <t>كويز</t>
        </is>
      </c>
      <c r="FX29" s="178" t="inlineStr">
        <is>
          <t>امتحان</t>
        </is>
      </c>
      <c r="FY29" s="177" t="inlineStr">
        <is>
          <t>كويز</t>
        </is>
      </c>
      <c r="FZ29" s="178" t="inlineStr">
        <is>
          <t>امتحان</t>
        </is>
      </c>
      <c r="GA29" s="177" t="inlineStr">
        <is>
          <t>كويز</t>
        </is>
      </c>
      <c r="GB29" s="178" t="inlineStr">
        <is>
          <t>امتحان</t>
        </is>
      </c>
      <c r="GC29" s="177" t="inlineStr">
        <is>
          <t>كويز</t>
        </is>
      </c>
      <c r="GD29" s="178" t="inlineStr">
        <is>
          <t>امتحان</t>
        </is>
      </c>
      <c r="GE29" s="177" t="inlineStr">
        <is>
          <t>كويز</t>
        </is>
      </c>
      <c r="GF29" s="178" t="inlineStr">
        <is>
          <t>امتحان</t>
        </is>
      </c>
      <c r="GG29" s="177" t="inlineStr">
        <is>
          <t>كويز</t>
        </is>
      </c>
      <c r="GH29" s="178" t="inlineStr">
        <is>
          <t>امتحان</t>
        </is>
      </c>
      <c r="GI29" s="177" t="inlineStr">
        <is>
          <t>كويز</t>
        </is>
      </c>
      <c r="GJ29" s="178" t="inlineStr">
        <is>
          <t>امتحان</t>
        </is>
      </c>
      <c r="GK29" s="69" t="inlineStr">
        <is>
          <t>ملاحظات</t>
        </is>
      </c>
      <c r="GL29" s="179" t="inlineStr">
        <is>
          <t>كويز</t>
        </is>
      </c>
      <c r="GM29" s="180" t="inlineStr">
        <is>
          <t>امتحان</t>
        </is>
      </c>
      <c r="GN29" s="179" t="inlineStr">
        <is>
          <t>كويز</t>
        </is>
      </c>
      <c r="GO29" s="180" t="inlineStr">
        <is>
          <t>امتحان</t>
        </is>
      </c>
      <c r="GP29" s="179" t="inlineStr">
        <is>
          <t>كويز</t>
        </is>
      </c>
      <c r="GQ29" s="180" t="inlineStr">
        <is>
          <t>امتحان</t>
        </is>
      </c>
      <c r="GR29" s="179" t="inlineStr">
        <is>
          <t>كويز</t>
        </is>
      </c>
      <c r="GS29" s="180" t="inlineStr">
        <is>
          <t>امتحان</t>
        </is>
      </c>
      <c r="GT29" s="179" t="inlineStr">
        <is>
          <t>كويز</t>
        </is>
      </c>
      <c r="GU29" s="180" t="inlineStr">
        <is>
          <t>امتحان</t>
        </is>
      </c>
      <c r="GV29" s="179" t="inlineStr">
        <is>
          <t>كويز</t>
        </is>
      </c>
      <c r="GW29" s="180" t="inlineStr">
        <is>
          <t>امتحان</t>
        </is>
      </c>
      <c r="GX29" s="179" t="inlineStr">
        <is>
          <t>كويز</t>
        </is>
      </c>
      <c r="GY29" s="180" t="inlineStr">
        <is>
          <t>امتحان</t>
        </is>
      </c>
      <c r="GZ29" s="179" t="inlineStr">
        <is>
          <t>كويز</t>
        </is>
      </c>
      <c r="HA29" s="180" t="inlineStr">
        <is>
          <t>امتحان</t>
        </is>
      </c>
      <c r="HB29" s="70" t="inlineStr">
        <is>
          <t>ملاحظات</t>
        </is>
      </c>
    </row>
    <row r="30" ht="22.5" customHeight="1">
      <c r="A30" s="36" t="n">
        <v>1</v>
      </c>
      <c r="B30" s="181" t="str">
        <f>IF($B5="","",$B5)</f>
        <v/>
      </c>
      <c r="C30" s="136" t="str">
        <f>IF(OR($B30="",$HD30=0),"",ROUND($HC30,2)&amp;" / "&amp;$HD30)</f>
        <v/>
      </c>
      <c r="D30" s="182" t="str">
        <f>IF(OR($B30="",$HD30=0),"",$HC30/$HD30)</f>
        <v/>
      </c>
      <c r="E30" s="98" t="str">
        <f>IF($D30="","",RANK($D30,$D$30:$D$44))</f>
        <v/>
      </c>
      <c r="F30" s="99" t="str">
        <f>IF($D30="","",IF($D30&gt;=0.85,"ممتاز",IF($D30&gt;=0.75,"جيد جداً",IF($D30&gt;=0.65,"جيد",IF($D30&gt;=0.5,"مقبول","ضعيف")))))</f>
        <v/>
      </c>
      <c r="G30" s="100" t="n"/>
      <c r="H30" s="101" t="n"/>
      <c r="I30" s="100" t="n"/>
      <c r="J30" s="101" t="n"/>
      <c r="K30" s="100" t="n"/>
      <c r="L30" s="101" t="n"/>
      <c r="M30" s="100" t="n"/>
      <c r="N30" s="101" t="n"/>
      <c r="O30" s="100" t="n"/>
      <c r="P30" s="101" t="n"/>
      <c r="Q30" s="100" t="n"/>
      <c r="R30" s="101" t="n"/>
      <c r="S30" s="100" t="n"/>
      <c r="T30" s="101" t="n"/>
      <c r="U30" s="100" t="n"/>
      <c r="V30" s="101" t="n"/>
      <c r="W30" s="183" t="n"/>
      <c r="X30" s="103" t="n"/>
      <c r="Y30" s="104" t="n"/>
      <c r="Z30" s="103" t="n"/>
      <c r="AA30" s="104" t="n"/>
      <c r="AB30" s="103" t="n"/>
      <c r="AC30" s="104" t="n"/>
      <c r="AD30" s="103" t="n"/>
      <c r="AE30" s="104" t="n"/>
      <c r="AF30" s="103" t="n"/>
      <c r="AG30" s="104" t="n"/>
      <c r="AH30" s="103" t="n"/>
      <c r="AI30" s="104" t="n"/>
      <c r="AJ30" s="103" t="n"/>
      <c r="AK30" s="104" t="n"/>
      <c r="AL30" s="103" t="n"/>
      <c r="AM30" s="104" t="n"/>
      <c r="AN30" s="184" t="n"/>
      <c r="AO30" s="106" t="n"/>
      <c r="AP30" s="107" t="n"/>
      <c r="AQ30" s="106" t="n"/>
      <c r="AR30" s="107" t="n"/>
      <c r="AS30" s="106" t="n"/>
      <c r="AT30" s="107" t="n"/>
      <c r="AU30" s="106" t="n"/>
      <c r="AV30" s="107" t="n"/>
      <c r="AW30" s="106" t="n"/>
      <c r="AX30" s="107" t="n"/>
      <c r="AY30" s="106" t="n"/>
      <c r="AZ30" s="107" t="n"/>
      <c r="BA30" s="106" t="n"/>
      <c r="BB30" s="107" t="n"/>
      <c r="BC30" s="106" t="n"/>
      <c r="BD30" s="107" t="n"/>
      <c r="BE30" s="185" t="n"/>
      <c r="BF30" s="109" t="n"/>
      <c r="BG30" s="110" t="n"/>
      <c r="BH30" s="109" t="n"/>
      <c r="BI30" s="110" t="n"/>
      <c r="BJ30" s="109" t="n"/>
      <c r="BK30" s="110" t="n"/>
      <c r="BL30" s="109" t="n"/>
      <c r="BM30" s="110" t="n"/>
      <c r="BN30" s="109" t="n"/>
      <c r="BO30" s="110" t="n"/>
      <c r="BP30" s="109" t="n"/>
      <c r="BQ30" s="110" t="n"/>
      <c r="BR30" s="109" t="n"/>
      <c r="BS30" s="110" t="n"/>
      <c r="BT30" s="109" t="n"/>
      <c r="BU30" s="110" t="n"/>
      <c r="BV30" s="186" t="n"/>
      <c r="BW30" s="112" t="n"/>
      <c r="BX30" s="113" t="n"/>
      <c r="BY30" s="112" t="n"/>
      <c r="BZ30" s="113" t="n"/>
      <c r="CA30" s="112" t="n"/>
      <c r="CB30" s="113" t="n"/>
      <c r="CC30" s="112" t="n"/>
      <c r="CD30" s="113" t="n"/>
      <c r="CE30" s="112" t="n"/>
      <c r="CF30" s="113" t="n"/>
      <c r="CG30" s="112" t="n"/>
      <c r="CH30" s="113" t="n"/>
      <c r="CI30" s="112" t="n"/>
      <c r="CJ30" s="113" t="n"/>
      <c r="CK30" s="112" t="n"/>
      <c r="CL30" s="113" t="n"/>
      <c r="CM30" s="187" t="n"/>
      <c r="CN30" s="115" t="n"/>
      <c r="CO30" s="116" t="n"/>
      <c r="CP30" s="115" t="n"/>
      <c r="CQ30" s="116" t="n"/>
      <c r="CR30" s="115" t="n"/>
      <c r="CS30" s="116" t="n"/>
      <c r="CT30" s="115" t="n"/>
      <c r="CU30" s="116" t="n"/>
      <c r="CV30" s="115" t="n"/>
      <c r="CW30" s="116" t="n"/>
      <c r="CX30" s="115" t="n"/>
      <c r="CY30" s="116" t="n"/>
      <c r="CZ30" s="115" t="n"/>
      <c r="DA30" s="116" t="n"/>
      <c r="DB30" s="115" t="n"/>
      <c r="DC30" s="116" t="n"/>
      <c r="DD30" s="188" t="n"/>
      <c r="DE30" s="118" t="n"/>
      <c r="DF30" s="119" t="n"/>
      <c r="DG30" s="118" t="n"/>
      <c r="DH30" s="119" t="n"/>
      <c r="DI30" s="118" t="n"/>
      <c r="DJ30" s="119" t="n"/>
      <c r="DK30" s="118" t="n"/>
      <c r="DL30" s="119" t="n"/>
      <c r="DM30" s="118" t="n"/>
      <c r="DN30" s="119" t="n"/>
      <c r="DO30" s="118" t="n"/>
      <c r="DP30" s="119" t="n"/>
      <c r="DQ30" s="118" t="n"/>
      <c r="DR30" s="119" t="n"/>
      <c r="DS30" s="118" t="n"/>
      <c r="DT30" s="119" t="n"/>
      <c r="DU30" s="189" t="n"/>
      <c r="DV30" s="121" t="n"/>
      <c r="DW30" s="122" t="n"/>
      <c r="DX30" s="121" t="n"/>
      <c r="DY30" s="122" t="n"/>
      <c r="DZ30" s="121" t="n"/>
      <c r="EA30" s="122" t="n"/>
      <c r="EB30" s="121" t="n"/>
      <c r="EC30" s="122" t="n"/>
      <c r="ED30" s="121" t="n"/>
      <c r="EE30" s="122" t="n"/>
      <c r="EF30" s="121" t="n"/>
      <c r="EG30" s="122" t="n"/>
      <c r="EH30" s="121" t="n"/>
      <c r="EI30" s="122" t="n"/>
      <c r="EJ30" s="121" t="n"/>
      <c r="EK30" s="122" t="n"/>
      <c r="EL30" s="190" t="n"/>
      <c r="EM30" s="124" t="n"/>
      <c r="EN30" s="125" t="n"/>
      <c r="EO30" s="124" t="n"/>
      <c r="EP30" s="125" t="n"/>
      <c r="EQ30" s="124" t="n"/>
      <c r="ER30" s="125" t="n"/>
      <c r="ES30" s="124" t="n"/>
      <c r="ET30" s="125" t="n"/>
      <c r="EU30" s="124" t="n"/>
      <c r="EV30" s="125" t="n"/>
      <c r="EW30" s="124" t="n"/>
      <c r="EX30" s="125" t="n"/>
      <c r="EY30" s="124" t="n"/>
      <c r="EZ30" s="125" t="n"/>
      <c r="FA30" s="124" t="n"/>
      <c r="FB30" s="125" t="n"/>
      <c r="FC30" s="191" t="n"/>
      <c r="FD30" s="127" t="n"/>
      <c r="FE30" s="128" t="n"/>
      <c r="FF30" s="127" t="n"/>
      <c r="FG30" s="128" t="n"/>
      <c r="FH30" s="127" t="n"/>
      <c r="FI30" s="128" t="n"/>
      <c r="FJ30" s="127" t="n"/>
      <c r="FK30" s="128" t="n"/>
      <c r="FL30" s="127" t="n"/>
      <c r="FM30" s="128" t="n"/>
      <c r="FN30" s="127" t="n"/>
      <c r="FO30" s="128" t="n"/>
      <c r="FP30" s="127" t="n"/>
      <c r="FQ30" s="128" t="n"/>
      <c r="FR30" s="127" t="n"/>
      <c r="FS30" s="128" t="n"/>
      <c r="FT30" s="192" t="n"/>
      <c r="FU30" s="130" t="n"/>
      <c r="FV30" s="131" t="n"/>
      <c r="FW30" s="130" t="n"/>
      <c r="FX30" s="131" t="n"/>
      <c r="FY30" s="130" t="n"/>
      <c r="FZ30" s="131" t="n"/>
      <c r="GA30" s="130" t="n"/>
      <c r="GB30" s="131" t="n"/>
      <c r="GC30" s="130" t="n"/>
      <c r="GD30" s="131" t="n"/>
      <c r="GE30" s="130" t="n"/>
      <c r="GF30" s="131" t="n"/>
      <c r="GG30" s="130" t="n"/>
      <c r="GH30" s="131" t="n"/>
      <c r="GI30" s="130" t="n"/>
      <c r="GJ30" s="131" t="n"/>
      <c r="GK30" s="193" t="n"/>
      <c r="GL30" s="133" t="n"/>
      <c r="GM30" s="134" t="n"/>
      <c r="GN30" s="133" t="n"/>
      <c r="GO30" s="134" t="n"/>
      <c r="GP30" s="133" t="n"/>
      <c r="GQ30" s="134" t="n"/>
      <c r="GR30" s="133" t="n"/>
      <c r="GS30" s="134" t="n"/>
      <c r="GT30" s="133" t="n"/>
      <c r="GU30" s="134" t="n"/>
      <c r="GV30" s="133" t="n"/>
      <c r="GW30" s="134" t="n"/>
      <c r="GX30" s="133" t="n"/>
      <c r="GY30" s="134" t="n"/>
      <c r="GZ30" s="133" t="n"/>
      <c r="HA30" s="134" t="n"/>
      <c r="HB30" s="194" t="n"/>
      <c r="HC30">
        <f>SUMIFS($G30:$HB30,$G$46:$HB$46,"&gt;="&amp;$HD$1,$G$46:$HB$46,"&lt;="&amp;$HD$2,$G$29:$HB$29,"&lt;&gt;ملاحظات",$G$28:$HB$28,"&gt;0")</f>
        <v>0</v>
      </c>
      <c r="HD30">
        <f>SUMIFS($G$28:$HB$28,$G$46:$HB$46,"&gt;="&amp;$HD$1,$G$46:$HB$46,"&lt;="&amp;$HD$2,$G$29:$HB$29,"&lt;&gt;ملاحظات",$G30:$HB30,"&gt;=0")</f>
        <v>0</v>
      </c>
    </row>
    <row r="31" ht="22.5" customHeight="1">
      <c r="A31" s="36" t="n">
        <v>2</v>
      </c>
      <c r="B31" s="181" t="str">
        <f>IF($B6="","",$B6)</f>
        <v/>
      </c>
      <c r="C31" s="136" t="str">
        <f>IF(OR($B31="",$HD31=0),"",ROUND($HC31,2)&amp;" / "&amp;$HD31)</f>
        <v/>
      </c>
      <c r="D31" s="182" t="str">
        <f>IF(OR($B31="",$HD31=0),"",$HC31/$HD31)</f>
        <v/>
      </c>
      <c r="E31" s="98" t="str">
        <f>IF($D31="","",RANK($D31,$D$30:$D$44))</f>
        <v/>
      </c>
      <c r="F31" s="99" t="str">
        <f>IF($D31="","",IF($D31&gt;=0.85,"ممتاز",IF($D31&gt;=0.75,"جيد جداً",IF($D31&gt;=0.65,"جيد",IF($D31&gt;=0.5,"مقبول","ضعيف")))))</f>
        <v/>
      </c>
      <c r="G31" s="100" t="n"/>
      <c r="H31" s="101" t="n"/>
      <c r="I31" s="100" t="n"/>
      <c r="J31" s="101" t="n"/>
      <c r="K31" s="100" t="n"/>
      <c r="L31" s="101" t="n"/>
      <c r="M31" s="100" t="n"/>
      <c r="N31" s="101" t="n"/>
      <c r="O31" s="100" t="n"/>
      <c r="P31" s="101" t="n"/>
      <c r="Q31" s="100" t="n"/>
      <c r="R31" s="101" t="n"/>
      <c r="S31" s="100" t="n"/>
      <c r="T31" s="101" t="n"/>
      <c r="U31" s="100" t="n"/>
      <c r="V31" s="101" t="n"/>
      <c r="W31" s="183" t="n"/>
      <c r="X31" s="103" t="n"/>
      <c r="Y31" s="104" t="n"/>
      <c r="Z31" s="103" t="n"/>
      <c r="AA31" s="104" t="n"/>
      <c r="AB31" s="103" t="n"/>
      <c r="AC31" s="104" t="n"/>
      <c r="AD31" s="103" t="n"/>
      <c r="AE31" s="104" t="n"/>
      <c r="AF31" s="103" t="n"/>
      <c r="AG31" s="104" t="n"/>
      <c r="AH31" s="103" t="n"/>
      <c r="AI31" s="104" t="n"/>
      <c r="AJ31" s="103" t="n"/>
      <c r="AK31" s="104" t="n"/>
      <c r="AL31" s="103" t="n"/>
      <c r="AM31" s="104" t="n"/>
      <c r="AN31" s="184" t="n"/>
      <c r="AO31" s="106" t="n"/>
      <c r="AP31" s="107" t="n"/>
      <c r="AQ31" s="106" t="n"/>
      <c r="AR31" s="107" t="n"/>
      <c r="AS31" s="106" t="n"/>
      <c r="AT31" s="107" t="n"/>
      <c r="AU31" s="106" t="n"/>
      <c r="AV31" s="107" t="n"/>
      <c r="AW31" s="106" t="n"/>
      <c r="AX31" s="107" t="n"/>
      <c r="AY31" s="106" t="n"/>
      <c r="AZ31" s="107" t="n"/>
      <c r="BA31" s="106" t="n"/>
      <c r="BB31" s="107" t="n"/>
      <c r="BC31" s="106" t="n"/>
      <c r="BD31" s="107" t="n"/>
      <c r="BE31" s="185" t="n"/>
      <c r="BF31" s="109" t="n"/>
      <c r="BG31" s="110" t="n"/>
      <c r="BH31" s="109" t="n"/>
      <c r="BI31" s="110" t="n"/>
      <c r="BJ31" s="109" t="n"/>
      <c r="BK31" s="110" t="n"/>
      <c r="BL31" s="109" t="n"/>
      <c r="BM31" s="110" t="n"/>
      <c r="BN31" s="109" t="n"/>
      <c r="BO31" s="110" t="n"/>
      <c r="BP31" s="109" t="n"/>
      <c r="BQ31" s="110" t="n"/>
      <c r="BR31" s="109" t="n"/>
      <c r="BS31" s="110" t="n"/>
      <c r="BT31" s="109" t="n"/>
      <c r="BU31" s="110" t="n"/>
      <c r="BV31" s="186" t="n"/>
      <c r="BW31" s="112" t="n"/>
      <c r="BX31" s="113" t="n"/>
      <c r="BY31" s="112" t="n"/>
      <c r="BZ31" s="113" t="n"/>
      <c r="CA31" s="112" t="n"/>
      <c r="CB31" s="113" t="n"/>
      <c r="CC31" s="112" t="n"/>
      <c r="CD31" s="113" t="n"/>
      <c r="CE31" s="112" t="n"/>
      <c r="CF31" s="113" t="n"/>
      <c r="CG31" s="112" t="n"/>
      <c r="CH31" s="113" t="n"/>
      <c r="CI31" s="112" t="n"/>
      <c r="CJ31" s="113" t="n"/>
      <c r="CK31" s="112" t="n"/>
      <c r="CL31" s="113" t="n"/>
      <c r="CM31" s="187" t="n"/>
      <c r="CN31" s="115" t="n"/>
      <c r="CO31" s="116" t="n"/>
      <c r="CP31" s="115" t="n"/>
      <c r="CQ31" s="116" t="n"/>
      <c r="CR31" s="115" t="n"/>
      <c r="CS31" s="116" t="n"/>
      <c r="CT31" s="115" t="n"/>
      <c r="CU31" s="116" t="n"/>
      <c r="CV31" s="115" t="n"/>
      <c r="CW31" s="116" t="n"/>
      <c r="CX31" s="115" t="n"/>
      <c r="CY31" s="116" t="n"/>
      <c r="CZ31" s="115" t="n"/>
      <c r="DA31" s="116" t="n"/>
      <c r="DB31" s="115" t="n"/>
      <c r="DC31" s="116" t="n"/>
      <c r="DD31" s="188" t="n"/>
      <c r="DE31" s="118" t="n"/>
      <c r="DF31" s="119" t="n"/>
      <c r="DG31" s="118" t="n"/>
      <c r="DH31" s="119" t="n"/>
      <c r="DI31" s="118" t="n"/>
      <c r="DJ31" s="119" t="n"/>
      <c r="DK31" s="118" t="n"/>
      <c r="DL31" s="119" t="n"/>
      <c r="DM31" s="118" t="n"/>
      <c r="DN31" s="119" t="n"/>
      <c r="DO31" s="118" t="n"/>
      <c r="DP31" s="119" t="n"/>
      <c r="DQ31" s="118" t="n"/>
      <c r="DR31" s="119" t="n"/>
      <c r="DS31" s="118" t="n"/>
      <c r="DT31" s="119" t="n"/>
      <c r="DU31" s="189" t="n"/>
      <c r="DV31" s="121" t="n"/>
      <c r="DW31" s="122" t="n"/>
      <c r="DX31" s="121" t="n"/>
      <c r="DY31" s="122" t="n"/>
      <c r="DZ31" s="121" t="n"/>
      <c r="EA31" s="122" t="n"/>
      <c r="EB31" s="121" t="n"/>
      <c r="EC31" s="122" t="n"/>
      <c r="ED31" s="121" t="n"/>
      <c r="EE31" s="122" t="n"/>
      <c r="EF31" s="121" t="n"/>
      <c r="EG31" s="122" t="n"/>
      <c r="EH31" s="121" t="n"/>
      <c r="EI31" s="122" t="n"/>
      <c r="EJ31" s="121" t="n"/>
      <c r="EK31" s="122" t="n"/>
      <c r="EL31" s="190" t="n"/>
      <c r="EM31" s="124" t="n"/>
      <c r="EN31" s="125" t="n"/>
      <c r="EO31" s="124" t="n"/>
      <c r="EP31" s="125" t="n"/>
      <c r="EQ31" s="124" t="n"/>
      <c r="ER31" s="125" t="n"/>
      <c r="ES31" s="124" t="n"/>
      <c r="ET31" s="125" t="n"/>
      <c r="EU31" s="124" t="n"/>
      <c r="EV31" s="125" t="n"/>
      <c r="EW31" s="124" t="n"/>
      <c r="EX31" s="125" t="n"/>
      <c r="EY31" s="124" t="n"/>
      <c r="EZ31" s="125" t="n"/>
      <c r="FA31" s="124" t="n"/>
      <c r="FB31" s="125" t="n"/>
      <c r="FC31" s="191" t="n"/>
      <c r="FD31" s="127" t="n"/>
      <c r="FE31" s="128" t="n"/>
      <c r="FF31" s="127" t="n"/>
      <c r="FG31" s="128" t="n"/>
      <c r="FH31" s="127" t="n"/>
      <c r="FI31" s="128" t="n"/>
      <c r="FJ31" s="127" t="n"/>
      <c r="FK31" s="128" t="n"/>
      <c r="FL31" s="127" t="n"/>
      <c r="FM31" s="128" t="n"/>
      <c r="FN31" s="127" t="n"/>
      <c r="FO31" s="128" t="n"/>
      <c r="FP31" s="127" t="n"/>
      <c r="FQ31" s="128" t="n"/>
      <c r="FR31" s="127" t="n"/>
      <c r="FS31" s="128" t="n"/>
      <c r="FT31" s="192" t="n"/>
      <c r="FU31" s="130" t="n"/>
      <c r="FV31" s="131" t="n"/>
      <c r="FW31" s="130" t="n"/>
      <c r="FX31" s="131" t="n"/>
      <c r="FY31" s="130" t="n"/>
      <c r="FZ31" s="131" t="n"/>
      <c r="GA31" s="130" t="n"/>
      <c r="GB31" s="131" t="n"/>
      <c r="GC31" s="130" t="n"/>
      <c r="GD31" s="131" t="n"/>
      <c r="GE31" s="130" t="n"/>
      <c r="GF31" s="131" t="n"/>
      <c r="GG31" s="130" t="n"/>
      <c r="GH31" s="131" t="n"/>
      <c r="GI31" s="130" t="n"/>
      <c r="GJ31" s="131" t="n"/>
      <c r="GK31" s="193" t="n"/>
      <c r="GL31" s="133" t="n"/>
      <c r="GM31" s="134" t="n"/>
      <c r="GN31" s="133" t="n"/>
      <c r="GO31" s="134" t="n"/>
      <c r="GP31" s="133" t="n"/>
      <c r="GQ31" s="134" t="n"/>
      <c r="GR31" s="133" t="n"/>
      <c r="GS31" s="134" t="n"/>
      <c r="GT31" s="133" t="n"/>
      <c r="GU31" s="134" t="n"/>
      <c r="GV31" s="133" t="n"/>
      <c r="GW31" s="134" t="n"/>
      <c r="GX31" s="133" t="n"/>
      <c r="GY31" s="134" t="n"/>
      <c r="GZ31" s="133" t="n"/>
      <c r="HA31" s="134" t="n"/>
      <c r="HB31" s="194" t="n"/>
      <c r="HC31">
        <f>SUMIFS($G31:$HB31,$G$46:$HB$46,"&gt;="&amp;$HD$1,$G$46:$HB$46,"&lt;="&amp;$HD$2,$G$29:$HB$29,"&lt;&gt;ملاحظات",$G$28:$HB$28,"&gt;0")</f>
        <v>0</v>
      </c>
      <c r="HD31">
        <f>SUMIFS($G$28:$HB$28,$G$46:$HB$46,"&gt;="&amp;$HD$1,$G$46:$HB$46,"&lt;="&amp;$HD$2,$G$29:$HB$29,"&lt;&gt;ملاحظات",$G31:$HB31,"&gt;=0")</f>
        <v>0</v>
      </c>
    </row>
    <row r="32" ht="22.5" customHeight="1">
      <c r="A32" s="36" t="n">
        <v>3</v>
      </c>
      <c r="B32" s="181" t="str">
        <f>IF($B7="","",$B7)</f>
        <v/>
      </c>
      <c r="C32" s="136" t="str">
        <f>IF(OR($B32="",$HD32=0),"",ROUND($HC32,2)&amp;" / "&amp;$HD32)</f>
        <v/>
      </c>
      <c r="D32" s="182" t="str">
        <f>IF(OR($B32="",$HD32=0),"",$HC32/$HD32)</f>
        <v/>
      </c>
      <c r="E32" s="98" t="str">
        <f>IF($D32="","",RANK($D32,$D$30:$D$44))</f>
        <v/>
      </c>
      <c r="F32" s="99" t="str">
        <f>IF($D32="","",IF($D32&gt;=0.85,"ممتاز",IF($D32&gt;=0.75,"جيد جداً",IF($D32&gt;=0.65,"جيد",IF($D32&gt;=0.5,"مقبول","ضعيف")))))</f>
        <v/>
      </c>
      <c r="G32" s="100" t="n"/>
      <c r="H32" s="101" t="n"/>
      <c r="I32" s="100" t="n"/>
      <c r="J32" s="101" t="n"/>
      <c r="K32" s="100" t="n"/>
      <c r="L32" s="101" t="n"/>
      <c r="M32" s="100" t="n"/>
      <c r="N32" s="101" t="n"/>
      <c r="O32" s="100" t="n"/>
      <c r="P32" s="101" t="n"/>
      <c r="Q32" s="100" t="n"/>
      <c r="R32" s="101" t="n"/>
      <c r="S32" s="100" t="n"/>
      <c r="T32" s="101" t="n"/>
      <c r="U32" s="100" t="n"/>
      <c r="V32" s="101" t="n"/>
      <c r="W32" s="183" t="n"/>
      <c r="X32" s="103" t="n"/>
      <c r="Y32" s="104" t="n"/>
      <c r="Z32" s="103" t="n"/>
      <c r="AA32" s="104" t="n"/>
      <c r="AB32" s="103" t="n"/>
      <c r="AC32" s="104" t="n"/>
      <c r="AD32" s="103" t="n"/>
      <c r="AE32" s="104" t="n"/>
      <c r="AF32" s="103" t="n"/>
      <c r="AG32" s="104" t="n"/>
      <c r="AH32" s="103" t="n"/>
      <c r="AI32" s="104" t="n"/>
      <c r="AJ32" s="103" t="n"/>
      <c r="AK32" s="104" t="n"/>
      <c r="AL32" s="103" t="n"/>
      <c r="AM32" s="104" t="n"/>
      <c r="AN32" s="184" t="n"/>
      <c r="AO32" s="106" t="n"/>
      <c r="AP32" s="107" t="n"/>
      <c r="AQ32" s="106" t="n"/>
      <c r="AR32" s="107" t="n"/>
      <c r="AS32" s="106" t="n"/>
      <c r="AT32" s="107" t="n"/>
      <c r="AU32" s="106" t="n"/>
      <c r="AV32" s="107" t="n"/>
      <c r="AW32" s="106" t="n"/>
      <c r="AX32" s="107" t="n"/>
      <c r="AY32" s="106" t="n"/>
      <c r="AZ32" s="107" t="n"/>
      <c r="BA32" s="106" t="n"/>
      <c r="BB32" s="107" t="n"/>
      <c r="BC32" s="106" t="n"/>
      <c r="BD32" s="107" t="n"/>
      <c r="BE32" s="185" t="n"/>
      <c r="BF32" s="109" t="n"/>
      <c r="BG32" s="110" t="n"/>
      <c r="BH32" s="109" t="n"/>
      <c r="BI32" s="110" t="n"/>
      <c r="BJ32" s="109" t="n"/>
      <c r="BK32" s="110" t="n"/>
      <c r="BL32" s="109" t="n"/>
      <c r="BM32" s="110" t="n"/>
      <c r="BN32" s="109" t="n"/>
      <c r="BO32" s="110" t="n"/>
      <c r="BP32" s="109" t="n"/>
      <c r="BQ32" s="110" t="n"/>
      <c r="BR32" s="109" t="n"/>
      <c r="BS32" s="110" t="n"/>
      <c r="BT32" s="109" t="n"/>
      <c r="BU32" s="110" t="n"/>
      <c r="BV32" s="186" t="n"/>
      <c r="BW32" s="112" t="n"/>
      <c r="BX32" s="113" t="n"/>
      <c r="BY32" s="112" t="n"/>
      <c r="BZ32" s="113" t="n"/>
      <c r="CA32" s="112" t="n"/>
      <c r="CB32" s="113" t="n"/>
      <c r="CC32" s="112" t="n"/>
      <c r="CD32" s="113" t="n"/>
      <c r="CE32" s="112" t="n"/>
      <c r="CF32" s="113" t="n"/>
      <c r="CG32" s="112" t="n"/>
      <c r="CH32" s="113" t="n"/>
      <c r="CI32" s="112" t="n"/>
      <c r="CJ32" s="113" t="n"/>
      <c r="CK32" s="112" t="n"/>
      <c r="CL32" s="113" t="n"/>
      <c r="CM32" s="187" t="n"/>
      <c r="CN32" s="115" t="n"/>
      <c r="CO32" s="116" t="n"/>
      <c r="CP32" s="115" t="n"/>
      <c r="CQ32" s="116" t="n"/>
      <c r="CR32" s="115" t="n"/>
      <c r="CS32" s="116" t="n"/>
      <c r="CT32" s="115" t="n"/>
      <c r="CU32" s="116" t="n"/>
      <c r="CV32" s="115" t="n"/>
      <c r="CW32" s="116" t="n"/>
      <c r="CX32" s="115" t="n"/>
      <c r="CY32" s="116" t="n"/>
      <c r="CZ32" s="115" t="n"/>
      <c r="DA32" s="116" t="n"/>
      <c r="DB32" s="115" t="n"/>
      <c r="DC32" s="116" t="n"/>
      <c r="DD32" s="188" t="n"/>
      <c r="DE32" s="118" t="n"/>
      <c r="DF32" s="119" t="n"/>
      <c r="DG32" s="118" t="n"/>
      <c r="DH32" s="119" t="n"/>
      <c r="DI32" s="118" t="n"/>
      <c r="DJ32" s="119" t="n"/>
      <c r="DK32" s="118" t="n"/>
      <c r="DL32" s="119" t="n"/>
      <c r="DM32" s="118" t="n"/>
      <c r="DN32" s="119" t="n"/>
      <c r="DO32" s="118" t="n"/>
      <c r="DP32" s="119" t="n"/>
      <c r="DQ32" s="118" t="n"/>
      <c r="DR32" s="119" t="n"/>
      <c r="DS32" s="118" t="n"/>
      <c r="DT32" s="119" t="n"/>
      <c r="DU32" s="189" t="n"/>
      <c r="DV32" s="121" t="n"/>
      <c r="DW32" s="122" t="n"/>
      <c r="DX32" s="121" t="n"/>
      <c r="DY32" s="122" t="n"/>
      <c r="DZ32" s="121" t="n"/>
      <c r="EA32" s="122" t="n"/>
      <c r="EB32" s="121" t="n"/>
      <c r="EC32" s="122" t="n"/>
      <c r="ED32" s="121" t="n"/>
      <c r="EE32" s="122" t="n"/>
      <c r="EF32" s="121" t="n"/>
      <c r="EG32" s="122" t="n"/>
      <c r="EH32" s="121" t="n"/>
      <c r="EI32" s="122" t="n"/>
      <c r="EJ32" s="121" t="n"/>
      <c r="EK32" s="122" t="n"/>
      <c r="EL32" s="190" t="n"/>
      <c r="EM32" s="124" t="n"/>
      <c r="EN32" s="125" t="n"/>
      <c r="EO32" s="124" t="n"/>
      <c r="EP32" s="125" t="n"/>
      <c r="EQ32" s="124" t="n"/>
      <c r="ER32" s="125" t="n"/>
      <c r="ES32" s="124" t="n"/>
      <c r="ET32" s="125" t="n"/>
      <c r="EU32" s="124" t="n"/>
      <c r="EV32" s="125" t="n"/>
      <c r="EW32" s="124" t="n"/>
      <c r="EX32" s="125" t="n"/>
      <c r="EY32" s="124" t="n"/>
      <c r="EZ32" s="125" t="n"/>
      <c r="FA32" s="124" t="n"/>
      <c r="FB32" s="125" t="n"/>
      <c r="FC32" s="191" t="n"/>
      <c r="FD32" s="127" t="n"/>
      <c r="FE32" s="128" t="n"/>
      <c r="FF32" s="127" t="n"/>
      <c r="FG32" s="128" t="n"/>
      <c r="FH32" s="127" t="n"/>
      <c r="FI32" s="128" t="n"/>
      <c r="FJ32" s="127" t="n"/>
      <c r="FK32" s="128" t="n"/>
      <c r="FL32" s="127" t="n"/>
      <c r="FM32" s="128" t="n"/>
      <c r="FN32" s="127" t="n"/>
      <c r="FO32" s="128" t="n"/>
      <c r="FP32" s="127" t="n"/>
      <c r="FQ32" s="128" t="n"/>
      <c r="FR32" s="127" t="n"/>
      <c r="FS32" s="128" t="n"/>
      <c r="FT32" s="192" t="n"/>
      <c r="FU32" s="130" t="n"/>
      <c r="FV32" s="131" t="n"/>
      <c r="FW32" s="130" t="n"/>
      <c r="FX32" s="131" t="n"/>
      <c r="FY32" s="130" t="n"/>
      <c r="FZ32" s="131" t="n"/>
      <c r="GA32" s="130" t="n"/>
      <c r="GB32" s="131" t="n"/>
      <c r="GC32" s="130" t="n"/>
      <c r="GD32" s="131" t="n"/>
      <c r="GE32" s="130" t="n"/>
      <c r="GF32" s="131" t="n"/>
      <c r="GG32" s="130" t="n"/>
      <c r="GH32" s="131" t="n"/>
      <c r="GI32" s="130" t="n"/>
      <c r="GJ32" s="131" t="n"/>
      <c r="GK32" s="193" t="n"/>
      <c r="GL32" s="133" t="n"/>
      <c r="GM32" s="134" t="n"/>
      <c r="GN32" s="133" t="n"/>
      <c r="GO32" s="134" t="n"/>
      <c r="GP32" s="133" t="n"/>
      <c r="GQ32" s="134" t="n"/>
      <c r="GR32" s="133" t="n"/>
      <c r="GS32" s="134" t="n"/>
      <c r="GT32" s="133" t="n"/>
      <c r="GU32" s="134" t="n"/>
      <c r="GV32" s="133" t="n"/>
      <c r="GW32" s="134" t="n"/>
      <c r="GX32" s="133" t="n"/>
      <c r="GY32" s="134" t="n"/>
      <c r="GZ32" s="133" t="n"/>
      <c r="HA32" s="134" t="n"/>
      <c r="HB32" s="194" t="n"/>
      <c r="HC32">
        <f>SUMIFS($G32:$HB32,$G$46:$HB$46,"&gt;="&amp;$HD$1,$G$46:$HB$46,"&lt;="&amp;$HD$2,$G$29:$HB$29,"&lt;&gt;ملاحظات",$G$28:$HB$28,"&gt;0")</f>
        <v>0</v>
      </c>
      <c r="HD32">
        <f>SUMIFS($G$28:$HB$28,$G$46:$HB$46,"&gt;="&amp;$HD$1,$G$46:$HB$46,"&lt;="&amp;$HD$2,$G$29:$HB$29,"&lt;&gt;ملاحظات",$G32:$HB32,"&gt;=0")</f>
        <v>0</v>
      </c>
    </row>
    <row r="33" ht="22.5" customHeight="1">
      <c r="A33" s="36" t="n">
        <v>4</v>
      </c>
      <c r="B33" s="181" t="str">
        <f>IF($B8="","",$B8)</f>
        <v/>
      </c>
      <c r="C33" s="136" t="str">
        <f>IF(OR($B33="",$HD33=0),"",ROUND($HC33,2)&amp;" / "&amp;$HD33)</f>
        <v/>
      </c>
      <c r="D33" s="182" t="str">
        <f>IF(OR($B33="",$HD33=0),"",$HC33/$HD33)</f>
        <v/>
      </c>
      <c r="E33" s="98" t="str">
        <f>IF($D33="","",RANK($D33,$D$30:$D$44))</f>
        <v/>
      </c>
      <c r="F33" s="99" t="str">
        <f>IF($D33="","",IF($D33&gt;=0.85,"ممتاز",IF($D33&gt;=0.75,"جيد جداً",IF($D33&gt;=0.65,"جيد",IF($D33&gt;=0.5,"مقبول","ضعيف")))))</f>
        <v/>
      </c>
      <c r="G33" s="100" t="n"/>
      <c r="H33" s="101" t="n"/>
      <c r="I33" s="100" t="n"/>
      <c r="J33" s="101" t="n"/>
      <c r="K33" s="100" t="n"/>
      <c r="L33" s="101" t="n"/>
      <c r="M33" s="100" t="n"/>
      <c r="N33" s="101" t="n"/>
      <c r="O33" s="100" t="n"/>
      <c r="P33" s="101" t="n"/>
      <c r="Q33" s="100" t="n"/>
      <c r="R33" s="101" t="n"/>
      <c r="S33" s="100" t="n"/>
      <c r="T33" s="101" t="n"/>
      <c r="U33" s="100" t="n"/>
      <c r="V33" s="101" t="n"/>
      <c r="W33" s="183" t="n"/>
      <c r="X33" s="103" t="n"/>
      <c r="Y33" s="104" t="n"/>
      <c r="Z33" s="103" t="n"/>
      <c r="AA33" s="104" t="n"/>
      <c r="AB33" s="103" t="n"/>
      <c r="AC33" s="104" t="n"/>
      <c r="AD33" s="103" t="n"/>
      <c r="AE33" s="104" t="n"/>
      <c r="AF33" s="103" t="n"/>
      <c r="AG33" s="104" t="n"/>
      <c r="AH33" s="103" t="n"/>
      <c r="AI33" s="104" t="n"/>
      <c r="AJ33" s="103" t="n"/>
      <c r="AK33" s="104" t="n"/>
      <c r="AL33" s="103" t="n"/>
      <c r="AM33" s="104" t="n"/>
      <c r="AN33" s="184" t="n"/>
      <c r="AO33" s="106" t="n"/>
      <c r="AP33" s="107" t="n"/>
      <c r="AQ33" s="106" t="n"/>
      <c r="AR33" s="107" t="n"/>
      <c r="AS33" s="106" t="n"/>
      <c r="AT33" s="107" t="n"/>
      <c r="AU33" s="106" t="n"/>
      <c r="AV33" s="107" t="n"/>
      <c r="AW33" s="106" t="n"/>
      <c r="AX33" s="107" t="n"/>
      <c r="AY33" s="106" t="n"/>
      <c r="AZ33" s="107" t="n"/>
      <c r="BA33" s="106" t="n"/>
      <c r="BB33" s="107" t="n"/>
      <c r="BC33" s="106" t="n"/>
      <c r="BD33" s="107" t="n"/>
      <c r="BE33" s="185" t="n"/>
      <c r="BF33" s="109" t="n"/>
      <c r="BG33" s="110" t="n"/>
      <c r="BH33" s="109" t="n"/>
      <c r="BI33" s="110" t="n"/>
      <c r="BJ33" s="109" t="n"/>
      <c r="BK33" s="110" t="n"/>
      <c r="BL33" s="109" t="n"/>
      <c r="BM33" s="110" t="n"/>
      <c r="BN33" s="109" t="n"/>
      <c r="BO33" s="110" t="n"/>
      <c r="BP33" s="109" t="n"/>
      <c r="BQ33" s="110" t="n"/>
      <c r="BR33" s="109" t="n"/>
      <c r="BS33" s="110" t="n"/>
      <c r="BT33" s="109" t="n"/>
      <c r="BU33" s="110" t="n"/>
      <c r="BV33" s="186" t="n"/>
      <c r="BW33" s="112" t="n"/>
      <c r="BX33" s="113" t="n"/>
      <c r="BY33" s="112" t="n"/>
      <c r="BZ33" s="113" t="n"/>
      <c r="CA33" s="112" t="n"/>
      <c r="CB33" s="113" t="n"/>
      <c r="CC33" s="112" t="n"/>
      <c r="CD33" s="113" t="n"/>
      <c r="CE33" s="112" t="n"/>
      <c r="CF33" s="113" t="n"/>
      <c r="CG33" s="112" t="n"/>
      <c r="CH33" s="113" t="n"/>
      <c r="CI33" s="112" t="n"/>
      <c r="CJ33" s="113" t="n"/>
      <c r="CK33" s="112" t="n"/>
      <c r="CL33" s="113" t="n"/>
      <c r="CM33" s="187" t="n"/>
      <c r="CN33" s="115" t="n"/>
      <c r="CO33" s="116" t="n"/>
      <c r="CP33" s="115" t="n"/>
      <c r="CQ33" s="116" t="n"/>
      <c r="CR33" s="115" t="n"/>
      <c r="CS33" s="116" t="n"/>
      <c r="CT33" s="115" t="n"/>
      <c r="CU33" s="116" t="n"/>
      <c r="CV33" s="115" t="n"/>
      <c r="CW33" s="116" t="n"/>
      <c r="CX33" s="115" t="n"/>
      <c r="CY33" s="116" t="n"/>
      <c r="CZ33" s="115" t="n"/>
      <c r="DA33" s="116" t="n"/>
      <c r="DB33" s="115" t="n"/>
      <c r="DC33" s="116" t="n"/>
      <c r="DD33" s="188" t="n"/>
      <c r="DE33" s="118" t="n"/>
      <c r="DF33" s="119" t="n"/>
      <c r="DG33" s="118" t="n"/>
      <c r="DH33" s="119" t="n"/>
      <c r="DI33" s="118" t="n"/>
      <c r="DJ33" s="119" t="n"/>
      <c r="DK33" s="118" t="n"/>
      <c r="DL33" s="119" t="n"/>
      <c r="DM33" s="118" t="n"/>
      <c r="DN33" s="119" t="n"/>
      <c r="DO33" s="118" t="n"/>
      <c r="DP33" s="119" t="n"/>
      <c r="DQ33" s="118" t="n"/>
      <c r="DR33" s="119" t="n"/>
      <c r="DS33" s="118" t="n"/>
      <c r="DT33" s="119" t="n"/>
      <c r="DU33" s="189" t="n"/>
      <c r="DV33" s="121" t="n"/>
      <c r="DW33" s="122" t="n"/>
      <c r="DX33" s="121" t="n"/>
      <c r="DY33" s="122" t="n"/>
      <c r="DZ33" s="121" t="n"/>
      <c r="EA33" s="122" t="n"/>
      <c r="EB33" s="121" t="n"/>
      <c r="EC33" s="122" t="n"/>
      <c r="ED33" s="121" t="n"/>
      <c r="EE33" s="122" t="n"/>
      <c r="EF33" s="121" t="n"/>
      <c r="EG33" s="122" t="n"/>
      <c r="EH33" s="121" t="n"/>
      <c r="EI33" s="122" t="n"/>
      <c r="EJ33" s="121" t="n"/>
      <c r="EK33" s="122" t="n"/>
      <c r="EL33" s="190" t="n"/>
      <c r="EM33" s="124" t="n"/>
      <c r="EN33" s="125" t="n"/>
      <c r="EO33" s="124" t="n"/>
      <c r="EP33" s="125" t="n"/>
      <c r="EQ33" s="124" t="n"/>
      <c r="ER33" s="125" t="n"/>
      <c r="ES33" s="124" t="n"/>
      <c r="ET33" s="125" t="n"/>
      <c r="EU33" s="124" t="n"/>
      <c r="EV33" s="125" t="n"/>
      <c r="EW33" s="124" t="n"/>
      <c r="EX33" s="125" t="n"/>
      <c r="EY33" s="124" t="n"/>
      <c r="EZ33" s="125" t="n"/>
      <c r="FA33" s="124" t="n"/>
      <c r="FB33" s="125" t="n"/>
      <c r="FC33" s="191" t="n"/>
      <c r="FD33" s="127" t="n"/>
      <c r="FE33" s="128" t="n"/>
      <c r="FF33" s="127" t="n"/>
      <c r="FG33" s="128" t="n"/>
      <c r="FH33" s="127" t="n"/>
      <c r="FI33" s="128" t="n"/>
      <c r="FJ33" s="127" t="n"/>
      <c r="FK33" s="128" t="n"/>
      <c r="FL33" s="127" t="n"/>
      <c r="FM33" s="128" t="n"/>
      <c r="FN33" s="127" t="n"/>
      <c r="FO33" s="128" t="n"/>
      <c r="FP33" s="127" t="n"/>
      <c r="FQ33" s="128" t="n"/>
      <c r="FR33" s="127" t="n"/>
      <c r="FS33" s="128" t="n"/>
      <c r="FT33" s="192" t="n"/>
      <c r="FU33" s="130" t="n"/>
      <c r="FV33" s="131" t="n"/>
      <c r="FW33" s="130" t="n"/>
      <c r="FX33" s="131" t="n"/>
      <c r="FY33" s="130" t="n"/>
      <c r="FZ33" s="131" t="n"/>
      <c r="GA33" s="130" t="n"/>
      <c r="GB33" s="131" t="n"/>
      <c r="GC33" s="130" t="n"/>
      <c r="GD33" s="131" t="n"/>
      <c r="GE33" s="130" t="n"/>
      <c r="GF33" s="131" t="n"/>
      <c r="GG33" s="130" t="n"/>
      <c r="GH33" s="131" t="n"/>
      <c r="GI33" s="130" t="n"/>
      <c r="GJ33" s="131" t="n"/>
      <c r="GK33" s="193" t="n"/>
      <c r="GL33" s="133" t="n"/>
      <c r="GM33" s="134" t="n"/>
      <c r="GN33" s="133" t="n"/>
      <c r="GO33" s="134" t="n"/>
      <c r="GP33" s="133" t="n"/>
      <c r="GQ33" s="134" t="n"/>
      <c r="GR33" s="133" t="n"/>
      <c r="GS33" s="134" t="n"/>
      <c r="GT33" s="133" t="n"/>
      <c r="GU33" s="134" t="n"/>
      <c r="GV33" s="133" t="n"/>
      <c r="GW33" s="134" t="n"/>
      <c r="GX33" s="133" t="n"/>
      <c r="GY33" s="134" t="n"/>
      <c r="GZ33" s="133" t="n"/>
      <c r="HA33" s="134" t="n"/>
      <c r="HB33" s="194" t="n"/>
      <c r="HC33">
        <f>SUMIFS($G33:$HB33,$G$46:$HB$46,"&gt;="&amp;$HD$1,$G$46:$HB$46,"&lt;="&amp;$HD$2,$G$29:$HB$29,"&lt;&gt;ملاحظات",$G$28:$HB$28,"&gt;0")</f>
        <v>0</v>
      </c>
      <c r="HD33">
        <f>SUMIFS($G$28:$HB$28,$G$46:$HB$46,"&gt;="&amp;$HD$1,$G$46:$HB$46,"&lt;="&amp;$HD$2,$G$29:$HB$29,"&lt;&gt;ملاحظات",$G33:$HB33,"&gt;=0")</f>
        <v>0</v>
      </c>
    </row>
    <row r="34" ht="22.5" customHeight="1">
      <c r="A34" s="36" t="n">
        <v>5</v>
      </c>
      <c r="B34" s="181" t="str">
        <f>IF($B9="","",$B9)</f>
        <v/>
      </c>
      <c r="C34" s="136" t="str">
        <f>IF(OR($B34="",$HD34=0),"",ROUND($HC34,2)&amp;" / "&amp;$HD34)</f>
        <v/>
      </c>
      <c r="D34" s="182" t="str">
        <f>IF(OR($B34="",$HD34=0),"",$HC34/$HD34)</f>
        <v/>
      </c>
      <c r="E34" s="98" t="str">
        <f>IF($D34="","",RANK($D34,$D$30:$D$44))</f>
        <v/>
      </c>
      <c r="F34" s="99" t="str">
        <f>IF($D34="","",IF($D34&gt;=0.85,"ممتاز",IF($D34&gt;=0.75,"جيد جداً",IF($D34&gt;=0.65,"جيد",IF($D34&gt;=0.5,"مقبول","ضعيف")))))</f>
        <v/>
      </c>
      <c r="G34" s="100" t="n"/>
      <c r="H34" s="101" t="n"/>
      <c r="I34" s="100" t="n"/>
      <c r="J34" s="101" t="n"/>
      <c r="K34" s="100" t="n"/>
      <c r="L34" s="101" t="n"/>
      <c r="M34" s="100" t="n"/>
      <c r="N34" s="101" t="n"/>
      <c r="O34" s="100" t="n"/>
      <c r="P34" s="101" t="n"/>
      <c r="Q34" s="100" t="n"/>
      <c r="R34" s="101" t="n"/>
      <c r="S34" s="100" t="n"/>
      <c r="T34" s="101" t="n"/>
      <c r="U34" s="100" t="n"/>
      <c r="V34" s="101" t="n"/>
      <c r="W34" s="183" t="n"/>
      <c r="X34" s="103" t="n"/>
      <c r="Y34" s="104" t="n"/>
      <c r="Z34" s="103" t="n"/>
      <c r="AA34" s="104" t="n"/>
      <c r="AB34" s="103" t="n"/>
      <c r="AC34" s="104" t="n"/>
      <c r="AD34" s="103" t="n"/>
      <c r="AE34" s="104" t="n"/>
      <c r="AF34" s="103" t="n"/>
      <c r="AG34" s="104" t="n"/>
      <c r="AH34" s="103" t="n"/>
      <c r="AI34" s="104" t="n"/>
      <c r="AJ34" s="103" t="n"/>
      <c r="AK34" s="104" t="n"/>
      <c r="AL34" s="103" t="n"/>
      <c r="AM34" s="104" t="n"/>
      <c r="AN34" s="184" t="n"/>
      <c r="AO34" s="106" t="n"/>
      <c r="AP34" s="107" t="n"/>
      <c r="AQ34" s="106" t="n"/>
      <c r="AR34" s="107" t="n"/>
      <c r="AS34" s="106" t="n"/>
      <c r="AT34" s="107" t="n"/>
      <c r="AU34" s="106" t="n"/>
      <c r="AV34" s="107" t="n"/>
      <c r="AW34" s="106" t="n"/>
      <c r="AX34" s="107" t="n"/>
      <c r="AY34" s="106" t="n"/>
      <c r="AZ34" s="107" t="n"/>
      <c r="BA34" s="106" t="n"/>
      <c r="BB34" s="107" t="n"/>
      <c r="BC34" s="106" t="n"/>
      <c r="BD34" s="107" t="n"/>
      <c r="BE34" s="185" t="n"/>
      <c r="BF34" s="109" t="n"/>
      <c r="BG34" s="110" t="n"/>
      <c r="BH34" s="109" t="n"/>
      <c r="BI34" s="110" t="n"/>
      <c r="BJ34" s="109" t="n"/>
      <c r="BK34" s="110" t="n"/>
      <c r="BL34" s="109" t="n"/>
      <c r="BM34" s="110" t="n"/>
      <c r="BN34" s="109" t="n"/>
      <c r="BO34" s="110" t="n"/>
      <c r="BP34" s="109" t="n"/>
      <c r="BQ34" s="110" t="n"/>
      <c r="BR34" s="109" t="n"/>
      <c r="BS34" s="110" t="n"/>
      <c r="BT34" s="109" t="n"/>
      <c r="BU34" s="110" t="n"/>
      <c r="BV34" s="186" t="n"/>
      <c r="BW34" s="112" t="n"/>
      <c r="BX34" s="113" t="n"/>
      <c r="BY34" s="112" t="n"/>
      <c r="BZ34" s="113" t="n"/>
      <c r="CA34" s="112" t="n"/>
      <c r="CB34" s="113" t="n"/>
      <c r="CC34" s="112" t="n"/>
      <c r="CD34" s="113" t="n"/>
      <c r="CE34" s="112" t="n"/>
      <c r="CF34" s="113" t="n"/>
      <c r="CG34" s="112" t="n"/>
      <c r="CH34" s="113" t="n"/>
      <c r="CI34" s="112" t="n"/>
      <c r="CJ34" s="113" t="n"/>
      <c r="CK34" s="112" t="n"/>
      <c r="CL34" s="113" t="n"/>
      <c r="CM34" s="187" t="n"/>
      <c r="CN34" s="115" t="n"/>
      <c r="CO34" s="116" t="n"/>
      <c r="CP34" s="115" t="n"/>
      <c r="CQ34" s="116" t="n"/>
      <c r="CR34" s="115" t="n"/>
      <c r="CS34" s="116" t="n"/>
      <c r="CT34" s="115" t="n"/>
      <c r="CU34" s="116" t="n"/>
      <c r="CV34" s="115" t="n"/>
      <c r="CW34" s="116" t="n"/>
      <c r="CX34" s="115" t="n"/>
      <c r="CY34" s="116" t="n"/>
      <c r="CZ34" s="115" t="n"/>
      <c r="DA34" s="116" t="n"/>
      <c r="DB34" s="115" t="n"/>
      <c r="DC34" s="116" t="n"/>
      <c r="DD34" s="188" t="n"/>
      <c r="DE34" s="118" t="n"/>
      <c r="DF34" s="119" t="n"/>
      <c r="DG34" s="118" t="n"/>
      <c r="DH34" s="119" t="n"/>
      <c r="DI34" s="118" t="n"/>
      <c r="DJ34" s="119" t="n"/>
      <c r="DK34" s="118" t="n"/>
      <c r="DL34" s="119" t="n"/>
      <c r="DM34" s="118" t="n"/>
      <c r="DN34" s="119" t="n"/>
      <c r="DO34" s="118" t="n"/>
      <c r="DP34" s="119" t="n"/>
      <c r="DQ34" s="118" t="n"/>
      <c r="DR34" s="119" t="n"/>
      <c r="DS34" s="118" t="n"/>
      <c r="DT34" s="119" t="n"/>
      <c r="DU34" s="189" t="n"/>
      <c r="DV34" s="121" t="n"/>
      <c r="DW34" s="122" t="n"/>
      <c r="DX34" s="121" t="n"/>
      <c r="DY34" s="122" t="n"/>
      <c r="DZ34" s="121" t="n"/>
      <c r="EA34" s="122" t="n"/>
      <c r="EB34" s="121" t="n"/>
      <c r="EC34" s="122" t="n"/>
      <c r="ED34" s="121" t="n"/>
      <c r="EE34" s="122" t="n"/>
      <c r="EF34" s="121" t="n"/>
      <c r="EG34" s="122" t="n"/>
      <c r="EH34" s="121" t="n"/>
      <c r="EI34" s="122" t="n"/>
      <c r="EJ34" s="121" t="n"/>
      <c r="EK34" s="122" t="n"/>
      <c r="EL34" s="190" t="n"/>
      <c r="EM34" s="124" t="n"/>
      <c r="EN34" s="125" t="n"/>
      <c r="EO34" s="124" t="n"/>
      <c r="EP34" s="125" t="n"/>
      <c r="EQ34" s="124" t="n"/>
      <c r="ER34" s="125" t="n"/>
      <c r="ES34" s="124" t="n"/>
      <c r="ET34" s="125" t="n"/>
      <c r="EU34" s="124" t="n"/>
      <c r="EV34" s="125" t="n"/>
      <c r="EW34" s="124" t="n"/>
      <c r="EX34" s="125" t="n"/>
      <c r="EY34" s="124" t="n"/>
      <c r="EZ34" s="125" t="n"/>
      <c r="FA34" s="124" t="n"/>
      <c r="FB34" s="125" t="n"/>
      <c r="FC34" s="191" t="n"/>
      <c r="FD34" s="127" t="n"/>
      <c r="FE34" s="128" t="n"/>
      <c r="FF34" s="127" t="n"/>
      <c r="FG34" s="128" t="n"/>
      <c r="FH34" s="127" t="n"/>
      <c r="FI34" s="128" t="n"/>
      <c r="FJ34" s="127" t="n"/>
      <c r="FK34" s="128" t="n"/>
      <c r="FL34" s="127" t="n"/>
      <c r="FM34" s="128" t="n"/>
      <c r="FN34" s="127" t="n"/>
      <c r="FO34" s="128" t="n"/>
      <c r="FP34" s="127" t="n"/>
      <c r="FQ34" s="128" t="n"/>
      <c r="FR34" s="127" t="n"/>
      <c r="FS34" s="128" t="n"/>
      <c r="FT34" s="192" t="n"/>
      <c r="FU34" s="130" t="n"/>
      <c r="FV34" s="131" t="n"/>
      <c r="FW34" s="130" t="n"/>
      <c r="FX34" s="131" t="n"/>
      <c r="FY34" s="130" t="n"/>
      <c r="FZ34" s="131" t="n"/>
      <c r="GA34" s="130" t="n"/>
      <c r="GB34" s="131" t="n"/>
      <c r="GC34" s="130" t="n"/>
      <c r="GD34" s="131" t="n"/>
      <c r="GE34" s="130" t="n"/>
      <c r="GF34" s="131" t="n"/>
      <c r="GG34" s="130" t="n"/>
      <c r="GH34" s="131" t="n"/>
      <c r="GI34" s="130" t="n"/>
      <c r="GJ34" s="131" t="n"/>
      <c r="GK34" s="193" t="n"/>
      <c r="GL34" s="133" t="n"/>
      <c r="GM34" s="134" t="n"/>
      <c r="GN34" s="133" t="n"/>
      <c r="GO34" s="134" t="n"/>
      <c r="GP34" s="133" t="n"/>
      <c r="GQ34" s="134" t="n"/>
      <c r="GR34" s="133" t="n"/>
      <c r="GS34" s="134" t="n"/>
      <c r="GT34" s="133" t="n"/>
      <c r="GU34" s="134" t="n"/>
      <c r="GV34" s="133" t="n"/>
      <c r="GW34" s="134" t="n"/>
      <c r="GX34" s="133" t="n"/>
      <c r="GY34" s="134" t="n"/>
      <c r="GZ34" s="133" t="n"/>
      <c r="HA34" s="134" t="n"/>
      <c r="HB34" s="194" t="n"/>
      <c r="HC34">
        <f>SUMIFS($G34:$HB34,$G$46:$HB$46,"&gt;="&amp;$HD$1,$G$46:$HB$46,"&lt;="&amp;$HD$2,$G$29:$HB$29,"&lt;&gt;ملاحظات",$G$28:$HB$28,"&gt;0")</f>
        <v>0</v>
      </c>
      <c r="HD34">
        <f>SUMIFS($G$28:$HB$28,$G$46:$HB$46,"&gt;="&amp;$HD$1,$G$46:$HB$46,"&lt;="&amp;$HD$2,$G$29:$HB$29,"&lt;&gt;ملاحظات",$G34:$HB34,"&gt;=0")</f>
        <v>0</v>
      </c>
    </row>
    <row r="35" ht="22.5" customHeight="1">
      <c r="A35" s="36" t="n">
        <v>6</v>
      </c>
      <c r="B35" s="181" t="str">
        <f>IF($B10="","",$B10)</f>
        <v/>
      </c>
      <c r="C35" s="136" t="str">
        <f>IF(OR($B35="",$HD35=0),"",ROUND($HC35,2)&amp;" / "&amp;$HD35)</f>
        <v/>
      </c>
      <c r="D35" s="182" t="str">
        <f>IF(OR($B35="",$HD35=0),"",$HC35/$HD35)</f>
        <v/>
      </c>
      <c r="E35" s="98" t="str">
        <f>IF($D35="","",RANK($D35,$D$30:$D$44))</f>
        <v/>
      </c>
      <c r="F35" s="99" t="str">
        <f>IF($D35="","",IF($D35&gt;=0.85,"ممتاز",IF($D35&gt;=0.75,"جيد جداً",IF($D35&gt;=0.65,"جيد",IF($D35&gt;=0.5,"مقبول","ضعيف")))))</f>
        <v/>
      </c>
      <c r="G35" s="100" t="n"/>
      <c r="H35" s="101" t="n"/>
      <c r="I35" s="100" t="n"/>
      <c r="J35" s="101" t="n"/>
      <c r="K35" s="100" t="n"/>
      <c r="L35" s="101" t="n"/>
      <c r="M35" s="100" t="n"/>
      <c r="N35" s="101" t="n"/>
      <c r="O35" s="100" t="n"/>
      <c r="P35" s="101" t="n"/>
      <c r="Q35" s="100" t="n"/>
      <c r="R35" s="101" t="n"/>
      <c r="S35" s="100" t="n"/>
      <c r="T35" s="101" t="n"/>
      <c r="U35" s="100" t="n"/>
      <c r="V35" s="101" t="n"/>
      <c r="W35" s="183" t="n"/>
      <c r="X35" s="103" t="n"/>
      <c r="Y35" s="104" t="n"/>
      <c r="Z35" s="103" t="n"/>
      <c r="AA35" s="104" t="n"/>
      <c r="AB35" s="103" t="n"/>
      <c r="AC35" s="104" t="n"/>
      <c r="AD35" s="103" t="n"/>
      <c r="AE35" s="104" t="n"/>
      <c r="AF35" s="103" t="n"/>
      <c r="AG35" s="104" t="n"/>
      <c r="AH35" s="103" t="n"/>
      <c r="AI35" s="104" t="n"/>
      <c r="AJ35" s="103" t="n"/>
      <c r="AK35" s="104" t="n"/>
      <c r="AL35" s="103" t="n"/>
      <c r="AM35" s="104" t="n"/>
      <c r="AN35" s="184" t="n"/>
      <c r="AO35" s="106" t="n"/>
      <c r="AP35" s="107" t="n"/>
      <c r="AQ35" s="106" t="n"/>
      <c r="AR35" s="107" t="n"/>
      <c r="AS35" s="106" t="n"/>
      <c r="AT35" s="107" t="n"/>
      <c r="AU35" s="106" t="n"/>
      <c r="AV35" s="107" t="n"/>
      <c r="AW35" s="106" t="n"/>
      <c r="AX35" s="107" t="n"/>
      <c r="AY35" s="106" t="n"/>
      <c r="AZ35" s="107" t="n"/>
      <c r="BA35" s="106" t="n"/>
      <c r="BB35" s="107" t="n"/>
      <c r="BC35" s="106" t="n"/>
      <c r="BD35" s="107" t="n"/>
      <c r="BE35" s="185" t="n"/>
      <c r="BF35" s="109" t="n"/>
      <c r="BG35" s="110" t="n"/>
      <c r="BH35" s="109" t="n"/>
      <c r="BI35" s="110" t="n"/>
      <c r="BJ35" s="109" t="n"/>
      <c r="BK35" s="110" t="n"/>
      <c r="BL35" s="109" t="n"/>
      <c r="BM35" s="110" t="n"/>
      <c r="BN35" s="109" t="n"/>
      <c r="BO35" s="110" t="n"/>
      <c r="BP35" s="109" t="n"/>
      <c r="BQ35" s="110" t="n"/>
      <c r="BR35" s="109" t="n"/>
      <c r="BS35" s="110" t="n"/>
      <c r="BT35" s="109" t="n"/>
      <c r="BU35" s="110" t="n"/>
      <c r="BV35" s="186" t="n"/>
      <c r="BW35" s="112" t="n"/>
      <c r="BX35" s="113" t="n"/>
      <c r="BY35" s="112" t="n"/>
      <c r="BZ35" s="113" t="n"/>
      <c r="CA35" s="112" t="n"/>
      <c r="CB35" s="113" t="n"/>
      <c r="CC35" s="112" t="n"/>
      <c r="CD35" s="113" t="n"/>
      <c r="CE35" s="112" t="n"/>
      <c r="CF35" s="113" t="n"/>
      <c r="CG35" s="112" t="n"/>
      <c r="CH35" s="113" t="n"/>
      <c r="CI35" s="112" t="n"/>
      <c r="CJ35" s="113" t="n"/>
      <c r="CK35" s="112" t="n"/>
      <c r="CL35" s="113" t="n"/>
      <c r="CM35" s="187" t="n"/>
      <c r="CN35" s="115" t="n"/>
      <c r="CO35" s="116" t="n"/>
      <c r="CP35" s="115" t="n"/>
      <c r="CQ35" s="116" t="n"/>
      <c r="CR35" s="115" t="n"/>
      <c r="CS35" s="116" t="n"/>
      <c r="CT35" s="115" t="n"/>
      <c r="CU35" s="116" t="n"/>
      <c r="CV35" s="115" t="n"/>
      <c r="CW35" s="116" t="n"/>
      <c r="CX35" s="115" t="n"/>
      <c r="CY35" s="116" t="n"/>
      <c r="CZ35" s="115" t="n"/>
      <c r="DA35" s="116" t="n"/>
      <c r="DB35" s="115" t="n"/>
      <c r="DC35" s="116" t="n"/>
      <c r="DD35" s="188" t="n"/>
      <c r="DE35" s="118" t="n"/>
      <c r="DF35" s="119" t="n"/>
      <c r="DG35" s="118" t="n"/>
      <c r="DH35" s="119" t="n"/>
      <c r="DI35" s="118" t="n"/>
      <c r="DJ35" s="119" t="n"/>
      <c r="DK35" s="118" t="n"/>
      <c r="DL35" s="119" t="n"/>
      <c r="DM35" s="118" t="n"/>
      <c r="DN35" s="119" t="n"/>
      <c r="DO35" s="118" t="n"/>
      <c r="DP35" s="119" t="n"/>
      <c r="DQ35" s="118" t="n"/>
      <c r="DR35" s="119" t="n"/>
      <c r="DS35" s="118" t="n"/>
      <c r="DT35" s="119" t="n"/>
      <c r="DU35" s="189" t="n"/>
      <c r="DV35" s="121" t="n"/>
      <c r="DW35" s="122" t="n"/>
      <c r="DX35" s="121" t="n"/>
      <c r="DY35" s="122" t="n"/>
      <c r="DZ35" s="121" t="n"/>
      <c r="EA35" s="122" t="n"/>
      <c r="EB35" s="121" t="n"/>
      <c r="EC35" s="122" t="n"/>
      <c r="ED35" s="121" t="n"/>
      <c r="EE35" s="122" t="n"/>
      <c r="EF35" s="121" t="n"/>
      <c r="EG35" s="122" t="n"/>
      <c r="EH35" s="121" t="n"/>
      <c r="EI35" s="122" t="n"/>
      <c r="EJ35" s="121" t="n"/>
      <c r="EK35" s="122" t="n"/>
      <c r="EL35" s="190" t="n"/>
      <c r="EM35" s="124" t="n"/>
      <c r="EN35" s="125" t="n"/>
      <c r="EO35" s="124" t="n"/>
      <c r="EP35" s="125" t="n"/>
      <c r="EQ35" s="124" t="n"/>
      <c r="ER35" s="125" t="n"/>
      <c r="ES35" s="124" t="n"/>
      <c r="ET35" s="125" t="n"/>
      <c r="EU35" s="124" t="n"/>
      <c r="EV35" s="125" t="n"/>
      <c r="EW35" s="124" t="n"/>
      <c r="EX35" s="125" t="n"/>
      <c r="EY35" s="124" t="n"/>
      <c r="EZ35" s="125" t="n"/>
      <c r="FA35" s="124" t="n"/>
      <c r="FB35" s="125" t="n"/>
      <c r="FC35" s="191" t="n"/>
      <c r="FD35" s="127" t="n"/>
      <c r="FE35" s="128" t="n"/>
      <c r="FF35" s="127" t="n"/>
      <c r="FG35" s="128" t="n"/>
      <c r="FH35" s="127" t="n"/>
      <c r="FI35" s="128" t="n"/>
      <c r="FJ35" s="127" t="n"/>
      <c r="FK35" s="128" t="n"/>
      <c r="FL35" s="127" t="n"/>
      <c r="FM35" s="128" t="n"/>
      <c r="FN35" s="127" t="n"/>
      <c r="FO35" s="128" t="n"/>
      <c r="FP35" s="127" t="n"/>
      <c r="FQ35" s="128" t="n"/>
      <c r="FR35" s="127" t="n"/>
      <c r="FS35" s="128" t="n"/>
      <c r="FT35" s="192" t="n"/>
      <c r="FU35" s="130" t="n"/>
      <c r="FV35" s="131" t="n"/>
      <c r="FW35" s="130" t="n"/>
      <c r="FX35" s="131" t="n"/>
      <c r="FY35" s="130" t="n"/>
      <c r="FZ35" s="131" t="n"/>
      <c r="GA35" s="130" t="n"/>
      <c r="GB35" s="131" t="n"/>
      <c r="GC35" s="130" t="n"/>
      <c r="GD35" s="131" t="n"/>
      <c r="GE35" s="130" t="n"/>
      <c r="GF35" s="131" t="n"/>
      <c r="GG35" s="130" t="n"/>
      <c r="GH35" s="131" t="n"/>
      <c r="GI35" s="130" t="n"/>
      <c r="GJ35" s="131" t="n"/>
      <c r="GK35" s="193" t="n"/>
      <c r="GL35" s="133" t="n"/>
      <c r="GM35" s="134" t="n"/>
      <c r="GN35" s="133" t="n"/>
      <c r="GO35" s="134" t="n"/>
      <c r="GP35" s="133" t="n"/>
      <c r="GQ35" s="134" t="n"/>
      <c r="GR35" s="133" t="n"/>
      <c r="GS35" s="134" t="n"/>
      <c r="GT35" s="133" t="n"/>
      <c r="GU35" s="134" t="n"/>
      <c r="GV35" s="133" t="n"/>
      <c r="GW35" s="134" t="n"/>
      <c r="GX35" s="133" t="n"/>
      <c r="GY35" s="134" t="n"/>
      <c r="GZ35" s="133" t="n"/>
      <c r="HA35" s="134" t="n"/>
      <c r="HB35" s="194" t="n"/>
      <c r="HC35">
        <f>SUMIFS($G35:$HB35,$G$46:$HB$46,"&gt;="&amp;$HD$1,$G$46:$HB$46,"&lt;="&amp;$HD$2,$G$29:$HB$29,"&lt;&gt;ملاحظات",$G$28:$HB$28,"&gt;0")</f>
        <v>0</v>
      </c>
      <c r="HD35">
        <f>SUMIFS($G$28:$HB$28,$G$46:$HB$46,"&gt;="&amp;$HD$1,$G$46:$HB$46,"&lt;="&amp;$HD$2,$G$29:$HB$29,"&lt;&gt;ملاحظات",$G35:$HB35,"&gt;=0")</f>
        <v>0</v>
      </c>
    </row>
    <row r="36" ht="22.5" customHeight="1">
      <c r="A36" s="36" t="n">
        <v>7</v>
      </c>
      <c r="B36" s="181" t="str">
        <f>IF($B11="","",$B11)</f>
        <v/>
      </c>
      <c r="C36" s="136" t="str">
        <f>IF(OR($B36="",$HD36=0),"",ROUND($HC36,2)&amp;" / "&amp;$HD36)</f>
        <v/>
      </c>
      <c r="D36" s="182" t="str">
        <f>IF(OR($B36="",$HD36=0),"",$HC36/$HD36)</f>
        <v/>
      </c>
      <c r="E36" s="98" t="str">
        <f>IF($D36="","",RANK($D36,$D$30:$D$44))</f>
        <v/>
      </c>
      <c r="F36" s="99" t="str">
        <f>IF($D36="","",IF($D36&gt;=0.85,"ممتاز",IF($D36&gt;=0.75,"جيد جداً",IF($D36&gt;=0.65,"جيد",IF($D36&gt;=0.5,"مقبول","ضعيف")))))</f>
        <v/>
      </c>
      <c r="G36" s="100" t="n"/>
      <c r="H36" s="101" t="n"/>
      <c r="I36" s="100" t="n"/>
      <c r="J36" s="101" t="n"/>
      <c r="K36" s="100" t="n"/>
      <c r="L36" s="101" t="n"/>
      <c r="M36" s="100" t="n"/>
      <c r="N36" s="101" t="n"/>
      <c r="O36" s="100" t="n"/>
      <c r="P36" s="101" t="n"/>
      <c r="Q36" s="100" t="n"/>
      <c r="R36" s="101" t="n"/>
      <c r="S36" s="100" t="n"/>
      <c r="T36" s="101" t="n"/>
      <c r="U36" s="100" t="n"/>
      <c r="V36" s="101" t="n"/>
      <c r="W36" s="183" t="n"/>
      <c r="X36" s="103" t="n"/>
      <c r="Y36" s="104" t="n"/>
      <c r="Z36" s="103" t="n"/>
      <c r="AA36" s="104" t="n"/>
      <c r="AB36" s="103" t="n"/>
      <c r="AC36" s="104" t="n"/>
      <c r="AD36" s="103" t="n"/>
      <c r="AE36" s="104" t="n"/>
      <c r="AF36" s="103" t="n"/>
      <c r="AG36" s="104" t="n"/>
      <c r="AH36" s="103" t="n"/>
      <c r="AI36" s="104" t="n"/>
      <c r="AJ36" s="103" t="n"/>
      <c r="AK36" s="104" t="n"/>
      <c r="AL36" s="103" t="n"/>
      <c r="AM36" s="104" t="n"/>
      <c r="AN36" s="184" t="n"/>
      <c r="AO36" s="106" t="n"/>
      <c r="AP36" s="107" t="n"/>
      <c r="AQ36" s="106" t="n"/>
      <c r="AR36" s="107" t="n"/>
      <c r="AS36" s="106" t="n"/>
      <c r="AT36" s="107" t="n"/>
      <c r="AU36" s="106" t="n"/>
      <c r="AV36" s="107" t="n"/>
      <c r="AW36" s="106" t="n"/>
      <c r="AX36" s="107" t="n"/>
      <c r="AY36" s="106" t="n"/>
      <c r="AZ36" s="107" t="n"/>
      <c r="BA36" s="106" t="n"/>
      <c r="BB36" s="107" t="n"/>
      <c r="BC36" s="106" t="n"/>
      <c r="BD36" s="107" t="n"/>
      <c r="BE36" s="185" t="n"/>
      <c r="BF36" s="109" t="n"/>
      <c r="BG36" s="110" t="n"/>
      <c r="BH36" s="109" t="n"/>
      <c r="BI36" s="110" t="n"/>
      <c r="BJ36" s="109" t="n"/>
      <c r="BK36" s="110" t="n"/>
      <c r="BL36" s="109" t="n"/>
      <c r="BM36" s="110" t="n"/>
      <c r="BN36" s="109" t="n"/>
      <c r="BO36" s="110" t="n"/>
      <c r="BP36" s="109" t="n"/>
      <c r="BQ36" s="110" t="n"/>
      <c r="BR36" s="109" t="n"/>
      <c r="BS36" s="110" t="n"/>
      <c r="BT36" s="109" t="n"/>
      <c r="BU36" s="110" t="n"/>
      <c r="BV36" s="186" t="n"/>
      <c r="BW36" s="112" t="n"/>
      <c r="BX36" s="113" t="n"/>
      <c r="BY36" s="112" t="n"/>
      <c r="BZ36" s="113" t="n"/>
      <c r="CA36" s="112" t="n"/>
      <c r="CB36" s="113" t="n"/>
      <c r="CC36" s="112" t="n"/>
      <c r="CD36" s="113" t="n"/>
      <c r="CE36" s="112" t="n"/>
      <c r="CF36" s="113" t="n"/>
      <c r="CG36" s="112" t="n"/>
      <c r="CH36" s="113" t="n"/>
      <c r="CI36" s="112" t="n"/>
      <c r="CJ36" s="113" t="n"/>
      <c r="CK36" s="112" t="n"/>
      <c r="CL36" s="113" t="n"/>
      <c r="CM36" s="187" t="n"/>
      <c r="CN36" s="115" t="n"/>
      <c r="CO36" s="116" t="n"/>
      <c r="CP36" s="115" t="n"/>
      <c r="CQ36" s="116" t="n"/>
      <c r="CR36" s="115" t="n"/>
      <c r="CS36" s="116" t="n"/>
      <c r="CT36" s="115" t="n"/>
      <c r="CU36" s="116" t="n"/>
      <c r="CV36" s="115" t="n"/>
      <c r="CW36" s="116" t="n"/>
      <c r="CX36" s="115" t="n"/>
      <c r="CY36" s="116" t="n"/>
      <c r="CZ36" s="115" t="n"/>
      <c r="DA36" s="116" t="n"/>
      <c r="DB36" s="115" t="n"/>
      <c r="DC36" s="116" t="n"/>
      <c r="DD36" s="188" t="n"/>
      <c r="DE36" s="118" t="n"/>
      <c r="DF36" s="119" t="n"/>
      <c r="DG36" s="118" t="n"/>
      <c r="DH36" s="119" t="n"/>
      <c r="DI36" s="118" t="n"/>
      <c r="DJ36" s="119" t="n"/>
      <c r="DK36" s="118" t="n"/>
      <c r="DL36" s="119" t="n"/>
      <c r="DM36" s="118" t="n"/>
      <c r="DN36" s="119" t="n"/>
      <c r="DO36" s="118" t="n"/>
      <c r="DP36" s="119" t="n"/>
      <c r="DQ36" s="118" t="n"/>
      <c r="DR36" s="119" t="n"/>
      <c r="DS36" s="118" t="n"/>
      <c r="DT36" s="119" t="n"/>
      <c r="DU36" s="189" t="n"/>
      <c r="DV36" s="121" t="n"/>
      <c r="DW36" s="122" t="n"/>
      <c r="DX36" s="121" t="n"/>
      <c r="DY36" s="122" t="n"/>
      <c r="DZ36" s="121" t="n"/>
      <c r="EA36" s="122" t="n"/>
      <c r="EB36" s="121" t="n"/>
      <c r="EC36" s="122" t="n"/>
      <c r="ED36" s="121" t="n"/>
      <c r="EE36" s="122" t="n"/>
      <c r="EF36" s="121" t="n"/>
      <c r="EG36" s="122" t="n"/>
      <c r="EH36" s="121" t="n"/>
      <c r="EI36" s="122" t="n"/>
      <c r="EJ36" s="121" t="n"/>
      <c r="EK36" s="122" t="n"/>
      <c r="EL36" s="190" t="n"/>
      <c r="EM36" s="124" t="n"/>
      <c r="EN36" s="125" t="n"/>
      <c r="EO36" s="124" t="n"/>
      <c r="EP36" s="125" t="n"/>
      <c r="EQ36" s="124" t="n"/>
      <c r="ER36" s="125" t="n"/>
      <c r="ES36" s="124" t="n"/>
      <c r="ET36" s="125" t="n"/>
      <c r="EU36" s="124" t="n"/>
      <c r="EV36" s="125" t="n"/>
      <c r="EW36" s="124" t="n"/>
      <c r="EX36" s="125" t="n"/>
      <c r="EY36" s="124" t="n"/>
      <c r="EZ36" s="125" t="n"/>
      <c r="FA36" s="124" t="n"/>
      <c r="FB36" s="125" t="n"/>
      <c r="FC36" s="191" t="n"/>
      <c r="FD36" s="127" t="n"/>
      <c r="FE36" s="128" t="n"/>
      <c r="FF36" s="127" t="n"/>
      <c r="FG36" s="128" t="n"/>
      <c r="FH36" s="127" t="n"/>
      <c r="FI36" s="128" t="n"/>
      <c r="FJ36" s="127" t="n"/>
      <c r="FK36" s="128" t="n"/>
      <c r="FL36" s="127" t="n"/>
      <c r="FM36" s="128" t="n"/>
      <c r="FN36" s="127" t="n"/>
      <c r="FO36" s="128" t="n"/>
      <c r="FP36" s="127" t="n"/>
      <c r="FQ36" s="128" t="n"/>
      <c r="FR36" s="127" t="n"/>
      <c r="FS36" s="128" t="n"/>
      <c r="FT36" s="192" t="n"/>
      <c r="FU36" s="130" t="n"/>
      <c r="FV36" s="131" t="n"/>
      <c r="FW36" s="130" t="n"/>
      <c r="FX36" s="131" t="n"/>
      <c r="FY36" s="130" t="n"/>
      <c r="FZ36" s="131" t="n"/>
      <c r="GA36" s="130" t="n"/>
      <c r="GB36" s="131" t="n"/>
      <c r="GC36" s="130" t="n"/>
      <c r="GD36" s="131" t="n"/>
      <c r="GE36" s="130" t="n"/>
      <c r="GF36" s="131" t="n"/>
      <c r="GG36" s="130" t="n"/>
      <c r="GH36" s="131" t="n"/>
      <c r="GI36" s="130" t="n"/>
      <c r="GJ36" s="131" t="n"/>
      <c r="GK36" s="193" t="n"/>
      <c r="GL36" s="133" t="n"/>
      <c r="GM36" s="134" t="n"/>
      <c r="GN36" s="133" t="n"/>
      <c r="GO36" s="134" t="n"/>
      <c r="GP36" s="133" t="n"/>
      <c r="GQ36" s="134" t="n"/>
      <c r="GR36" s="133" t="n"/>
      <c r="GS36" s="134" t="n"/>
      <c r="GT36" s="133" t="n"/>
      <c r="GU36" s="134" t="n"/>
      <c r="GV36" s="133" t="n"/>
      <c r="GW36" s="134" t="n"/>
      <c r="GX36" s="133" t="n"/>
      <c r="GY36" s="134" t="n"/>
      <c r="GZ36" s="133" t="n"/>
      <c r="HA36" s="134" t="n"/>
      <c r="HB36" s="194" t="n"/>
      <c r="HC36">
        <f>SUMIFS($G36:$HB36,$G$46:$HB$46,"&gt;="&amp;$HD$1,$G$46:$HB$46,"&lt;="&amp;$HD$2,$G$29:$HB$29,"&lt;&gt;ملاحظات",$G$28:$HB$28,"&gt;0")</f>
        <v>0</v>
      </c>
      <c r="HD36">
        <f>SUMIFS($G$28:$HB$28,$G$46:$HB$46,"&gt;="&amp;$HD$1,$G$46:$HB$46,"&lt;="&amp;$HD$2,$G$29:$HB$29,"&lt;&gt;ملاحظات",$G36:$HB36,"&gt;=0")</f>
        <v>0</v>
      </c>
    </row>
    <row r="37" ht="22.5" customHeight="1">
      <c r="A37" s="36" t="n">
        <v>8</v>
      </c>
      <c r="B37" s="181" t="str">
        <f>IF($B12="","",$B12)</f>
        <v/>
      </c>
      <c r="C37" s="136" t="str">
        <f>IF(OR($B37="",$HD37=0),"",ROUND($HC37,2)&amp;" / "&amp;$HD37)</f>
        <v/>
      </c>
      <c r="D37" s="182" t="str">
        <f>IF(OR($B37="",$HD37=0),"",$HC37/$HD37)</f>
        <v/>
      </c>
      <c r="E37" s="98" t="str">
        <f>IF($D37="","",RANK($D37,$D$30:$D$44))</f>
        <v/>
      </c>
      <c r="F37" s="99" t="str">
        <f>IF($D37="","",IF($D37&gt;=0.85,"ممتاز",IF($D37&gt;=0.75,"جيد جداً",IF($D37&gt;=0.65,"جيد",IF($D37&gt;=0.5,"مقبول","ضعيف")))))</f>
        <v/>
      </c>
      <c r="G37" s="100" t="n"/>
      <c r="H37" s="101" t="n"/>
      <c r="I37" s="100" t="n"/>
      <c r="J37" s="101" t="n"/>
      <c r="K37" s="100" t="n"/>
      <c r="L37" s="101" t="n"/>
      <c r="M37" s="100" t="n"/>
      <c r="N37" s="101" t="n"/>
      <c r="O37" s="100" t="n"/>
      <c r="P37" s="101" t="n"/>
      <c r="Q37" s="100" t="n"/>
      <c r="R37" s="101" t="n"/>
      <c r="S37" s="100" t="n"/>
      <c r="T37" s="101" t="n"/>
      <c r="U37" s="100" t="n"/>
      <c r="V37" s="101" t="n"/>
      <c r="W37" s="183" t="n"/>
      <c r="X37" s="103" t="n"/>
      <c r="Y37" s="104" t="n"/>
      <c r="Z37" s="103" t="n"/>
      <c r="AA37" s="104" t="n"/>
      <c r="AB37" s="103" t="n"/>
      <c r="AC37" s="104" t="n"/>
      <c r="AD37" s="103" t="n"/>
      <c r="AE37" s="104" t="n"/>
      <c r="AF37" s="103" t="n"/>
      <c r="AG37" s="104" t="n"/>
      <c r="AH37" s="103" t="n"/>
      <c r="AI37" s="104" t="n"/>
      <c r="AJ37" s="103" t="n"/>
      <c r="AK37" s="104" t="n"/>
      <c r="AL37" s="103" t="n"/>
      <c r="AM37" s="104" t="n"/>
      <c r="AN37" s="184" t="n"/>
      <c r="AO37" s="106" t="n"/>
      <c r="AP37" s="107" t="n"/>
      <c r="AQ37" s="106" t="n"/>
      <c r="AR37" s="107" t="n"/>
      <c r="AS37" s="106" t="n"/>
      <c r="AT37" s="107" t="n"/>
      <c r="AU37" s="106" t="n"/>
      <c r="AV37" s="107" t="n"/>
      <c r="AW37" s="106" t="n"/>
      <c r="AX37" s="107" t="n"/>
      <c r="AY37" s="106" t="n"/>
      <c r="AZ37" s="107" t="n"/>
      <c r="BA37" s="106" t="n"/>
      <c r="BB37" s="107" t="n"/>
      <c r="BC37" s="106" t="n"/>
      <c r="BD37" s="107" t="n"/>
      <c r="BE37" s="185" t="n"/>
      <c r="BF37" s="109" t="n"/>
      <c r="BG37" s="110" t="n"/>
      <c r="BH37" s="109" t="n"/>
      <c r="BI37" s="110" t="n"/>
      <c r="BJ37" s="109" t="n"/>
      <c r="BK37" s="110" t="n"/>
      <c r="BL37" s="109" t="n"/>
      <c r="BM37" s="110" t="n"/>
      <c r="BN37" s="109" t="n"/>
      <c r="BO37" s="110" t="n"/>
      <c r="BP37" s="109" t="n"/>
      <c r="BQ37" s="110" t="n"/>
      <c r="BR37" s="109" t="n"/>
      <c r="BS37" s="110" t="n"/>
      <c r="BT37" s="109" t="n"/>
      <c r="BU37" s="110" t="n"/>
      <c r="BV37" s="186" t="n"/>
      <c r="BW37" s="112" t="n"/>
      <c r="BX37" s="113" t="n"/>
      <c r="BY37" s="112" t="n"/>
      <c r="BZ37" s="113" t="n"/>
      <c r="CA37" s="112" t="n"/>
      <c r="CB37" s="113" t="n"/>
      <c r="CC37" s="112" t="n"/>
      <c r="CD37" s="113" t="n"/>
      <c r="CE37" s="112" t="n"/>
      <c r="CF37" s="113" t="n"/>
      <c r="CG37" s="112" t="n"/>
      <c r="CH37" s="113" t="n"/>
      <c r="CI37" s="112" t="n"/>
      <c r="CJ37" s="113" t="n"/>
      <c r="CK37" s="112" t="n"/>
      <c r="CL37" s="113" t="n"/>
      <c r="CM37" s="187" t="n"/>
      <c r="CN37" s="115" t="n"/>
      <c r="CO37" s="116" t="n"/>
      <c r="CP37" s="115" t="n"/>
      <c r="CQ37" s="116" t="n"/>
      <c r="CR37" s="115" t="n"/>
      <c r="CS37" s="116" t="n"/>
      <c r="CT37" s="115" t="n"/>
      <c r="CU37" s="116" t="n"/>
      <c r="CV37" s="115" t="n"/>
      <c r="CW37" s="116" t="n"/>
      <c r="CX37" s="115" t="n"/>
      <c r="CY37" s="116" t="n"/>
      <c r="CZ37" s="115" t="n"/>
      <c r="DA37" s="116" t="n"/>
      <c r="DB37" s="115" t="n"/>
      <c r="DC37" s="116" t="n"/>
      <c r="DD37" s="188" t="n"/>
      <c r="DE37" s="118" t="n"/>
      <c r="DF37" s="119" t="n"/>
      <c r="DG37" s="118" t="n"/>
      <c r="DH37" s="119" t="n"/>
      <c r="DI37" s="118" t="n"/>
      <c r="DJ37" s="119" t="n"/>
      <c r="DK37" s="118" t="n"/>
      <c r="DL37" s="119" t="n"/>
      <c r="DM37" s="118" t="n"/>
      <c r="DN37" s="119" t="n"/>
      <c r="DO37" s="118" t="n"/>
      <c r="DP37" s="119" t="n"/>
      <c r="DQ37" s="118" t="n"/>
      <c r="DR37" s="119" t="n"/>
      <c r="DS37" s="118" t="n"/>
      <c r="DT37" s="119" t="n"/>
      <c r="DU37" s="189" t="n"/>
      <c r="DV37" s="121" t="n"/>
      <c r="DW37" s="122" t="n"/>
      <c r="DX37" s="121" t="n"/>
      <c r="DY37" s="122" t="n"/>
      <c r="DZ37" s="121" t="n"/>
      <c r="EA37" s="122" t="n"/>
      <c r="EB37" s="121" t="n"/>
      <c r="EC37" s="122" t="n"/>
      <c r="ED37" s="121" t="n"/>
      <c r="EE37" s="122" t="n"/>
      <c r="EF37" s="121" t="n"/>
      <c r="EG37" s="122" t="n"/>
      <c r="EH37" s="121" t="n"/>
      <c r="EI37" s="122" t="n"/>
      <c r="EJ37" s="121" t="n"/>
      <c r="EK37" s="122" t="n"/>
      <c r="EL37" s="190" t="n"/>
      <c r="EM37" s="124" t="n"/>
      <c r="EN37" s="125" t="n"/>
      <c r="EO37" s="124" t="n"/>
      <c r="EP37" s="125" t="n"/>
      <c r="EQ37" s="124" t="n"/>
      <c r="ER37" s="125" t="n"/>
      <c r="ES37" s="124" t="n"/>
      <c r="ET37" s="125" t="n"/>
      <c r="EU37" s="124" t="n"/>
      <c r="EV37" s="125" t="n"/>
      <c r="EW37" s="124" t="n"/>
      <c r="EX37" s="125" t="n"/>
      <c r="EY37" s="124" t="n"/>
      <c r="EZ37" s="125" t="n"/>
      <c r="FA37" s="124" t="n"/>
      <c r="FB37" s="125" t="n"/>
      <c r="FC37" s="191" t="n"/>
      <c r="FD37" s="127" t="n"/>
      <c r="FE37" s="128" t="n"/>
      <c r="FF37" s="127" t="n"/>
      <c r="FG37" s="128" t="n"/>
      <c r="FH37" s="127" t="n"/>
      <c r="FI37" s="128" t="n"/>
      <c r="FJ37" s="127" t="n"/>
      <c r="FK37" s="128" t="n"/>
      <c r="FL37" s="127" t="n"/>
      <c r="FM37" s="128" t="n"/>
      <c r="FN37" s="127" t="n"/>
      <c r="FO37" s="128" t="n"/>
      <c r="FP37" s="127" t="n"/>
      <c r="FQ37" s="128" t="n"/>
      <c r="FR37" s="127" t="n"/>
      <c r="FS37" s="128" t="n"/>
      <c r="FT37" s="192" t="n"/>
      <c r="FU37" s="130" t="n"/>
      <c r="FV37" s="131" t="n"/>
      <c r="FW37" s="130" t="n"/>
      <c r="FX37" s="131" t="n"/>
      <c r="FY37" s="130" t="n"/>
      <c r="FZ37" s="131" t="n"/>
      <c r="GA37" s="130" t="n"/>
      <c r="GB37" s="131" t="n"/>
      <c r="GC37" s="130" t="n"/>
      <c r="GD37" s="131" t="n"/>
      <c r="GE37" s="130" t="n"/>
      <c r="GF37" s="131" t="n"/>
      <c r="GG37" s="130" t="n"/>
      <c r="GH37" s="131" t="n"/>
      <c r="GI37" s="130" t="n"/>
      <c r="GJ37" s="131" t="n"/>
      <c r="GK37" s="193" t="n"/>
      <c r="GL37" s="133" t="n"/>
      <c r="GM37" s="134" t="n"/>
      <c r="GN37" s="133" t="n"/>
      <c r="GO37" s="134" t="n"/>
      <c r="GP37" s="133" t="n"/>
      <c r="GQ37" s="134" t="n"/>
      <c r="GR37" s="133" t="n"/>
      <c r="GS37" s="134" t="n"/>
      <c r="GT37" s="133" t="n"/>
      <c r="GU37" s="134" t="n"/>
      <c r="GV37" s="133" t="n"/>
      <c r="GW37" s="134" t="n"/>
      <c r="GX37" s="133" t="n"/>
      <c r="GY37" s="134" t="n"/>
      <c r="GZ37" s="133" t="n"/>
      <c r="HA37" s="134" t="n"/>
      <c r="HB37" s="194" t="n"/>
      <c r="HC37">
        <f>SUMIFS($G37:$HB37,$G$46:$HB$46,"&gt;="&amp;$HD$1,$G$46:$HB$46,"&lt;="&amp;$HD$2,$G$29:$HB$29,"&lt;&gt;ملاحظات",$G$28:$HB$28,"&gt;0")</f>
        <v>0</v>
      </c>
      <c r="HD37">
        <f>SUMIFS($G$28:$HB$28,$G$46:$HB$46,"&gt;="&amp;$HD$1,$G$46:$HB$46,"&lt;="&amp;$HD$2,$G$29:$HB$29,"&lt;&gt;ملاحظات",$G37:$HB37,"&gt;=0")</f>
        <v>0</v>
      </c>
    </row>
    <row r="38" ht="22.5" customHeight="1">
      <c r="A38" s="36" t="n">
        <v>9</v>
      </c>
      <c r="B38" s="181" t="str">
        <f>IF($B13="","",$B13)</f>
        <v/>
      </c>
      <c r="C38" s="136" t="str">
        <f>IF(OR($B38="",$HD38=0),"",ROUND($HC38,2)&amp;" / "&amp;$HD38)</f>
        <v/>
      </c>
      <c r="D38" s="182" t="str">
        <f>IF(OR($B38="",$HD38=0),"",$HC38/$HD38)</f>
        <v/>
      </c>
      <c r="E38" s="98" t="str">
        <f>IF($D38="","",RANK($D38,$D$30:$D$44))</f>
        <v/>
      </c>
      <c r="F38" s="99" t="str">
        <f>IF($D38="","",IF($D38&gt;=0.85,"ممتاز",IF($D38&gt;=0.75,"جيد جداً",IF($D38&gt;=0.65,"جيد",IF($D38&gt;=0.5,"مقبول","ضعيف")))))</f>
        <v/>
      </c>
      <c r="G38" s="100" t="n"/>
      <c r="H38" s="101" t="n"/>
      <c r="I38" s="100" t="n"/>
      <c r="J38" s="101" t="n"/>
      <c r="K38" s="100" t="n"/>
      <c r="L38" s="101" t="n"/>
      <c r="M38" s="100" t="n"/>
      <c r="N38" s="101" t="n"/>
      <c r="O38" s="100" t="n"/>
      <c r="P38" s="101" t="n"/>
      <c r="Q38" s="100" t="n"/>
      <c r="R38" s="101" t="n"/>
      <c r="S38" s="100" t="n"/>
      <c r="T38" s="101" t="n"/>
      <c r="U38" s="100" t="n"/>
      <c r="V38" s="101" t="n"/>
      <c r="W38" s="183" t="n"/>
      <c r="X38" s="103" t="n"/>
      <c r="Y38" s="104" t="n"/>
      <c r="Z38" s="103" t="n"/>
      <c r="AA38" s="104" t="n"/>
      <c r="AB38" s="103" t="n"/>
      <c r="AC38" s="104" t="n"/>
      <c r="AD38" s="103" t="n"/>
      <c r="AE38" s="104" t="n"/>
      <c r="AF38" s="103" t="n"/>
      <c r="AG38" s="104" t="n"/>
      <c r="AH38" s="103" t="n"/>
      <c r="AI38" s="104" t="n"/>
      <c r="AJ38" s="103" t="n"/>
      <c r="AK38" s="104" t="n"/>
      <c r="AL38" s="103" t="n"/>
      <c r="AM38" s="104" t="n"/>
      <c r="AN38" s="184" t="n"/>
      <c r="AO38" s="106" t="n"/>
      <c r="AP38" s="107" t="n"/>
      <c r="AQ38" s="106" t="n"/>
      <c r="AR38" s="107" t="n"/>
      <c r="AS38" s="106" t="n"/>
      <c r="AT38" s="107" t="n"/>
      <c r="AU38" s="106" t="n"/>
      <c r="AV38" s="107" t="n"/>
      <c r="AW38" s="106" t="n"/>
      <c r="AX38" s="107" t="n"/>
      <c r="AY38" s="106" t="n"/>
      <c r="AZ38" s="107" t="n"/>
      <c r="BA38" s="106" t="n"/>
      <c r="BB38" s="107" t="n"/>
      <c r="BC38" s="106" t="n"/>
      <c r="BD38" s="107" t="n"/>
      <c r="BE38" s="185" t="n"/>
      <c r="BF38" s="109" t="n"/>
      <c r="BG38" s="110" t="n"/>
      <c r="BH38" s="109" t="n"/>
      <c r="BI38" s="110" t="n"/>
      <c r="BJ38" s="109" t="n"/>
      <c r="BK38" s="110" t="n"/>
      <c r="BL38" s="109" t="n"/>
      <c r="BM38" s="110" t="n"/>
      <c r="BN38" s="109" t="n"/>
      <c r="BO38" s="110" t="n"/>
      <c r="BP38" s="109" t="n"/>
      <c r="BQ38" s="110" t="n"/>
      <c r="BR38" s="109" t="n"/>
      <c r="BS38" s="110" t="n"/>
      <c r="BT38" s="109" t="n"/>
      <c r="BU38" s="110" t="n"/>
      <c r="BV38" s="186" t="n"/>
      <c r="BW38" s="112" t="n"/>
      <c r="BX38" s="113" t="n"/>
      <c r="BY38" s="112" t="n"/>
      <c r="BZ38" s="113" t="n"/>
      <c r="CA38" s="112" t="n"/>
      <c r="CB38" s="113" t="n"/>
      <c r="CC38" s="112" t="n"/>
      <c r="CD38" s="113" t="n"/>
      <c r="CE38" s="112" t="n"/>
      <c r="CF38" s="113" t="n"/>
      <c r="CG38" s="112" t="n"/>
      <c r="CH38" s="113" t="n"/>
      <c r="CI38" s="112" t="n"/>
      <c r="CJ38" s="113" t="n"/>
      <c r="CK38" s="112" t="n"/>
      <c r="CL38" s="113" t="n"/>
      <c r="CM38" s="187" t="n"/>
      <c r="CN38" s="115" t="n"/>
      <c r="CO38" s="116" t="n"/>
      <c r="CP38" s="115" t="n"/>
      <c r="CQ38" s="116" t="n"/>
      <c r="CR38" s="115" t="n"/>
      <c r="CS38" s="116" t="n"/>
      <c r="CT38" s="115" t="n"/>
      <c r="CU38" s="116" t="n"/>
      <c r="CV38" s="115" t="n"/>
      <c r="CW38" s="116" t="n"/>
      <c r="CX38" s="115" t="n"/>
      <c r="CY38" s="116" t="n"/>
      <c r="CZ38" s="115" t="n"/>
      <c r="DA38" s="116" t="n"/>
      <c r="DB38" s="115" t="n"/>
      <c r="DC38" s="116" t="n"/>
      <c r="DD38" s="188" t="n"/>
      <c r="DE38" s="118" t="n"/>
      <c r="DF38" s="119" t="n"/>
      <c r="DG38" s="118" t="n"/>
      <c r="DH38" s="119" t="n"/>
      <c r="DI38" s="118" t="n"/>
      <c r="DJ38" s="119" t="n"/>
      <c r="DK38" s="118" t="n"/>
      <c r="DL38" s="119" t="n"/>
      <c r="DM38" s="118" t="n"/>
      <c r="DN38" s="119" t="n"/>
      <c r="DO38" s="118" t="n"/>
      <c r="DP38" s="119" t="n"/>
      <c r="DQ38" s="118" t="n"/>
      <c r="DR38" s="119" t="n"/>
      <c r="DS38" s="118" t="n"/>
      <c r="DT38" s="119" t="n"/>
      <c r="DU38" s="189" t="n"/>
      <c r="DV38" s="121" t="n"/>
      <c r="DW38" s="122" t="n"/>
      <c r="DX38" s="121" t="n"/>
      <c r="DY38" s="122" t="n"/>
      <c r="DZ38" s="121" t="n"/>
      <c r="EA38" s="122" t="n"/>
      <c r="EB38" s="121" t="n"/>
      <c r="EC38" s="122" t="n"/>
      <c r="ED38" s="121" t="n"/>
      <c r="EE38" s="122" t="n"/>
      <c r="EF38" s="121" t="n"/>
      <c r="EG38" s="122" t="n"/>
      <c r="EH38" s="121" t="n"/>
      <c r="EI38" s="122" t="n"/>
      <c r="EJ38" s="121" t="n"/>
      <c r="EK38" s="122" t="n"/>
      <c r="EL38" s="190" t="n"/>
      <c r="EM38" s="124" t="n"/>
      <c r="EN38" s="125" t="n"/>
      <c r="EO38" s="124" t="n"/>
      <c r="EP38" s="125" t="n"/>
      <c r="EQ38" s="124" t="n"/>
      <c r="ER38" s="125" t="n"/>
      <c r="ES38" s="124" t="n"/>
      <c r="ET38" s="125" t="n"/>
      <c r="EU38" s="124" t="n"/>
      <c r="EV38" s="125" t="n"/>
      <c r="EW38" s="124" t="n"/>
      <c r="EX38" s="125" t="n"/>
      <c r="EY38" s="124" t="n"/>
      <c r="EZ38" s="125" t="n"/>
      <c r="FA38" s="124" t="n"/>
      <c r="FB38" s="125" t="n"/>
      <c r="FC38" s="191" t="n"/>
      <c r="FD38" s="127" t="n"/>
      <c r="FE38" s="128" t="n"/>
      <c r="FF38" s="127" t="n"/>
      <c r="FG38" s="128" t="n"/>
      <c r="FH38" s="127" t="n"/>
      <c r="FI38" s="128" t="n"/>
      <c r="FJ38" s="127" t="n"/>
      <c r="FK38" s="128" t="n"/>
      <c r="FL38" s="127" t="n"/>
      <c r="FM38" s="128" t="n"/>
      <c r="FN38" s="127" t="n"/>
      <c r="FO38" s="128" t="n"/>
      <c r="FP38" s="127" t="n"/>
      <c r="FQ38" s="128" t="n"/>
      <c r="FR38" s="127" t="n"/>
      <c r="FS38" s="128" t="n"/>
      <c r="FT38" s="192" t="n"/>
      <c r="FU38" s="130" t="n"/>
      <c r="FV38" s="131" t="n"/>
      <c r="FW38" s="130" t="n"/>
      <c r="FX38" s="131" t="n"/>
      <c r="FY38" s="130" t="n"/>
      <c r="FZ38" s="131" t="n"/>
      <c r="GA38" s="130" t="n"/>
      <c r="GB38" s="131" t="n"/>
      <c r="GC38" s="130" t="n"/>
      <c r="GD38" s="131" t="n"/>
      <c r="GE38" s="130" t="n"/>
      <c r="GF38" s="131" t="n"/>
      <c r="GG38" s="130" t="n"/>
      <c r="GH38" s="131" t="n"/>
      <c r="GI38" s="130" t="n"/>
      <c r="GJ38" s="131" t="n"/>
      <c r="GK38" s="193" t="n"/>
      <c r="GL38" s="133" t="n"/>
      <c r="GM38" s="134" t="n"/>
      <c r="GN38" s="133" t="n"/>
      <c r="GO38" s="134" t="n"/>
      <c r="GP38" s="133" t="n"/>
      <c r="GQ38" s="134" t="n"/>
      <c r="GR38" s="133" t="n"/>
      <c r="GS38" s="134" t="n"/>
      <c r="GT38" s="133" t="n"/>
      <c r="GU38" s="134" t="n"/>
      <c r="GV38" s="133" t="n"/>
      <c r="GW38" s="134" t="n"/>
      <c r="GX38" s="133" t="n"/>
      <c r="GY38" s="134" t="n"/>
      <c r="GZ38" s="133" t="n"/>
      <c r="HA38" s="134" t="n"/>
      <c r="HB38" s="194" t="n"/>
      <c r="HC38">
        <f>SUMIFS($G38:$HB38,$G$46:$HB$46,"&gt;="&amp;$HD$1,$G$46:$HB$46,"&lt;="&amp;$HD$2,$G$29:$HB$29,"&lt;&gt;ملاحظات",$G$28:$HB$28,"&gt;0")</f>
        <v>0</v>
      </c>
      <c r="HD38">
        <f>SUMIFS($G$28:$HB$28,$G$46:$HB$46,"&gt;="&amp;$HD$1,$G$46:$HB$46,"&lt;="&amp;$HD$2,$G$29:$HB$29,"&lt;&gt;ملاحظات",$G38:$HB38,"&gt;=0")</f>
        <v>0</v>
      </c>
    </row>
    <row r="39" ht="22.5" customHeight="1">
      <c r="A39" s="36" t="n">
        <v>10</v>
      </c>
      <c r="B39" s="181" t="str">
        <f>IF($B14="","",$B14)</f>
        <v/>
      </c>
      <c r="C39" s="136" t="str">
        <f>IF(OR($B39="",$HD39=0),"",ROUND($HC39,2)&amp;" / "&amp;$HD39)</f>
        <v/>
      </c>
      <c r="D39" s="182" t="str">
        <f>IF(OR($B39="",$HD39=0),"",$HC39/$HD39)</f>
        <v/>
      </c>
      <c r="E39" s="98" t="str">
        <f>IF($D39="","",RANK($D39,$D$30:$D$44))</f>
        <v/>
      </c>
      <c r="F39" s="99" t="str">
        <f>IF($D39="","",IF($D39&gt;=0.85,"ممتاز",IF($D39&gt;=0.75,"جيد جداً",IF($D39&gt;=0.65,"جيد",IF($D39&gt;=0.5,"مقبول","ضعيف")))))</f>
        <v/>
      </c>
      <c r="G39" s="100" t="n"/>
      <c r="H39" s="101" t="n"/>
      <c r="I39" s="100" t="n"/>
      <c r="J39" s="101" t="n"/>
      <c r="K39" s="100" t="n"/>
      <c r="L39" s="101" t="n"/>
      <c r="M39" s="100" t="n"/>
      <c r="N39" s="101" t="n"/>
      <c r="O39" s="100" t="n"/>
      <c r="P39" s="101" t="n"/>
      <c r="Q39" s="100" t="n"/>
      <c r="R39" s="101" t="n"/>
      <c r="S39" s="100" t="n"/>
      <c r="T39" s="101" t="n"/>
      <c r="U39" s="100" t="n"/>
      <c r="V39" s="101" t="n"/>
      <c r="W39" s="183" t="n"/>
      <c r="X39" s="103" t="n"/>
      <c r="Y39" s="104" t="n"/>
      <c r="Z39" s="103" t="n"/>
      <c r="AA39" s="104" t="n"/>
      <c r="AB39" s="103" t="n"/>
      <c r="AC39" s="104" t="n"/>
      <c r="AD39" s="103" t="n"/>
      <c r="AE39" s="104" t="n"/>
      <c r="AF39" s="103" t="n"/>
      <c r="AG39" s="104" t="n"/>
      <c r="AH39" s="103" t="n"/>
      <c r="AI39" s="104" t="n"/>
      <c r="AJ39" s="103" t="n"/>
      <c r="AK39" s="104" t="n"/>
      <c r="AL39" s="103" t="n"/>
      <c r="AM39" s="104" t="n"/>
      <c r="AN39" s="184" t="n"/>
      <c r="AO39" s="106" t="n"/>
      <c r="AP39" s="107" t="n"/>
      <c r="AQ39" s="106" t="n"/>
      <c r="AR39" s="107" t="n"/>
      <c r="AS39" s="106" t="n"/>
      <c r="AT39" s="107" t="n"/>
      <c r="AU39" s="106" t="n"/>
      <c r="AV39" s="107" t="n"/>
      <c r="AW39" s="106" t="n"/>
      <c r="AX39" s="107" t="n"/>
      <c r="AY39" s="106" t="n"/>
      <c r="AZ39" s="107" t="n"/>
      <c r="BA39" s="106" t="n"/>
      <c r="BB39" s="107" t="n"/>
      <c r="BC39" s="106" t="n"/>
      <c r="BD39" s="107" t="n"/>
      <c r="BE39" s="185" t="n"/>
      <c r="BF39" s="109" t="n"/>
      <c r="BG39" s="110" t="n"/>
      <c r="BH39" s="109" t="n"/>
      <c r="BI39" s="110" t="n"/>
      <c r="BJ39" s="109" t="n"/>
      <c r="BK39" s="110" t="n"/>
      <c r="BL39" s="109" t="n"/>
      <c r="BM39" s="110" t="n"/>
      <c r="BN39" s="109" t="n"/>
      <c r="BO39" s="110" t="n"/>
      <c r="BP39" s="109" t="n"/>
      <c r="BQ39" s="110" t="n"/>
      <c r="BR39" s="109" t="n"/>
      <c r="BS39" s="110" t="n"/>
      <c r="BT39" s="109" t="n"/>
      <c r="BU39" s="110" t="n"/>
      <c r="BV39" s="186" t="n"/>
      <c r="BW39" s="112" t="n"/>
      <c r="BX39" s="113" t="n"/>
      <c r="BY39" s="112" t="n"/>
      <c r="BZ39" s="113" t="n"/>
      <c r="CA39" s="112" t="n"/>
      <c r="CB39" s="113" t="n"/>
      <c r="CC39" s="112" t="n"/>
      <c r="CD39" s="113" t="n"/>
      <c r="CE39" s="112" t="n"/>
      <c r="CF39" s="113" t="n"/>
      <c r="CG39" s="112" t="n"/>
      <c r="CH39" s="113" t="n"/>
      <c r="CI39" s="112" t="n"/>
      <c r="CJ39" s="113" t="n"/>
      <c r="CK39" s="112" t="n"/>
      <c r="CL39" s="113" t="n"/>
      <c r="CM39" s="187" t="n"/>
      <c r="CN39" s="115" t="n"/>
      <c r="CO39" s="116" t="n"/>
      <c r="CP39" s="115" t="n"/>
      <c r="CQ39" s="116" t="n"/>
      <c r="CR39" s="115" t="n"/>
      <c r="CS39" s="116" t="n"/>
      <c r="CT39" s="115" t="n"/>
      <c r="CU39" s="116" t="n"/>
      <c r="CV39" s="115" t="n"/>
      <c r="CW39" s="116" t="n"/>
      <c r="CX39" s="115" t="n"/>
      <c r="CY39" s="116" t="n"/>
      <c r="CZ39" s="115" t="n"/>
      <c r="DA39" s="116" t="n"/>
      <c r="DB39" s="115" t="n"/>
      <c r="DC39" s="116" t="n"/>
      <c r="DD39" s="188" t="n"/>
      <c r="DE39" s="118" t="n"/>
      <c r="DF39" s="119" t="n"/>
      <c r="DG39" s="118" t="n"/>
      <c r="DH39" s="119" t="n"/>
      <c r="DI39" s="118" t="n"/>
      <c r="DJ39" s="119" t="n"/>
      <c r="DK39" s="118" t="n"/>
      <c r="DL39" s="119" t="n"/>
      <c r="DM39" s="118" t="n"/>
      <c r="DN39" s="119" t="n"/>
      <c r="DO39" s="118" t="n"/>
      <c r="DP39" s="119" t="n"/>
      <c r="DQ39" s="118" t="n"/>
      <c r="DR39" s="119" t="n"/>
      <c r="DS39" s="118" t="n"/>
      <c r="DT39" s="119" t="n"/>
      <c r="DU39" s="189" t="n"/>
      <c r="DV39" s="121" t="n"/>
      <c r="DW39" s="122" t="n"/>
      <c r="DX39" s="121" t="n"/>
      <c r="DY39" s="122" t="n"/>
      <c r="DZ39" s="121" t="n"/>
      <c r="EA39" s="122" t="n"/>
      <c r="EB39" s="121" t="n"/>
      <c r="EC39" s="122" t="n"/>
      <c r="ED39" s="121" t="n"/>
      <c r="EE39" s="122" t="n"/>
      <c r="EF39" s="121" t="n"/>
      <c r="EG39" s="122" t="n"/>
      <c r="EH39" s="121" t="n"/>
      <c r="EI39" s="122" t="n"/>
      <c r="EJ39" s="121" t="n"/>
      <c r="EK39" s="122" t="n"/>
      <c r="EL39" s="190" t="n"/>
      <c r="EM39" s="124" t="n"/>
      <c r="EN39" s="125" t="n"/>
      <c r="EO39" s="124" t="n"/>
      <c r="EP39" s="125" t="n"/>
      <c r="EQ39" s="124" t="n"/>
      <c r="ER39" s="125" t="n"/>
      <c r="ES39" s="124" t="n"/>
      <c r="ET39" s="125" t="n"/>
      <c r="EU39" s="124" t="n"/>
      <c r="EV39" s="125" t="n"/>
      <c r="EW39" s="124" t="n"/>
      <c r="EX39" s="125" t="n"/>
      <c r="EY39" s="124" t="n"/>
      <c r="EZ39" s="125" t="n"/>
      <c r="FA39" s="124" t="n"/>
      <c r="FB39" s="125" t="n"/>
      <c r="FC39" s="191" t="n"/>
      <c r="FD39" s="127" t="n"/>
      <c r="FE39" s="128" t="n"/>
      <c r="FF39" s="127" t="n"/>
      <c r="FG39" s="128" t="n"/>
      <c r="FH39" s="127" t="n"/>
      <c r="FI39" s="128" t="n"/>
      <c r="FJ39" s="127" t="n"/>
      <c r="FK39" s="128" t="n"/>
      <c r="FL39" s="127" t="n"/>
      <c r="FM39" s="128" t="n"/>
      <c r="FN39" s="127" t="n"/>
      <c r="FO39" s="128" t="n"/>
      <c r="FP39" s="127" t="n"/>
      <c r="FQ39" s="128" t="n"/>
      <c r="FR39" s="127" t="n"/>
      <c r="FS39" s="128" t="n"/>
      <c r="FT39" s="192" t="n"/>
      <c r="FU39" s="130" t="n"/>
      <c r="FV39" s="131" t="n"/>
      <c r="FW39" s="130" t="n"/>
      <c r="FX39" s="131" t="n"/>
      <c r="FY39" s="130" t="n"/>
      <c r="FZ39" s="131" t="n"/>
      <c r="GA39" s="130" t="n"/>
      <c r="GB39" s="131" t="n"/>
      <c r="GC39" s="130" t="n"/>
      <c r="GD39" s="131" t="n"/>
      <c r="GE39" s="130" t="n"/>
      <c r="GF39" s="131" t="n"/>
      <c r="GG39" s="130" t="n"/>
      <c r="GH39" s="131" t="n"/>
      <c r="GI39" s="130" t="n"/>
      <c r="GJ39" s="131" t="n"/>
      <c r="GK39" s="193" t="n"/>
      <c r="GL39" s="133" t="n"/>
      <c r="GM39" s="134" t="n"/>
      <c r="GN39" s="133" t="n"/>
      <c r="GO39" s="134" t="n"/>
      <c r="GP39" s="133" t="n"/>
      <c r="GQ39" s="134" t="n"/>
      <c r="GR39" s="133" t="n"/>
      <c r="GS39" s="134" t="n"/>
      <c r="GT39" s="133" t="n"/>
      <c r="GU39" s="134" t="n"/>
      <c r="GV39" s="133" t="n"/>
      <c r="GW39" s="134" t="n"/>
      <c r="GX39" s="133" t="n"/>
      <c r="GY39" s="134" t="n"/>
      <c r="GZ39" s="133" t="n"/>
      <c r="HA39" s="134" t="n"/>
      <c r="HB39" s="194" t="n"/>
      <c r="HC39">
        <f>SUMIFS($G39:$HB39,$G$46:$HB$46,"&gt;="&amp;$HD$1,$G$46:$HB$46,"&lt;="&amp;$HD$2,$G$29:$HB$29,"&lt;&gt;ملاحظات",$G$28:$HB$28,"&gt;0")</f>
        <v>0</v>
      </c>
      <c r="HD39">
        <f>SUMIFS($G$28:$HB$28,$G$46:$HB$46,"&gt;="&amp;$HD$1,$G$46:$HB$46,"&lt;="&amp;$HD$2,$G$29:$HB$29,"&lt;&gt;ملاحظات",$G39:$HB39,"&gt;=0")</f>
        <v>0</v>
      </c>
    </row>
    <row r="40" ht="22.5" customHeight="1">
      <c r="A40" s="36" t="n">
        <v>11</v>
      </c>
      <c r="B40" s="181" t="str">
        <f>IF($B15="","",$B15)</f>
        <v/>
      </c>
      <c r="C40" s="136" t="str">
        <f>IF(OR($B40="",$HD40=0),"",ROUND($HC40,2)&amp;" / "&amp;$HD40)</f>
        <v/>
      </c>
      <c r="D40" s="182" t="str">
        <f>IF(OR($B40="",$HD40=0),"",$HC40/$HD40)</f>
        <v/>
      </c>
      <c r="E40" s="98" t="str">
        <f>IF($D40="","",RANK($D40,$D$30:$D$44))</f>
        <v/>
      </c>
      <c r="F40" s="99" t="str">
        <f>IF($D40="","",IF($D40&gt;=0.85,"ممتاز",IF($D40&gt;=0.75,"جيد جداً",IF($D40&gt;=0.65,"جيد",IF($D40&gt;=0.5,"مقبول","ضعيف")))))</f>
        <v/>
      </c>
      <c r="G40" s="100" t="n"/>
      <c r="H40" s="101" t="n"/>
      <c r="I40" s="100" t="n"/>
      <c r="J40" s="101" t="n"/>
      <c r="K40" s="100" t="n"/>
      <c r="L40" s="101" t="n"/>
      <c r="M40" s="100" t="n"/>
      <c r="N40" s="101" t="n"/>
      <c r="O40" s="100" t="n"/>
      <c r="P40" s="101" t="n"/>
      <c r="Q40" s="100" t="n"/>
      <c r="R40" s="101" t="n"/>
      <c r="S40" s="100" t="n"/>
      <c r="T40" s="101" t="n"/>
      <c r="U40" s="100" t="n"/>
      <c r="V40" s="101" t="n"/>
      <c r="W40" s="183" t="n"/>
      <c r="X40" s="103" t="n"/>
      <c r="Y40" s="104" t="n"/>
      <c r="Z40" s="103" t="n"/>
      <c r="AA40" s="104" t="n"/>
      <c r="AB40" s="103" t="n"/>
      <c r="AC40" s="104" t="n"/>
      <c r="AD40" s="103" t="n"/>
      <c r="AE40" s="104" t="n"/>
      <c r="AF40" s="103" t="n"/>
      <c r="AG40" s="104" t="n"/>
      <c r="AH40" s="103" t="n"/>
      <c r="AI40" s="104" t="n"/>
      <c r="AJ40" s="103" t="n"/>
      <c r="AK40" s="104" t="n"/>
      <c r="AL40" s="103" t="n"/>
      <c r="AM40" s="104" t="n"/>
      <c r="AN40" s="184" t="n"/>
      <c r="AO40" s="106" t="n"/>
      <c r="AP40" s="107" t="n"/>
      <c r="AQ40" s="106" t="n"/>
      <c r="AR40" s="107" t="n"/>
      <c r="AS40" s="106" t="n"/>
      <c r="AT40" s="107" t="n"/>
      <c r="AU40" s="106" t="n"/>
      <c r="AV40" s="107" t="n"/>
      <c r="AW40" s="106" t="n"/>
      <c r="AX40" s="107" t="n"/>
      <c r="AY40" s="106" t="n"/>
      <c r="AZ40" s="107" t="n"/>
      <c r="BA40" s="106" t="n"/>
      <c r="BB40" s="107" t="n"/>
      <c r="BC40" s="106" t="n"/>
      <c r="BD40" s="107" t="n"/>
      <c r="BE40" s="185" t="n"/>
      <c r="BF40" s="109" t="n"/>
      <c r="BG40" s="110" t="n"/>
      <c r="BH40" s="109" t="n"/>
      <c r="BI40" s="110" t="n"/>
      <c r="BJ40" s="109" t="n"/>
      <c r="BK40" s="110" t="n"/>
      <c r="BL40" s="109" t="n"/>
      <c r="BM40" s="110" t="n"/>
      <c r="BN40" s="109" t="n"/>
      <c r="BO40" s="110" t="n"/>
      <c r="BP40" s="109" t="n"/>
      <c r="BQ40" s="110" t="n"/>
      <c r="BR40" s="109" t="n"/>
      <c r="BS40" s="110" t="n"/>
      <c r="BT40" s="109" t="n"/>
      <c r="BU40" s="110" t="n"/>
      <c r="BV40" s="186" t="n"/>
      <c r="BW40" s="112" t="n"/>
      <c r="BX40" s="113" t="n"/>
      <c r="BY40" s="112" t="n"/>
      <c r="BZ40" s="113" t="n"/>
      <c r="CA40" s="112" t="n"/>
      <c r="CB40" s="113" t="n"/>
      <c r="CC40" s="112" t="n"/>
      <c r="CD40" s="113" t="n"/>
      <c r="CE40" s="112" t="n"/>
      <c r="CF40" s="113" t="n"/>
      <c r="CG40" s="112" t="n"/>
      <c r="CH40" s="113" t="n"/>
      <c r="CI40" s="112" t="n"/>
      <c r="CJ40" s="113" t="n"/>
      <c r="CK40" s="112" t="n"/>
      <c r="CL40" s="113" t="n"/>
      <c r="CM40" s="187" t="n"/>
      <c r="CN40" s="115" t="n"/>
      <c r="CO40" s="116" t="n"/>
      <c r="CP40" s="115" t="n"/>
      <c r="CQ40" s="116" t="n"/>
      <c r="CR40" s="115" t="n"/>
      <c r="CS40" s="116" t="n"/>
      <c r="CT40" s="115" t="n"/>
      <c r="CU40" s="116" t="n"/>
      <c r="CV40" s="115" t="n"/>
      <c r="CW40" s="116" t="n"/>
      <c r="CX40" s="115" t="n"/>
      <c r="CY40" s="116" t="n"/>
      <c r="CZ40" s="115" t="n"/>
      <c r="DA40" s="116" t="n"/>
      <c r="DB40" s="115" t="n"/>
      <c r="DC40" s="116" t="n"/>
      <c r="DD40" s="188" t="n"/>
      <c r="DE40" s="118" t="n"/>
      <c r="DF40" s="119" t="n"/>
      <c r="DG40" s="118" t="n"/>
      <c r="DH40" s="119" t="n"/>
      <c r="DI40" s="118" t="n"/>
      <c r="DJ40" s="119" t="n"/>
      <c r="DK40" s="118" t="n"/>
      <c r="DL40" s="119" t="n"/>
      <c r="DM40" s="118" t="n"/>
      <c r="DN40" s="119" t="n"/>
      <c r="DO40" s="118" t="n"/>
      <c r="DP40" s="119" t="n"/>
      <c r="DQ40" s="118" t="n"/>
      <c r="DR40" s="119" t="n"/>
      <c r="DS40" s="118" t="n"/>
      <c r="DT40" s="119" t="n"/>
      <c r="DU40" s="189" t="n"/>
      <c r="DV40" s="121" t="n"/>
      <c r="DW40" s="122" t="n"/>
      <c r="DX40" s="121" t="n"/>
      <c r="DY40" s="122" t="n"/>
      <c r="DZ40" s="121" t="n"/>
      <c r="EA40" s="122" t="n"/>
      <c r="EB40" s="121" t="n"/>
      <c r="EC40" s="122" t="n"/>
      <c r="ED40" s="121" t="n"/>
      <c r="EE40" s="122" t="n"/>
      <c r="EF40" s="121" t="n"/>
      <c r="EG40" s="122" t="n"/>
      <c r="EH40" s="121" t="n"/>
      <c r="EI40" s="122" t="n"/>
      <c r="EJ40" s="121" t="n"/>
      <c r="EK40" s="122" t="n"/>
      <c r="EL40" s="190" t="n"/>
      <c r="EM40" s="124" t="n"/>
      <c r="EN40" s="125" t="n"/>
      <c r="EO40" s="124" t="n"/>
      <c r="EP40" s="125" t="n"/>
      <c r="EQ40" s="124" t="n"/>
      <c r="ER40" s="125" t="n"/>
      <c r="ES40" s="124" t="n"/>
      <c r="ET40" s="125" t="n"/>
      <c r="EU40" s="124" t="n"/>
      <c r="EV40" s="125" t="n"/>
      <c r="EW40" s="124" t="n"/>
      <c r="EX40" s="125" t="n"/>
      <c r="EY40" s="124" t="n"/>
      <c r="EZ40" s="125" t="n"/>
      <c r="FA40" s="124" t="n"/>
      <c r="FB40" s="125" t="n"/>
      <c r="FC40" s="191" t="n"/>
      <c r="FD40" s="127" t="n"/>
      <c r="FE40" s="128" t="n"/>
      <c r="FF40" s="127" t="n"/>
      <c r="FG40" s="128" t="n"/>
      <c r="FH40" s="127" t="n"/>
      <c r="FI40" s="128" t="n"/>
      <c r="FJ40" s="127" t="n"/>
      <c r="FK40" s="128" t="n"/>
      <c r="FL40" s="127" t="n"/>
      <c r="FM40" s="128" t="n"/>
      <c r="FN40" s="127" t="n"/>
      <c r="FO40" s="128" t="n"/>
      <c r="FP40" s="127" t="n"/>
      <c r="FQ40" s="128" t="n"/>
      <c r="FR40" s="127" t="n"/>
      <c r="FS40" s="128" t="n"/>
      <c r="FT40" s="192" t="n"/>
      <c r="FU40" s="130" t="n"/>
      <c r="FV40" s="131" t="n"/>
      <c r="FW40" s="130" t="n"/>
      <c r="FX40" s="131" t="n"/>
      <c r="FY40" s="130" t="n"/>
      <c r="FZ40" s="131" t="n"/>
      <c r="GA40" s="130" t="n"/>
      <c r="GB40" s="131" t="n"/>
      <c r="GC40" s="130" t="n"/>
      <c r="GD40" s="131" t="n"/>
      <c r="GE40" s="130" t="n"/>
      <c r="GF40" s="131" t="n"/>
      <c r="GG40" s="130" t="n"/>
      <c r="GH40" s="131" t="n"/>
      <c r="GI40" s="130" t="n"/>
      <c r="GJ40" s="131" t="n"/>
      <c r="GK40" s="193" t="n"/>
      <c r="GL40" s="133" t="n"/>
      <c r="GM40" s="134" t="n"/>
      <c r="GN40" s="133" t="n"/>
      <c r="GO40" s="134" t="n"/>
      <c r="GP40" s="133" t="n"/>
      <c r="GQ40" s="134" t="n"/>
      <c r="GR40" s="133" t="n"/>
      <c r="GS40" s="134" t="n"/>
      <c r="GT40" s="133" t="n"/>
      <c r="GU40" s="134" t="n"/>
      <c r="GV40" s="133" t="n"/>
      <c r="GW40" s="134" t="n"/>
      <c r="GX40" s="133" t="n"/>
      <c r="GY40" s="134" t="n"/>
      <c r="GZ40" s="133" t="n"/>
      <c r="HA40" s="134" t="n"/>
      <c r="HB40" s="194" t="n"/>
      <c r="HC40">
        <f>SUMIFS($G40:$HB40,$G$46:$HB$46,"&gt;="&amp;$HD$1,$G$46:$HB$46,"&lt;="&amp;$HD$2,$G$29:$HB$29,"&lt;&gt;ملاحظات",$G$28:$HB$28,"&gt;0")</f>
        <v>0</v>
      </c>
      <c r="HD40">
        <f>SUMIFS($G$28:$HB$28,$G$46:$HB$46,"&gt;="&amp;$HD$1,$G$46:$HB$46,"&lt;="&amp;$HD$2,$G$29:$HB$29,"&lt;&gt;ملاحظات",$G40:$HB40,"&gt;=0")</f>
        <v>0</v>
      </c>
    </row>
    <row r="41" ht="22.5" customHeight="1">
      <c r="A41" s="36" t="n">
        <v>12</v>
      </c>
      <c r="B41" s="181" t="str">
        <f>IF($B16="","",$B16)</f>
        <v/>
      </c>
      <c r="C41" s="136" t="str">
        <f>IF(OR($B41="",$HD41=0),"",ROUND($HC41,2)&amp;" / "&amp;$HD41)</f>
        <v/>
      </c>
      <c r="D41" s="182" t="str">
        <f>IF(OR($B41="",$HD41=0),"",$HC41/$HD41)</f>
        <v/>
      </c>
      <c r="E41" s="98" t="str">
        <f>IF($D41="","",RANK($D41,$D$30:$D$44))</f>
        <v/>
      </c>
      <c r="F41" s="99" t="str">
        <f>IF($D41="","",IF($D41&gt;=0.85,"ممتاز",IF($D41&gt;=0.75,"جيد جداً",IF($D41&gt;=0.65,"جيد",IF($D41&gt;=0.5,"مقبول","ضعيف")))))</f>
        <v/>
      </c>
      <c r="G41" s="100" t="n"/>
      <c r="H41" s="101" t="n"/>
      <c r="I41" s="100" t="n"/>
      <c r="J41" s="101" t="n"/>
      <c r="K41" s="100" t="n"/>
      <c r="L41" s="101" t="n"/>
      <c r="M41" s="100" t="n"/>
      <c r="N41" s="101" t="n"/>
      <c r="O41" s="100" t="n"/>
      <c r="P41" s="101" t="n"/>
      <c r="Q41" s="100" t="n"/>
      <c r="R41" s="101" t="n"/>
      <c r="S41" s="100" t="n"/>
      <c r="T41" s="101" t="n"/>
      <c r="U41" s="100" t="n"/>
      <c r="V41" s="101" t="n"/>
      <c r="W41" s="183" t="n"/>
      <c r="X41" s="103" t="n"/>
      <c r="Y41" s="104" t="n"/>
      <c r="Z41" s="103" t="n"/>
      <c r="AA41" s="104" t="n"/>
      <c r="AB41" s="103" t="n"/>
      <c r="AC41" s="104" t="n"/>
      <c r="AD41" s="103" t="n"/>
      <c r="AE41" s="104" t="n"/>
      <c r="AF41" s="103" t="n"/>
      <c r="AG41" s="104" t="n"/>
      <c r="AH41" s="103" t="n"/>
      <c r="AI41" s="104" t="n"/>
      <c r="AJ41" s="103" t="n"/>
      <c r="AK41" s="104" t="n"/>
      <c r="AL41" s="103" t="n"/>
      <c r="AM41" s="104" t="n"/>
      <c r="AN41" s="184" t="n"/>
      <c r="AO41" s="106" t="n"/>
      <c r="AP41" s="107" t="n"/>
      <c r="AQ41" s="106" t="n"/>
      <c r="AR41" s="107" t="n"/>
      <c r="AS41" s="106" t="n"/>
      <c r="AT41" s="107" t="n"/>
      <c r="AU41" s="106" t="n"/>
      <c r="AV41" s="107" t="n"/>
      <c r="AW41" s="106" t="n"/>
      <c r="AX41" s="107" t="n"/>
      <c r="AY41" s="106" t="n"/>
      <c r="AZ41" s="107" t="n"/>
      <c r="BA41" s="106" t="n"/>
      <c r="BB41" s="107" t="n"/>
      <c r="BC41" s="106" t="n"/>
      <c r="BD41" s="107" t="n"/>
      <c r="BE41" s="185" t="n"/>
      <c r="BF41" s="109" t="n"/>
      <c r="BG41" s="110" t="n"/>
      <c r="BH41" s="109" t="n"/>
      <c r="BI41" s="110" t="n"/>
      <c r="BJ41" s="109" t="n"/>
      <c r="BK41" s="110" t="n"/>
      <c r="BL41" s="109" t="n"/>
      <c r="BM41" s="110" t="n"/>
      <c r="BN41" s="109" t="n"/>
      <c r="BO41" s="110" t="n"/>
      <c r="BP41" s="109" t="n"/>
      <c r="BQ41" s="110" t="n"/>
      <c r="BR41" s="109" t="n"/>
      <c r="BS41" s="110" t="n"/>
      <c r="BT41" s="109" t="n"/>
      <c r="BU41" s="110" t="n"/>
      <c r="BV41" s="186" t="n"/>
      <c r="BW41" s="112" t="n"/>
      <c r="BX41" s="113" t="n"/>
      <c r="BY41" s="112" t="n"/>
      <c r="BZ41" s="113" t="n"/>
      <c r="CA41" s="112" t="n"/>
      <c r="CB41" s="113" t="n"/>
      <c r="CC41" s="112" t="n"/>
      <c r="CD41" s="113" t="n"/>
      <c r="CE41" s="112" t="n"/>
      <c r="CF41" s="113" t="n"/>
      <c r="CG41" s="112" t="n"/>
      <c r="CH41" s="113" t="n"/>
      <c r="CI41" s="112" t="n"/>
      <c r="CJ41" s="113" t="n"/>
      <c r="CK41" s="112" t="n"/>
      <c r="CL41" s="113" t="n"/>
      <c r="CM41" s="187" t="n"/>
      <c r="CN41" s="115" t="n"/>
      <c r="CO41" s="116" t="n"/>
      <c r="CP41" s="115" t="n"/>
      <c r="CQ41" s="116" t="n"/>
      <c r="CR41" s="115" t="n"/>
      <c r="CS41" s="116" t="n"/>
      <c r="CT41" s="115" t="n"/>
      <c r="CU41" s="116" t="n"/>
      <c r="CV41" s="115" t="n"/>
      <c r="CW41" s="116" t="n"/>
      <c r="CX41" s="115" t="n"/>
      <c r="CY41" s="116" t="n"/>
      <c r="CZ41" s="115" t="n"/>
      <c r="DA41" s="116" t="n"/>
      <c r="DB41" s="115" t="n"/>
      <c r="DC41" s="116" t="n"/>
      <c r="DD41" s="188" t="n"/>
      <c r="DE41" s="118" t="n"/>
      <c r="DF41" s="119" t="n"/>
      <c r="DG41" s="118" t="n"/>
      <c r="DH41" s="119" t="n"/>
      <c r="DI41" s="118" t="n"/>
      <c r="DJ41" s="119" t="n"/>
      <c r="DK41" s="118" t="n"/>
      <c r="DL41" s="119" t="n"/>
      <c r="DM41" s="118" t="n"/>
      <c r="DN41" s="119" t="n"/>
      <c r="DO41" s="118" t="n"/>
      <c r="DP41" s="119" t="n"/>
      <c r="DQ41" s="118" t="n"/>
      <c r="DR41" s="119" t="n"/>
      <c r="DS41" s="118" t="n"/>
      <c r="DT41" s="119" t="n"/>
      <c r="DU41" s="189" t="n"/>
      <c r="DV41" s="121" t="n"/>
      <c r="DW41" s="122" t="n"/>
      <c r="DX41" s="121" t="n"/>
      <c r="DY41" s="122" t="n"/>
      <c r="DZ41" s="121" t="n"/>
      <c r="EA41" s="122" t="n"/>
      <c r="EB41" s="121" t="n"/>
      <c r="EC41" s="122" t="n"/>
      <c r="ED41" s="121" t="n"/>
      <c r="EE41" s="122" t="n"/>
      <c r="EF41" s="121" t="n"/>
      <c r="EG41" s="122" t="n"/>
      <c r="EH41" s="121" t="n"/>
      <c r="EI41" s="122" t="n"/>
      <c r="EJ41" s="121" t="n"/>
      <c r="EK41" s="122" t="n"/>
      <c r="EL41" s="190" t="n"/>
      <c r="EM41" s="124" t="n"/>
      <c r="EN41" s="125" t="n"/>
      <c r="EO41" s="124" t="n"/>
      <c r="EP41" s="125" t="n"/>
      <c r="EQ41" s="124" t="n"/>
      <c r="ER41" s="125" t="n"/>
      <c r="ES41" s="124" t="n"/>
      <c r="ET41" s="125" t="n"/>
      <c r="EU41" s="124" t="n"/>
      <c r="EV41" s="125" t="n"/>
      <c r="EW41" s="124" t="n"/>
      <c r="EX41" s="125" t="n"/>
      <c r="EY41" s="124" t="n"/>
      <c r="EZ41" s="125" t="n"/>
      <c r="FA41" s="124" t="n"/>
      <c r="FB41" s="125" t="n"/>
      <c r="FC41" s="191" t="n"/>
      <c r="FD41" s="127" t="n"/>
      <c r="FE41" s="128" t="n"/>
      <c r="FF41" s="127" t="n"/>
      <c r="FG41" s="128" t="n"/>
      <c r="FH41" s="127" t="n"/>
      <c r="FI41" s="128" t="n"/>
      <c r="FJ41" s="127" t="n"/>
      <c r="FK41" s="128" t="n"/>
      <c r="FL41" s="127" t="n"/>
      <c r="FM41" s="128" t="n"/>
      <c r="FN41" s="127" t="n"/>
      <c r="FO41" s="128" t="n"/>
      <c r="FP41" s="127" t="n"/>
      <c r="FQ41" s="128" t="n"/>
      <c r="FR41" s="127" t="n"/>
      <c r="FS41" s="128" t="n"/>
      <c r="FT41" s="192" t="n"/>
      <c r="FU41" s="130" t="n"/>
      <c r="FV41" s="131" t="n"/>
      <c r="FW41" s="130" t="n"/>
      <c r="FX41" s="131" t="n"/>
      <c r="FY41" s="130" t="n"/>
      <c r="FZ41" s="131" t="n"/>
      <c r="GA41" s="130" t="n"/>
      <c r="GB41" s="131" t="n"/>
      <c r="GC41" s="130" t="n"/>
      <c r="GD41" s="131" t="n"/>
      <c r="GE41" s="130" t="n"/>
      <c r="GF41" s="131" t="n"/>
      <c r="GG41" s="130" t="n"/>
      <c r="GH41" s="131" t="n"/>
      <c r="GI41" s="130" t="n"/>
      <c r="GJ41" s="131" t="n"/>
      <c r="GK41" s="193" t="n"/>
      <c r="GL41" s="133" t="n"/>
      <c r="GM41" s="134" t="n"/>
      <c r="GN41" s="133" t="n"/>
      <c r="GO41" s="134" t="n"/>
      <c r="GP41" s="133" t="n"/>
      <c r="GQ41" s="134" t="n"/>
      <c r="GR41" s="133" t="n"/>
      <c r="GS41" s="134" t="n"/>
      <c r="GT41" s="133" t="n"/>
      <c r="GU41" s="134" t="n"/>
      <c r="GV41" s="133" t="n"/>
      <c r="GW41" s="134" t="n"/>
      <c r="GX41" s="133" t="n"/>
      <c r="GY41" s="134" t="n"/>
      <c r="GZ41" s="133" t="n"/>
      <c r="HA41" s="134" t="n"/>
      <c r="HB41" s="194" t="n"/>
      <c r="HC41">
        <f>SUMIFS($G41:$HB41,$G$46:$HB$46,"&gt;="&amp;$HD$1,$G$46:$HB$46,"&lt;="&amp;$HD$2,$G$29:$HB$29,"&lt;&gt;ملاحظات",$G$28:$HB$28,"&gt;0")</f>
        <v>0</v>
      </c>
      <c r="HD41">
        <f>SUMIFS($G$28:$HB$28,$G$46:$HB$46,"&gt;="&amp;$HD$1,$G$46:$HB$46,"&lt;="&amp;$HD$2,$G$29:$HB$29,"&lt;&gt;ملاحظات",$G41:$HB41,"&gt;=0")</f>
        <v>0</v>
      </c>
    </row>
    <row r="42" ht="22.5" customHeight="1">
      <c r="A42" s="36" t="n">
        <v>13</v>
      </c>
      <c r="B42" s="181" t="str">
        <f>IF($B17="","",$B17)</f>
        <v/>
      </c>
      <c r="C42" s="136" t="str">
        <f>IF(OR($B42="",$HD42=0),"",ROUND($HC42,2)&amp;" / "&amp;$HD42)</f>
        <v/>
      </c>
      <c r="D42" s="182" t="str">
        <f>IF(OR($B42="",$HD42=0),"",$HC42/$HD42)</f>
        <v/>
      </c>
      <c r="E42" s="98" t="str">
        <f>IF($D42="","",RANK($D42,$D$30:$D$44))</f>
        <v/>
      </c>
      <c r="F42" s="99" t="str">
        <f>IF($D42="","",IF($D42&gt;=0.85,"ممتاز",IF($D42&gt;=0.75,"جيد جداً",IF($D42&gt;=0.65,"جيد",IF($D42&gt;=0.5,"مقبول","ضعيف")))))</f>
        <v/>
      </c>
      <c r="G42" s="100" t="n"/>
      <c r="H42" s="101" t="n"/>
      <c r="I42" s="100" t="n"/>
      <c r="J42" s="101" t="n"/>
      <c r="K42" s="100" t="n"/>
      <c r="L42" s="101" t="n"/>
      <c r="M42" s="100" t="n"/>
      <c r="N42" s="101" t="n"/>
      <c r="O42" s="100" t="n"/>
      <c r="P42" s="101" t="n"/>
      <c r="Q42" s="100" t="n"/>
      <c r="R42" s="101" t="n"/>
      <c r="S42" s="100" t="n"/>
      <c r="T42" s="101" t="n"/>
      <c r="U42" s="100" t="n"/>
      <c r="V42" s="101" t="n"/>
      <c r="W42" s="183" t="n"/>
      <c r="X42" s="103" t="n"/>
      <c r="Y42" s="104" t="n"/>
      <c r="Z42" s="103" t="n"/>
      <c r="AA42" s="104" t="n"/>
      <c r="AB42" s="103" t="n"/>
      <c r="AC42" s="104" t="n"/>
      <c r="AD42" s="103" t="n"/>
      <c r="AE42" s="104" t="n"/>
      <c r="AF42" s="103" t="n"/>
      <c r="AG42" s="104" t="n"/>
      <c r="AH42" s="103" t="n"/>
      <c r="AI42" s="104" t="n"/>
      <c r="AJ42" s="103" t="n"/>
      <c r="AK42" s="104" t="n"/>
      <c r="AL42" s="103" t="n"/>
      <c r="AM42" s="104" t="n"/>
      <c r="AN42" s="184" t="n"/>
      <c r="AO42" s="106" t="n"/>
      <c r="AP42" s="107" t="n"/>
      <c r="AQ42" s="106" t="n"/>
      <c r="AR42" s="107" t="n"/>
      <c r="AS42" s="106" t="n"/>
      <c r="AT42" s="107" t="n"/>
      <c r="AU42" s="106" t="n"/>
      <c r="AV42" s="107" t="n"/>
      <c r="AW42" s="106" t="n"/>
      <c r="AX42" s="107" t="n"/>
      <c r="AY42" s="106" t="n"/>
      <c r="AZ42" s="107" t="n"/>
      <c r="BA42" s="106" t="n"/>
      <c r="BB42" s="107" t="n"/>
      <c r="BC42" s="106" t="n"/>
      <c r="BD42" s="107" t="n"/>
      <c r="BE42" s="185" t="n"/>
      <c r="BF42" s="109" t="n"/>
      <c r="BG42" s="110" t="n"/>
      <c r="BH42" s="109" t="n"/>
      <c r="BI42" s="110" t="n"/>
      <c r="BJ42" s="109" t="n"/>
      <c r="BK42" s="110" t="n"/>
      <c r="BL42" s="109" t="n"/>
      <c r="BM42" s="110" t="n"/>
      <c r="BN42" s="109" t="n"/>
      <c r="BO42" s="110" t="n"/>
      <c r="BP42" s="109" t="n"/>
      <c r="BQ42" s="110" t="n"/>
      <c r="BR42" s="109" t="n"/>
      <c r="BS42" s="110" t="n"/>
      <c r="BT42" s="109" t="n"/>
      <c r="BU42" s="110" t="n"/>
      <c r="BV42" s="186" t="n"/>
      <c r="BW42" s="112" t="n"/>
      <c r="BX42" s="113" t="n"/>
      <c r="BY42" s="112" t="n"/>
      <c r="BZ42" s="113" t="n"/>
      <c r="CA42" s="112" t="n"/>
      <c r="CB42" s="113" t="n"/>
      <c r="CC42" s="112" t="n"/>
      <c r="CD42" s="113" t="n"/>
      <c r="CE42" s="112" t="n"/>
      <c r="CF42" s="113" t="n"/>
      <c r="CG42" s="112" t="n"/>
      <c r="CH42" s="113" t="n"/>
      <c r="CI42" s="112" t="n"/>
      <c r="CJ42" s="113" t="n"/>
      <c r="CK42" s="112" t="n"/>
      <c r="CL42" s="113" t="n"/>
      <c r="CM42" s="187" t="n"/>
      <c r="CN42" s="115" t="n"/>
      <c r="CO42" s="116" t="n"/>
      <c r="CP42" s="115" t="n"/>
      <c r="CQ42" s="116" t="n"/>
      <c r="CR42" s="115" t="n"/>
      <c r="CS42" s="116" t="n"/>
      <c r="CT42" s="115" t="n"/>
      <c r="CU42" s="116" t="n"/>
      <c r="CV42" s="115" t="n"/>
      <c r="CW42" s="116" t="n"/>
      <c r="CX42" s="115" t="n"/>
      <c r="CY42" s="116" t="n"/>
      <c r="CZ42" s="115" t="n"/>
      <c r="DA42" s="116" t="n"/>
      <c r="DB42" s="115" t="n"/>
      <c r="DC42" s="116" t="n"/>
      <c r="DD42" s="188" t="n"/>
      <c r="DE42" s="118" t="n"/>
      <c r="DF42" s="119" t="n"/>
      <c r="DG42" s="118" t="n"/>
      <c r="DH42" s="119" t="n"/>
      <c r="DI42" s="118" t="n"/>
      <c r="DJ42" s="119" t="n"/>
      <c r="DK42" s="118" t="n"/>
      <c r="DL42" s="119" t="n"/>
      <c r="DM42" s="118" t="n"/>
      <c r="DN42" s="119" t="n"/>
      <c r="DO42" s="118" t="n"/>
      <c r="DP42" s="119" t="n"/>
      <c r="DQ42" s="118" t="n"/>
      <c r="DR42" s="119" t="n"/>
      <c r="DS42" s="118" t="n"/>
      <c r="DT42" s="119" t="n"/>
      <c r="DU42" s="189" t="n"/>
      <c r="DV42" s="121" t="n"/>
      <c r="DW42" s="122" t="n"/>
      <c r="DX42" s="121" t="n"/>
      <c r="DY42" s="122" t="n"/>
      <c r="DZ42" s="121" t="n"/>
      <c r="EA42" s="122" t="n"/>
      <c r="EB42" s="121" t="n"/>
      <c r="EC42" s="122" t="n"/>
      <c r="ED42" s="121" t="n"/>
      <c r="EE42" s="122" t="n"/>
      <c r="EF42" s="121" t="n"/>
      <c r="EG42" s="122" t="n"/>
      <c r="EH42" s="121" t="n"/>
      <c r="EI42" s="122" t="n"/>
      <c r="EJ42" s="121" t="n"/>
      <c r="EK42" s="122" t="n"/>
      <c r="EL42" s="190" t="n"/>
      <c r="EM42" s="124" t="n"/>
      <c r="EN42" s="125" t="n"/>
      <c r="EO42" s="124" t="n"/>
      <c r="EP42" s="125" t="n"/>
      <c r="EQ42" s="124" t="n"/>
      <c r="ER42" s="125" t="n"/>
      <c r="ES42" s="124" t="n"/>
      <c r="ET42" s="125" t="n"/>
      <c r="EU42" s="124" t="n"/>
      <c r="EV42" s="125" t="n"/>
      <c r="EW42" s="124" t="n"/>
      <c r="EX42" s="125" t="n"/>
      <c r="EY42" s="124" t="n"/>
      <c r="EZ42" s="125" t="n"/>
      <c r="FA42" s="124" t="n"/>
      <c r="FB42" s="125" t="n"/>
      <c r="FC42" s="191" t="n"/>
      <c r="FD42" s="127" t="n"/>
      <c r="FE42" s="128" t="n"/>
      <c r="FF42" s="127" t="n"/>
      <c r="FG42" s="128" t="n"/>
      <c r="FH42" s="127" t="n"/>
      <c r="FI42" s="128" t="n"/>
      <c r="FJ42" s="127" t="n"/>
      <c r="FK42" s="128" t="n"/>
      <c r="FL42" s="127" t="n"/>
      <c r="FM42" s="128" t="n"/>
      <c r="FN42" s="127" t="n"/>
      <c r="FO42" s="128" t="n"/>
      <c r="FP42" s="127" t="n"/>
      <c r="FQ42" s="128" t="n"/>
      <c r="FR42" s="127" t="n"/>
      <c r="FS42" s="128" t="n"/>
      <c r="FT42" s="192" t="n"/>
      <c r="FU42" s="130" t="n"/>
      <c r="FV42" s="131" t="n"/>
      <c r="FW42" s="130" t="n"/>
      <c r="FX42" s="131" t="n"/>
      <c r="FY42" s="130" t="n"/>
      <c r="FZ42" s="131" t="n"/>
      <c r="GA42" s="130" t="n"/>
      <c r="GB42" s="131" t="n"/>
      <c r="GC42" s="130" t="n"/>
      <c r="GD42" s="131" t="n"/>
      <c r="GE42" s="130" t="n"/>
      <c r="GF42" s="131" t="n"/>
      <c r="GG42" s="130" t="n"/>
      <c r="GH42" s="131" t="n"/>
      <c r="GI42" s="130" t="n"/>
      <c r="GJ42" s="131" t="n"/>
      <c r="GK42" s="193" t="n"/>
      <c r="GL42" s="133" t="n"/>
      <c r="GM42" s="134" t="n"/>
      <c r="GN42" s="133" t="n"/>
      <c r="GO42" s="134" t="n"/>
      <c r="GP42" s="133" t="n"/>
      <c r="GQ42" s="134" t="n"/>
      <c r="GR42" s="133" t="n"/>
      <c r="GS42" s="134" t="n"/>
      <c r="GT42" s="133" t="n"/>
      <c r="GU42" s="134" t="n"/>
      <c r="GV42" s="133" t="n"/>
      <c r="GW42" s="134" t="n"/>
      <c r="GX42" s="133" t="n"/>
      <c r="GY42" s="134" t="n"/>
      <c r="GZ42" s="133" t="n"/>
      <c r="HA42" s="134" t="n"/>
      <c r="HB42" s="194" t="n"/>
      <c r="HC42">
        <f>SUMIFS($G42:$HB42,$G$46:$HB$46,"&gt;="&amp;$HD$1,$G$46:$HB$46,"&lt;="&amp;$HD$2,$G$29:$HB$29,"&lt;&gt;ملاحظات",$G$28:$HB$28,"&gt;0")</f>
        <v>0</v>
      </c>
      <c r="HD42">
        <f>SUMIFS($G$28:$HB$28,$G$46:$HB$46,"&gt;="&amp;$HD$1,$G$46:$HB$46,"&lt;="&amp;$HD$2,$G$29:$HB$29,"&lt;&gt;ملاحظات",$G42:$HB42,"&gt;=0")</f>
        <v>0</v>
      </c>
    </row>
    <row r="43" ht="22.5" customHeight="1">
      <c r="A43" s="36" t="n">
        <v>14</v>
      </c>
      <c r="B43" s="181" t="str">
        <f>IF($B18="","",$B18)</f>
        <v/>
      </c>
      <c r="C43" s="136" t="str">
        <f>IF(OR($B43="",$HD43=0),"",ROUND($HC43,2)&amp;" / "&amp;$HD43)</f>
        <v/>
      </c>
      <c r="D43" s="182" t="str">
        <f>IF(OR($B43="",$HD43=0),"",$HC43/$HD43)</f>
        <v/>
      </c>
      <c r="E43" s="98" t="str">
        <f>IF($D43="","",RANK($D43,$D$30:$D$44))</f>
        <v/>
      </c>
      <c r="F43" s="99" t="str">
        <f>IF($D43="","",IF($D43&gt;=0.85,"ممتاز",IF($D43&gt;=0.75,"جيد جداً",IF($D43&gt;=0.65,"جيد",IF($D43&gt;=0.5,"مقبول","ضعيف")))))</f>
        <v/>
      </c>
      <c r="G43" s="100" t="n"/>
      <c r="H43" s="101" t="n"/>
      <c r="I43" s="100" t="n"/>
      <c r="J43" s="101" t="n"/>
      <c r="K43" s="100" t="n"/>
      <c r="L43" s="101" t="n"/>
      <c r="M43" s="100" t="n"/>
      <c r="N43" s="101" t="n"/>
      <c r="O43" s="100" t="n"/>
      <c r="P43" s="101" t="n"/>
      <c r="Q43" s="100" t="n"/>
      <c r="R43" s="101" t="n"/>
      <c r="S43" s="100" t="n"/>
      <c r="T43" s="101" t="n"/>
      <c r="U43" s="100" t="n"/>
      <c r="V43" s="101" t="n"/>
      <c r="W43" s="183" t="n"/>
      <c r="X43" s="103" t="n"/>
      <c r="Y43" s="104" t="n"/>
      <c r="Z43" s="103" t="n"/>
      <c r="AA43" s="104" t="n"/>
      <c r="AB43" s="103" t="n"/>
      <c r="AC43" s="104" t="n"/>
      <c r="AD43" s="103" t="n"/>
      <c r="AE43" s="104" t="n"/>
      <c r="AF43" s="103" t="n"/>
      <c r="AG43" s="104" t="n"/>
      <c r="AH43" s="103" t="n"/>
      <c r="AI43" s="104" t="n"/>
      <c r="AJ43" s="103" t="n"/>
      <c r="AK43" s="104" t="n"/>
      <c r="AL43" s="103" t="n"/>
      <c r="AM43" s="104" t="n"/>
      <c r="AN43" s="184" t="n"/>
      <c r="AO43" s="106" t="n"/>
      <c r="AP43" s="107" t="n"/>
      <c r="AQ43" s="106" t="n"/>
      <c r="AR43" s="107" t="n"/>
      <c r="AS43" s="106" t="n"/>
      <c r="AT43" s="107" t="n"/>
      <c r="AU43" s="106" t="n"/>
      <c r="AV43" s="107" t="n"/>
      <c r="AW43" s="106" t="n"/>
      <c r="AX43" s="107" t="n"/>
      <c r="AY43" s="106" t="n"/>
      <c r="AZ43" s="107" t="n"/>
      <c r="BA43" s="106" t="n"/>
      <c r="BB43" s="107" t="n"/>
      <c r="BC43" s="106" t="n"/>
      <c r="BD43" s="107" t="n"/>
      <c r="BE43" s="185" t="n"/>
      <c r="BF43" s="109" t="n"/>
      <c r="BG43" s="110" t="n"/>
      <c r="BH43" s="109" t="n"/>
      <c r="BI43" s="110" t="n"/>
      <c r="BJ43" s="109" t="n"/>
      <c r="BK43" s="110" t="n"/>
      <c r="BL43" s="109" t="n"/>
      <c r="BM43" s="110" t="n"/>
      <c r="BN43" s="109" t="n"/>
      <c r="BO43" s="110" t="n"/>
      <c r="BP43" s="109" t="n"/>
      <c r="BQ43" s="110" t="n"/>
      <c r="BR43" s="109" t="n"/>
      <c r="BS43" s="110" t="n"/>
      <c r="BT43" s="109" t="n"/>
      <c r="BU43" s="110" t="n"/>
      <c r="BV43" s="186" t="n"/>
      <c r="BW43" s="112" t="n"/>
      <c r="BX43" s="113" t="n"/>
      <c r="BY43" s="112" t="n"/>
      <c r="BZ43" s="113" t="n"/>
      <c r="CA43" s="112" t="n"/>
      <c r="CB43" s="113" t="n"/>
      <c r="CC43" s="112" t="n"/>
      <c r="CD43" s="113" t="n"/>
      <c r="CE43" s="112" t="n"/>
      <c r="CF43" s="113" t="n"/>
      <c r="CG43" s="112" t="n"/>
      <c r="CH43" s="113" t="n"/>
      <c r="CI43" s="112" t="n"/>
      <c r="CJ43" s="113" t="n"/>
      <c r="CK43" s="112" t="n"/>
      <c r="CL43" s="113" t="n"/>
      <c r="CM43" s="187" t="n"/>
      <c r="CN43" s="115" t="n"/>
      <c r="CO43" s="116" t="n"/>
      <c r="CP43" s="115" t="n"/>
      <c r="CQ43" s="116" t="n"/>
      <c r="CR43" s="115" t="n"/>
      <c r="CS43" s="116" t="n"/>
      <c r="CT43" s="115" t="n"/>
      <c r="CU43" s="116" t="n"/>
      <c r="CV43" s="115" t="n"/>
      <c r="CW43" s="116" t="n"/>
      <c r="CX43" s="115" t="n"/>
      <c r="CY43" s="116" t="n"/>
      <c r="CZ43" s="115" t="n"/>
      <c r="DA43" s="116" t="n"/>
      <c r="DB43" s="115" t="n"/>
      <c r="DC43" s="116" t="n"/>
      <c r="DD43" s="188" t="n"/>
      <c r="DE43" s="118" t="n"/>
      <c r="DF43" s="119" t="n"/>
      <c r="DG43" s="118" t="n"/>
      <c r="DH43" s="119" t="n"/>
      <c r="DI43" s="118" t="n"/>
      <c r="DJ43" s="119" t="n"/>
      <c r="DK43" s="118" t="n"/>
      <c r="DL43" s="119" t="n"/>
      <c r="DM43" s="118" t="n"/>
      <c r="DN43" s="119" t="n"/>
      <c r="DO43" s="118" t="n"/>
      <c r="DP43" s="119" t="n"/>
      <c r="DQ43" s="118" t="n"/>
      <c r="DR43" s="119" t="n"/>
      <c r="DS43" s="118" t="n"/>
      <c r="DT43" s="119" t="n"/>
      <c r="DU43" s="189" t="n"/>
      <c r="DV43" s="121" t="n"/>
      <c r="DW43" s="122" t="n"/>
      <c r="DX43" s="121" t="n"/>
      <c r="DY43" s="122" t="n"/>
      <c r="DZ43" s="121" t="n"/>
      <c r="EA43" s="122" t="n"/>
      <c r="EB43" s="121" t="n"/>
      <c r="EC43" s="122" t="n"/>
      <c r="ED43" s="121" t="n"/>
      <c r="EE43" s="122" t="n"/>
      <c r="EF43" s="121" t="n"/>
      <c r="EG43" s="122" t="n"/>
      <c r="EH43" s="121" t="n"/>
      <c r="EI43" s="122" t="n"/>
      <c r="EJ43" s="121" t="n"/>
      <c r="EK43" s="122" t="n"/>
      <c r="EL43" s="190" t="n"/>
      <c r="EM43" s="124" t="n"/>
      <c r="EN43" s="125" t="n"/>
      <c r="EO43" s="124" t="n"/>
      <c r="EP43" s="125" t="n"/>
      <c r="EQ43" s="124" t="n"/>
      <c r="ER43" s="125" t="n"/>
      <c r="ES43" s="124" t="n"/>
      <c r="ET43" s="125" t="n"/>
      <c r="EU43" s="124" t="n"/>
      <c r="EV43" s="125" t="n"/>
      <c r="EW43" s="124" t="n"/>
      <c r="EX43" s="125" t="n"/>
      <c r="EY43" s="124" t="n"/>
      <c r="EZ43" s="125" t="n"/>
      <c r="FA43" s="124" t="n"/>
      <c r="FB43" s="125" t="n"/>
      <c r="FC43" s="191" t="n"/>
      <c r="FD43" s="127" t="n"/>
      <c r="FE43" s="128" t="n"/>
      <c r="FF43" s="127" t="n"/>
      <c r="FG43" s="128" t="n"/>
      <c r="FH43" s="127" t="n"/>
      <c r="FI43" s="128" t="n"/>
      <c r="FJ43" s="127" t="n"/>
      <c r="FK43" s="128" t="n"/>
      <c r="FL43" s="127" t="n"/>
      <c r="FM43" s="128" t="n"/>
      <c r="FN43" s="127" t="n"/>
      <c r="FO43" s="128" t="n"/>
      <c r="FP43" s="127" t="n"/>
      <c r="FQ43" s="128" t="n"/>
      <c r="FR43" s="127" t="n"/>
      <c r="FS43" s="128" t="n"/>
      <c r="FT43" s="192" t="n"/>
      <c r="FU43" s="130" t="n"/>
      <c r="FV43" s="131" t="n"/>
      <c r="FW43" s="130" t="n"/>
      <c r="FX43" s="131" t="n"/>
      <c r="FY43" s="130" t="n"/>
      <c r="FZ43" s="131" t="n"/>
      <c r="GA43" s="130" t="n"/>
      <c r="GB43" s="131" t="n"/>
      <c r="GC43" s="130" t="n"/>
      <c r="GD43" s="131" t="n"/>
      <c r="GE43" s="130" t="n"/>
      <c r="GF43" s="131" t="n"/>
      <c r="GG43" s="130" t="n"/>
      <c r="GH43" s="131" t="n"/>
      <c r="GI43" s="130" t="n"/>
      <c r="GJ43" s="131" t="n"/>
      <c r="GK43" s="193" t="n"/>
      <c r="GL43" s="133" t="n"/>
      <c r="GM43" s="134" t="n"/>
      <c r="GN43" s="133" t="n"/>
      <c r="GO43" s="134" t="n"/>
      <c r="GP43" s="133" t="n"/>
      <c r="GQ43" s="134" t="n"/>
      <c r="GR43" s="133" t="n"/>
      <c r="GS43" s="134" t="n"/>
      <c r="GT43" s="133" t="n"/>
      <c r="GU43" s="134" t="n"/>
      <c r="GV43" s="133" t="n"/>
      <c r="GW43" s="134" t="n"/>
      <c r="GX43" s="133" t="n"/>
      <c r="GY43" s="134" t="n"/>
      <c r="GZ43" s="133" t="n"/>
      <c r="HA43" s="134" t="n"/>
      <c r="HB43" s="194" t="n"/>
      <c r="HC43">
        <f>SUMIFS($G43:$HB43,$G$46:$HB$46,"&gt;="&amp;$HD$1,$G$46:$HB$46,"&lt;="&amp;$HD$2,$G$29:$HB$29,"&lt;&gt;ملاحظات",$G$28:$HB$28,"&gt;0")</f>
        <v>0</v>
      </c>
      <c r="HD43">
        <f>SUMIFS($G$28:$HB$28,$G$46:$HB$46,"&gt;="&amp;$HD$1,$G$46:$HB$46,"&lt;="&amp;$HD$2,$G$29:$HB$29,"&lt;&gt;ملاحظات",$G43:$HB43,"&gt;=0")</f>
        <v>0</v>
      </c>
    </row>
    <row r="44" ht="22.5" customHeight="1">
      <c r="A44" s="36" t="n">
        <v>15</v>
      </c>
      <c r="B44" s="181" t="str">
        <f>IF($B19="","",$B19)</f>
        <v/>
      </c>
      <c r="C44" s="136" t="str">
        <f>IF(OR($B44="",$HD44=0),"",ROUND($HC44,2)&amp;" / "&amp;$HD44)</f>
        <v/>
      </c>
      <c r="D44" s="182" t="str">
        <f>IF(OR($B44="",$HD44=0),"",$HC44/$HD44)</f>
        <v/>
      </c>
      <c r="E44" s="98" t="str">
        <f>IF($D44="","",RANK($D44,$D$30:$D$44))</f>
        <v/>
      </c>
      <c r="F44" s="99" t="str">
        <f>IF($D44="","",IF($D44&gt;=0.85,"ممتاز",IF($D44&gt;=0.75,"جيد جداً",IF($D44&gt;=0.65,"جيد",IF($D44&gt;=0.5,"مقبول","ضعيف")))))</f>
        <v/>
      </c>
      <c r="G44" s="100" t="n"/>
      <c r="H44" s="101" t="n"/>
      <c r="I44" s="100" t="n"/>
      <c r="J44" s="101" t="n"/>
      <c r="K44" s="100" t="n"/>
      <c r="L44" s="101" t="n"/>
      <c r="M44" s="100" t="n"/>
      <c r="N44" s="101" t="n"/>
      <c r="O44" s="100" t="n"/>
      <c r="P44" s="101" t="n"/>
      <c r="Q44" s="100" t="n"/>
      <c r="R44" s="101" t="n"/>
      <c r="S44" s="100" t="n"/>
      <c r="T44" s="101" t="n"/>
      <c r="U44" s="100" t="n"/>
      <c r="V44" s="101" t="n"/>
      <c r="W44" s="183" t="n"/>
      <c r="X44" s="103" t="n"/>
      <c r="Y44" s="104" t="n"/>
      <c r="Z44" s="103" t="n"/>
      <c r="AA44" s="104" t="n"/>
      <c r="AB44" s="103" t="n"/>
      <c r="AC44" s="104" t="n"/>
      <c r="AD44" s="103" t="n"/>
      <c r="AE44" s="104" t="n"/>
      <c r="AF44" s="103" t="n"/>
      <c r="AG44" s="104" t="n"/>
      <c r="AH44" s="103" t="n"/>
      <c r="AI44" s="104" t="n"/>
      <c r="AJ44" s="103" t="n"/>
      <c r="AK44" s="104" t="n"/>
      <c r="AL44" s="103" t="n"/>
      <c r="AM44" s="104" t="n"/>
      <c r="AN44" s="184" t="n"/>
      <c r="AO44" s="106" t="n"/>
      <c r="AP44" s="107" t="n"/>
      <c r="AQ44" s="106" t="n"/>
      <c r="AR44" s="107" t="n"/>
      <c r="AS44" s="106" t="n"/>
      <c r="AT44" s="107" t="n"/>
      <c r="AU44" s="106" t="n"/>
      <c r="AV44" s="107" t="n"/>
      <c r="AW44" s="106" t="n"/>
      <c r="AX44" s="107" t="n"/>
      <c r="AY44" s="106" t="n"/>
      <c r="AZ44" s="107" t="n"/>
      <c r="BA44" s="106" t="n"/>
      <c r="BB44" s="107" t="n"/>
      <c r="BC44" s="106" t="n"/>
      <c r="BD44" s="107" t="n"/>
      <c r="BE44" s="185" t="n"/>
      <c r="BF44" s="109" t="n"/>
      <c r="BG44" s="110" t="n"/>
      <c r="BH44" s="109" t="n"/>
      <c r="BI44" s="110" t="n"/>
      <c r="BJ44" s="109" t="n"/>
      <c r="BK44" s="110" t="n"/>
      <c r="BL44" s="109" t="n"/>
      <c r="BM44" s="110" t="n"/>
      <c r="BN44" s="109" t="n"/>
      <c r="BO44" s="110" t="n"/>
      <c r="BP44" s="109" t="n"/>
      <c r="BQ44" s="110" t="n"/>
      <c r="BR44" s="109" t="n"/>
      <c r="BS44" s="110" t="n"/>
      <c r="BT44" s="109" t="n"/>
      <c r="BU44" s="110" t="n"/>
      <c r="BV44" s="186" t="n"/>
      <c r="BW44" s="112" t="n"/>
      <c r="BX44" s="113" t="n"/>
      <c r="BY44" s="112" t="n"/>
      <c r="BZ44" s="113" t="n"/>
      <c r="CA44" s="112" t="n"/>
      <c r="CB44" s="113" t="n"/>
      <c r="CC44" s="112" t="n"/>
      <c r="CD44" s="113" t="n"/>
      <c r="CE44" s="112" t="n"/>
      <c r="CF44" s="113" t="n"/>
      <c r="CG44" s="112" t="n"/>
      <c r="CH44" s="113" t="n"/>
      <c r="CI44" s="112" t="n"/>
      <c r="CJ44" s="113" t="n"/>
      <c r="CK44" s="112" t="n"/>
      <c r="CL44" s="113" t="n"/>
      <c r="CM44" s="187" t="n"/>
      <c r="CN44" s="115" t="n"/>
      <c r="CO44" s="116" t="n"/>
      <c r="CP44" s="115" t="n"/>
      <c r="CQ44" s="116" t="n"/>
      <c r="CR44" s="115" t="n"/>
      <c r="CS44" s="116" t="n"/>
      <c r="CT44" s="115" t="n"/>
      <c r="CU44" s="116" t="n"/>
      <c r="CV44" s="115" t="n"/>
      <c r="CW44" s="116" t="n"/>
      <c r="CX44" s="115" t="n"/>
      <c r="CY44" s="116" t="n"/>
      <c r="CZ44" s="115" t="n"/>
      <c r="DA44" s="116" t="n"/>
      <c r="DB44" s="115" t="n"/>
      <c r="DC44" s="116" t="n"/>
      <c r="DD44" s="188" t="n"/>
      <c r="DE44" s="118" t="n"/>
      <c r="DF44" s="119" t="n"/>
      <c r="DG44" s="118" t="n"/>
      <c r="DH44" s="119" t="n"/>
      <c r="DI44" s="118" t="n"/>
      <c r="DJ44" s="119" t="n"/>
      <c r="DK44" s="118" t="n"/>
      <c r="DL44" s="119" t="n"/>
      <c r="DM44" s="118" t="n"/>
      <c r="DN44" s="119" t="n"/>
      <c r="DO44" s="118" t="n"/>
      <c r="DP44" s="119" t="n"/>
      <c r="DQ44" s="118" t="n"/>
      <c r="DR44" s="119" t="n"/>
      <c r="DS44" s="118" t="n"/>
      <c r="DT44" s="119" t="n"/>
      <c r="DU44" s="189" t="n"/>
      <c r="DV44" s="121" t="n"/>
      <c r="DW44" s="122" t="n"/>
      <c r="DX44" s="121" t="n"/>
      <c r="DY44" s="122" t="n"/>
      <c r="DZ44" s="121" t="n"/>
      <c r="EA44" s="122" t="n"/>
      <c r="EB44" s="121" t="n"/>
      <c r="EC44" s="122" t="n"/>
      <c r="ED44" s="121" t="n"/>
      <c r="EE44" s="122" t="n"/>
      <c r="EF44" s="121" t="n"/>
      <c r="EG44" s="122" t="n"/>
      <c r="EH44" s="121" t="n"/>
      <c r="EI44" s="122" t="n"/>
      <c r="EJ44" s="121" t="n"/>
      <c r="EK44" s="122" t="n"/>
      <c r="EL44" s="190" t="n"/>
      <c r="EM44" s="124" t="n"/>
      <c r="EN44" s="125" t="n"/>
      <c r="EO44" s="124" t="n"/>
      <c r="EP44" s="125" t="n"/>
      <c r="EQ44" s="124" t="n"/>
      <c r="ER44" s="125" t="n"/>
      <c r="ES44" s="124" t="n"/>
      <c r="ET44" s="125" t="n"/>
      <c r="EU44" s="124" t="n"/>
      <c r="EV44" s="125" t="n"/>
      <c r="EW44" s="124" t="n"/>
      <c r="EX44" s="125" t="n"/>
      <c r="EY44" s="124" t="n"/>
      <c r="EZ44" s="125" t="n"/>
      <c r="FA44" s="124" t="n"/>
      <c r="FB44" s="125" t="n"/>
      <c r="FC44" s="191" t="n"/>
      <c r="FD44" s="127" t="n"/>
      <c r="FE44" s="128" t="n"/>
      <c r="FF44" s="127" t="n"/>
      <c r="FG44" s="128" t="n"/>
      <c r="FH44" s="127" t="n"/>
      <c r="FI44" s="128" t="n"/>
      <c r="FJ44" s="127" t="n"/>
      <c r="FK44" s="128" t="n"/>
      <c r="FL44" s="127" t="n"/>
      <c r="FM44" s="128" t="n"/>
      <c r="FN44" s="127" t="n"/>
      <c r="FO44" s="128" t="n"/>
      <c r="FP44" s="127" t="n"/>
      <c r="FQ44" s="128" t="n"/>
      <c r="FR44" s="127" t="n"/>
      <c r="FS44" s="128" t="n"/>
      <c r="FT44" s="192" t="n"/>
      <c r="FU44" s="130" t="n"/>
      <c r="FV44" s="131" t="n"/>
      <c r="FW44" s="130" t="n"/>
      <c r="FX44" s="131" t="n"/>
      <c r="FY44" s="130" t="n"/>
      <c r="FZ44" s="131" t="n"/>
      <c r="GA44" s="130" t="n"/>
      <c r="GB44" s="131" t="n"/>
      <c r="GC44" s="130" t="n"/>
      <c r="GD44" s="131" t="n"/>
      <c r="GE44" s="130" t="n"/>
      <c r="GF44" s="131" t="n"/>
      <c r="GG44" s="130" t="n"/>
      <c r="GH44" s="131" t="n"/>
      <c r="GI44" s="130" t="n"/>
      <c r="GJ44" s="131" t="n"/>
      <c r="GK44" s="193" t="n"/>
      <c r="GL44" s="133" t="n"/>
      <c r="GM44" s="134" t="n"/>
      <c r="GN44" s="133" t="n"/>
      <c r="GO44" s="134" t="n"/>
      <c r="GP44" s="133" t="n"/>
      <c r="GQ44" s="134" t="n"/>
      <c r="GR44" s="133" t="n"/>
      <c r="GS44" s="134" t="n"/>
      <c r="GT44" s="133" t="n"/>
      <c r="GU44" s="134" t="n"/>
      <c r="GV44" s="133" t="n"/>
      <c r="GW44" s="134" t="n"/>
      <c r="GX44" s="133" t="n"/>
      <c r="GY44" s="134" t="n"/>
      <c r="GZ44" s="133" t="n"/>
      <c r="HA44" s="134" t="n"/>
      <c r="HB44" s="194" t="n"/>
      <c r="HC44">
        <f>SUMIFS($G44:$HB44,$G$46:$HB$46,"&gt;="&amp;$HD$1,$G$46:$HB$46,"&lt;="&amp;$HD$2,$G$29:$HB$29,"&lt;&gt;ملاحظات",$G$28:$HB$28,"&gt;0")</f>
        <v>0</v>
      </c>
      <c r="HD44">
        <f>SUMIFS($G$28:$HB$28,$G$46:$HB$46,"&gt;="&amp;$HD$1,$G$46:$HB$46,"&lt;="&amp;$HD$2,$G$29:$HB$29,"&lt;&gt;ملاحظات",$G44:$HB44,"&gt;=0")</f>
        <v>0</v>
      </c>
    </row>
    <row r="45" ht="7.5" customHeight="1"/>
    <row r="46" hidden="1">
      <c r="G46" t="n">
        <v>1</v>
      </c>
      <c r="H46" t="n">
        <v>1</v>
      </c>
      <c r="I46" t="n">
        <v>1</v>
      </c>
      <c r="J46" t="n">
        <v>1</v>
      </c>
      <c r="K46" t="n">
        <v>1</v>
      </c>
      <c r="L46" t="n">
        <v>1</v>
      </c>
      <c r="M46" t="n">
        <v>1</v>
      </c>
      <c r="N46" t="n">
        <v>1</v>
      </c>
      <c r="O46" t="n">
        <v>1</v>
      </c>
      <c r="P46" t="n">
        <v>1</v>
      </c>
      <c r="Q46" t="n">
        <v>1</v>
      </c>
      <c r="R46" t="n">
        <v>1</v>
      </c>
      <c r="S46" t="n">
        <v>1</v>
      </c>
      <c r="T46" t="n">
        <v>1</v>
      </c>
      <c r="U46" t="n">
        <v>1</v>
      </c>
      <c r="V46" t="n">
        <v>1</v>
      </c>
      <c r="W46" t="n">
        <v>1</v>
      </c>
      <c r="X46" t="n">
        <v>2</v>
      </c>
      <c r="Y46" t="n">
        <v>2</v>
      </c>
      <c r="Z46" t="n">
        <v>2</v>
      </c>
      <c r="AA46" t="n">
        <v>2</v>
      </c>
      <c r="AB46" t="n">
        <v>2</v>
      </c>
      <c r="AC46" t="n">
        <v>2</v>
      </c>
      <c r="AD46" t="n">
        <v>2</v>
      </c>
      <c r="AE46" t="n">
        <v>2</v>
      </c>
      <c r="AF46" t="n">
        <v>2</v>
      </c>
      <c r="AG46" t="n">
        <v>2</v>
      </c>
      <c r="AH46" t="n">
        <v>2</v>
      </c>
      <c r="AI46" t="n">
        <v>2</v>
      </c>
      <c r="AJ46" t="n">
        <v>2</v>
      </c>
      <c r="AK46" t="n">
        <v>2</v>
      </c>
      <c r="AL46" t="n">
        <v>2</v>
      </c>
      <c r="AM46" t="n">
        <v>2</v>
      </c>
      <c r="AN46" t="n">
        <v>2</v>
      </c>
      <c r="AO46" t="n">
        <v>3</v>
      </c>
      <c r="AP46" t="n">
        <v>3</v>
      </c>
      <c r="AQ46" t="n">
        <v>3</v>
      </c>
      <c r="AR46" t="n">
        <v>3</v>
      </c>
      <c r="AS46" t="n">
        <v>3</v>
      </c>
      <c r="AT46" t="n">
        <v>3</v>
      </c>
      <c r="AU46" t="n">
        <v>3</v>
      </c>
      <c r="AV46" t="n">
        <v>3</v>
      </c>
      <c r="AW46" t="n">
        <v>3</v>
      </c>
      <c r="AX46" t="n">
        <v>3</v>
      </c>
      <c r="AY46" t="n">
        <v>3</v>
      </c>
      <c r="AZ46" t="n">
        <v>3</v>
      </c>
      <c r="BA46" t="n">
        <v>3</v>
      </c>
      <c r="BB46" t="n">
        <v>3</v>
      </c>
      <c r="BC46" t="n">
        <v>3</v>
      </c>
      <c r="BD46" t="n">
        <v>3</v>
      </c>
      <c r="BE46" t="n">
        <v>3</v>
      </c>
      <c r="BF46" t="n">
        <v>4</v>
      </c>
      <c r="BG46" t="n">
        <v>4</v>
      </c>
      <c r="BH46" t="n">
        <v>4</v>
      </c>
      <c r="BI46" t="n">
        <v>4</v>
      </c>
      <c r="BJ46" t="n">
        <v>4</v>
      </c>
      <c r="BK46" t="n">
        <v>4</v>
      </c>
      <c r="BL46" t="n">
        <v>4</v>
      </c>
      <c r="BM46" t="n">
        <v>4</v>
      </c>
      <c r="BN46" t="n">
        <v>4</v>
      </c>
      <c r="BO46" t="n">
        <v>4</v>
      </c>
      <c r="BP46" t="n">
        <v>4</v>
      </c>
      <c r="BQ46" t="n">
        <v>4</v>
      </c>
      <c r="BR46" t="n">
        <v>4</v>
      </c>
      <c r="BS46" t="n">
        <v>4</v>
      </c>
      <c r="BT46" t="n">
        <v>4</v>
      </c>
      <c r="BU46" t="n">
        <v>4</v>
      </c>
      <c r="BV46" t="n">
        <v>4</v>
      </c>
      <c r="BW46" t="n">
        <v>5</v>
      </c>
      <c r="BX46" t="n">
        <v>5</v>
      </c>
      <c r="BY46" t="n">
        <v>5</v>
      </c>
      <c r="BZ46" t="n">
        <v>5</v>
      </c>
      <c r="CA46" t="n">
        <v>5</v>
      </c>
      <c r="CB46" t="n">
        <v>5</v>
      </c>
      <c r="CC46" t="n">
        <v>5</v>
      </c>
      <c r="CD46" t="n">
        <v>5</v>
      </c>
      <c r="CE46" t="n">
        <v>5</v>
      </c>
      <c r="CF46" t="n">
        <v>5</v>
      </c>
      <c r="CG46" t="n">
        <v>5</v>
      </c>
      <c r="CH46" t="n">
        <v>5</v>
      </c>
      <c r="CI46" t="n">
        <v>5</v>
      </c>
      <c r="CJ46" t="n">
        <v>5</v>
      </c>
      <c r="CK46" t="n">
        <v>5</v>
      </c>
      <c r="CL46" t="n">
        <v>5</v>
      </c>
      <c r="CM46" t="n">
        <v>5</v>
      </c>
      <c r="CN46" t="n">
        <v>6</v>
      </c>
      <c r="CO46" t="n">
        <v>6</v>
      </c>
      <c r="CP46" t="n">
        <v>6</v>
      </c>
      <c r="CQ46" t="n">
        <v>6</v>
      </c>
      <c r="CR46" t="n">
        <v>6</v>
      </c>
      <c r="CS46" t="n">
        <v>6</v>
      </c>
      <c r="CT46" t="n">
        <v>6</v>
      </c>
      <c r="CU46" t="n">
        <v>6</v>
      </c>
      <c r="CV46" t="n">
        <v>6</v>
      </c>
      <c r="CW46" t="n">
        <v>6</v>
      </c>
      <c r="CX46" t="n">
        <v>6</v>
      </c>
      <c r="CY46" t="n">
        <v>6</v>
      </c>
      <c r="CZ46" t="n">
        <v>6</v>
      </c>
      <c r="DA46" t="n">
        <v>6</v>
      </c>
      <c r="DB46" t="n">
        <v>6</v>
      </c>
      <c r="DC46" t="n">
        <v>6</v>
      </c>
      <c r="DD46" t="n">
        <v>6</v>
      </c>
      <c r="DE46" t="n">
        <v>7</v>
      </c>
      <c r="DF46" t="n">
        <v>7</v>
      </c>
      <c r="DG46" t="n">
        <v>7</v>
      </c>
      <c r="DH46" t="n">
        <v>7</v>
      </c>
      <c r="DI46" t="n">
        <v>7</v>
      </c>
      <c r="DJ46" t="n">
        <v>7</v>
      </c>
      <c r="DK46" t="n">
        <v>7</v>
      </c>
      <c r="DL46" t="n">
        <v>7</v>
      </c>
      <c r="DM46" t="n">
        <v>7</v>
      </c>
      <c r="DN46" t="n">
        <v>7</v>
      </c>
      <c r="DO46" t="n">
        <v>7</v>
      </c>
      <c r="DP46" t="n">
        <v>7</v>
      </c>
      <c r="DQ46" t="n">
        <v>7</v>
      </c>
      <c r="DR46" t="n">
        <v>7</v>
      </c>
      <c r="DS46" t="n">
        <v>7</v>
      </c>
      <c r="DT46" t="n">
        <v>7</v>
      </c>
      <c r="DU46" t="n">
        <v>7</v>
      </c>
      <c r="DV46" t="n">
        <v>8</v>
      </c>
      <c r="DW46" t="n">
        <v>8</v>
      </c>
      <c r="DX46" t="n">
        <v>8</v>
      </c>
      <c r="DY46" t="n">
        <v>8</v>
      </c>
      <c r="DZ46" t="n">
        <v>8</v>
      </c>
      <c r="EA46" t="n">
        <v>8</v>
      </c>
      <c r="EB46" t="n">
        <v>8</v>
      </c>
      <c r="EC46" t="n">
        <v>8</v>
      </c>
      <c r="ED46" t="n">
        <v>8</v>
      </c>
      <c r="EE46" t="n">
        <v>8</v>
      </c>
      <c r="EF46" t="n">
        <v>8</v>
      </c>
      <c r="EG46" t="n">
        <v>8</v>
      </c>
      <c r="EH46" t="n">
        <v>8</v>
      </c>
      <c r="EI46" t="n">
        <v>8</v>
      </c>
      <c r="EJ46" t="n">
        <v>8</v>
      </c>
      <c r="EK46" t="n">
        <v>8</v>
      </c>
      <c r="EL46" t="n">
        <v>8</v>
      </c>
      <c r="EM46" t="n">
        <v>9</v>
      </c>
      <c r="EN46" t="n">
        <v>9</v>
      </c>
      <c r="EO46" t="n">
        <v>9</v>
      </c>
      <c r="EP46" t="n">
        <v>9</v>
      </c>
      <c r="EQ46" t="n">
        <v>9</v>
      </c>
      <c r="ER46" t="n">
        <v>9</v>
      </c>
      <c r="ES46" t="n">
        <v>9</v>
      </c>
      <c r="ET46" t="n">
        <v>9</v>
      </c>
      <c r="EU46" t="n">
        <v>9</v>
      </c>
      <c r="EV46" t="n">
        <v>9</v>
      </c>
      <c r="EW46" t="n">
        <v>9</v>
      </c>
      <c r="EX46" t="n">
        <v>9</v>
      </c>
      <c r="EY46" t="n">
        <v>9</v>
      </c>
      <c r="EZ46" t="n">
        <v>9</v>
      </c>
      <c r="FA46" t="n">
        <v>9</v>
      </c>
      <c r="FB46" t="n">
        <v>9</v>
      </c>
      <c r="FC46" t="n">
        <v>9</v>
      </c>
      <c r="FD46" t="n">
        <v>10</v>
      </c>
      <c r="FE46" t="n">
        <v>10</v>
      </c>
      <c r="FF46" t="n">
        <v>10</v>
      </c>
      <c r="FG46" t="n">
        <v>10</v>
      </c>
      <c r="FH46" t="n">
        <v>10</v>
      </c>
      <c r="FI46" t="n">
        <v>10</v>
      </c>
      <c r="FJ46" t="n">
        <v>10</v>
      </c>
      <c r="FK46" t="n">
        <v>10</v>
      </c>
      <c r="FL46" t="n">
        <v>10</v>
      </c>
      <c r="FM46" t="n">
        <v>10</v>
      </c>
      <c r="FN46" t="n">
        <v>10</v>
      </c>
      <c r="FO46" t="n">
        <v>10</v>
      </c>
      <c r="FP46" t="n">
        <v>10</v>
      </c>
      <c r="FQ46" t="n">
        <v>10</v>
      </c>
      <c r="FR46" t="n">
        <v>10</v>
      </c>
      <c r="FS46" t="n">
        <v>10</v>
      </c>
      <c r="FT46" t="n">
        <v>10</v>
      </c>
      <c r="FU46" t="n">
        <v>11</v>
      </c>
      <c r="FV46" t="n">
        <v>11</v>
      </c>
      <c r="FW46" t="n">
        <v>11</v>
      </c>
      <c r="FX46" t="n">
        <v>11</v>
      </c>
      <c r="FY46" t="n">
        <v>11</v>
      </c>
      <c r="FZ46" t="n">
        <v>11</v>
      </c>
      <c r="GA46" t="n">
        <v>11</v>
      </c>
      <c r="GB46" t="n">
        <v>11</v>
      </c>
      <c r="GC46" t="n">
        <v>11</v>
      </c>
      <c r="GD46" t="n">
        <v>11</v>
      </c>
      <c r="GE46" t="n">
        <v>11</v>
      </c>
      <c r="GF46" t="n">
        <v>11</v>
      </c>
      <c r="GG46" t="n">
        <v>11</v>
      </c>
      <c r="GH46" t="n">
        <v>11</v>
      </c>
      <c r="GI46" t="n">
        <v>11</v>
      </c>
      <c r="GJ46" t="n">
        <v>11</v>
      </c>
      <c r="GK46" t="n">
        <v>11</v>
      </c>
      <c r="GL46" t="n">
        <v>12</v>
      </c>
      <c r="GM46" t="n">
        <v>12</v>
      </c>
      <c r="GN46" t="n">
        <v>12</v>
      </c>
      <c r="GO46" t="n">
        <v>12</v>
      </c>
      <c r="GP46" t="n">
        <v>12</v>
      </c>
      <c r="GQ46" t="n">
        <v>12</v>
      </c>
      <c r="GR46" t="n">
        <v>12</v>
      </c>
      <c r="GS46" t="n">
        <v>12</v>
      </c>
      <c r="GT46" t="n">
        <v>12</v>
      </c>
      <c r="GU46" t="n">
        <v>12</v>
      </c>
      <c r="GV46" t="n">
        <v>12</v>
      </c>
      <c r="GW46" t="n">
        <v>12</v>
      </c>
      <c r="GX46" t="n">
        <v>12</v>
      </c>
      <c r="GY46" t="n">
        <v>12</v>
      </c>
      <c r="GZ46" t="n">
        <v>12</v>
      </c>
      <c r="HA46" t="n">
        <v>12</v>
      </c>
      <c r="HB46" t="n">
        <v>12</v>
      </c>
    </row>
    <row r="47" hidden="1">
      <c r="G47" t="n">
        <v>1</v>
      </c>
      <c r="H47" t="n">
        <v>1</v>
      </c>
      <c r="I47" t="n">
        <v>2</v>
      </c>
      <c r="J47" t="n">
        <v>2</v>
      </c>
      <c r="K47" t="n">
        <v>3</v>
      </c>
      <c r="L47" t="n">
        <v>3</v>
      </c>
      <c r="M47" t="n">
        <v>4</v>
      </c>
      <c r="N47" t="n">
        <v>4</v>
      </c>
      <c r="O47" t="n">
        <v>5</v>
      </c>
      <c r="P47" t="n">
        <v>5</v>
      </c>
      <c r="Q47" t="n">
        <v>6</v>
      </c>
      <c r="R47" t="n">
        <v>6</v>
      </c>
      <c r="S47" t="n">
        <v>7</v>
      </c>
      <c r="T47" t="n">
        <v>7</v>
      </c>
      <c r="U47" t="n">
        <v>8</v>
      </c>
      <c r="V47" t="n">
        <v>8</v>
      </c>
      <c r="W47" t="n">
        <v>0</v>
      </c>
      <c r="X47" t="n">
        <v>9</v>
      </c>
      <c r="Y47" t="n">
        <v>9</v>
      </c>
      <c r="Z47" t="n">
        <v>10</v>
      </c>
      <c r="AA47" t="n">
        <v>10</v>
      </c>
      <c r="AB47" t="n">
        <v>11</v>
      </c>
      <c r="AC47" t="n">
        <v>11</v>
      </c>
      <c r="AD47" t="n">
        <v>12</v>
      </c>
      <c r="AE47" t="n">
        <v>12</v>
      </c>
      <c r="AF47" t="n">
        <v>13</v>
      </c>
      <c r="AG47" t="n">
        <v>13</v>
      </c>
      <c r="AH47" t="n">
        <v>14</v>
      </c>
      <c r="AI47" t="n">
        <v>14</v>
      </c>
      <c r="AJ47" t="n">
        <v>15</v>
      </c>
      <c r="AK47" t="n">
        <v>15</v>
      </c>
      <c r="AL47" t="n">
        <v>16</v>
      </c>
      <c r="AM47" t="n">
        <v>16</v>
      </c>
      <c r="AN47" t="n">
        <v>0</v>
      </c>
      <c r="AO47" t="n">
        <v>17</v>
      </c>
      <c r="AP47" t="n">
        <v>17</v>
      </c>
      <c r="AQ47" t="n">
        <v>18</v>
      </c>
      <c r="AR47" t="n">
        <v>18</v>
      </c>
      <c r="AS47" t="n">
        <v>19</v>
      </c>
      <c r="AT47" t="n">
        <v>19</v>
      </c>
      <c r="AU47" t="n">
        <v>20</v>
      </c>
      <c r="AV47" t="n">
        <v>20</v>
      </c>
      <c r="AW47" t="n">
        <v>21</v>
      </c>
      <c r="AX47" t="n">
        <v>21</v>
      </c>
      <c r="AY47" t="n">
        <v>22</v>
      </c>
      <c r="AZ47" t="n">
        <v>22</v>
      </c>
      <c r="BA47" t="n">
        <v>23</v>
      </c>
      <c r="BB47" t="n">
        <v>23</v>
      </c>
      <c r="BC47" t="n">
        <v>24</v>
      </c>
      <c r="BD47" t="n">
        <v>24</v>
      </c>
      <c r="BE47" t="n">
        <v>0</v>
      </c>
      <c r="BF47" t="n">
        <v>25</v>
      </c>
      <c r="BG47" t="n">
        <v>25</v>
      </c>
      <c r="BH47" t="n">
        <v>26</v>
      </c>
      <c r="BI47" t="n">
        <v>26</v>
      </c>
      <c r="BJ47" t="n">
        <v>27</v>
      </c>
      <c r="BK47" t="n">
        <v>27</v>
      </c>
      <c r="BL47" t="n">
        <v>28</v>
      </c>
      <c r="BM47" t="n">
        <v>28</v>
      </c>
      <c r="BN47" t="n">
        <v>29</v>
      </c>
      <c r="BO47" t="n">
        <v>29</v>
      </c>
      <c r="BP47" t="n">
        <v>30</v>
      </c>
      <c r="BQ47" t="n">
        <v>30</v>
      </c>
      <c r="BR47" t="n">
        <v>31</v>
      </c>
      <c r="BS47" t="n">
        <v>31</v>
      </c>
      <c r="BT47" t="n">
        <v>32</v>
      </c>
      <c r="BU47" t="n">
        <v>32</v>
      </c>
      <c r="BV47" t="n">
        <v>0</v>
      </c>
      <c r="BW47" t="n">
        <v>33</v>
      </c>
      <c r="BX47" t="n">
        <v>33</v>
      </c>
      <c r="BY47" t="n">
        <v>34</v>
      </c>
      <c r="BZ47" t="n">
        <v>34</v>
      </c>
      <c r="CA47" t="n">
        <v>35</v>
      </c>
      <c r="CB47" t="n">
        <v>35</v>
      </c>
      <c r="CC47" t="n">
        <v>36</v>
      </c>
      <c r="CD47" t="n">
        <v>36</v>
      </c>
      <c r="CE47" t="n">
        <v>37</v>
      </c>
      <c r="CF47" t="n">
        <v>37</v>
      </c>
      <c r="CG47" t="n">
        <v>38</v>
      </c>
      <c r="CH47" t="n">
        <v>38</v>
      </c>
      <c r="CI47" t="n">
        <v>39</v>
      </c>
      <c r="CJ47" t="n">
        <v>39</v>
      </c>
      <c r="CK47" t="n">
        <v>40</v>
      </c>
      <c r="CL47" t="n">
        <v>40</v>
      </c>
      <c r="CM47" t="n">
        <v>0</v>
      </c>
      <c r="CN47" t="n">
        <v>41</v>
      </c>
      <c r="CO47" t="n">
        <v>41</v>
      </c>
      <c r="CP47" t="n">
        <v>42</v>
      </c>
      <c r="CQ47" t="n">
        <v>42</v>
      </c>
      <c r="CR47" t="n">
        <v>43</v>
      </c>
      <c r="CS47" t="n">
        <v>43</v>
      </c>
      <c r="CT47" t="n">
        <v>44</v>
      </c>
      <c r="CU47" t="n">
        <v>44</v>
      </c>
      <c r="CV47" t="n">
        <v>45</v>
      </c>
      <c r="CW47" t="n">
        <v>45</v>
      </c>
      <c r="CX47" t="n">
        <v>46</v>
      </c>
      <c r="CY47" t="n">
        <v>46</v>
      </c>
      <c r="CZ47" t="n">
        <v>47</v>
      </c>
      <c r="DA47" t="n">
        <v>47</v>
      </c>
      <c r="DB47" t="n">
        <v>48</v>
      </c>
      <c r="DC47" t="n">
        <v>48</v>
      </c>
      <c r="DD47" t="n">
        <v>0</v>
      </c>
      <c r="DE47" t="n">
        <v>49</v>
      </c>
      <c r="DF47" t="n">
        <v>49</v>
      </c>
      <c r="DG47" t="n">
        <v>50</v>
      </c>
      <c r="DH47" t="n">
        <v>50</v>
      </c>
      <c r="DI47" t="n">
        <v>51</v>
      </c>
      <c r="DJ47" t="n">
        <v>51</v>
      </c>
      <c r="DK47" t="n">
        <v>52</v>
      </c>
      <c r="DL47" t="n">
        <v>52</v>
      </c>
      <c r="DM47" t="n">
        <v>53</v>
      </c>
      <c r="DN47" t="n">
        <v>53</v>
      </c>
      <c r="DO47" t="n">
        <v>54</v>
      </c>
      <c r="DP47" t="n">
        <v>54</v>
      </c>
      <c r="DQ47" t="n">
        <v>55</v>
      </c>
      <c r="DR47" t="n">
        <v>55</v>
      </c>
      <c r="DS47" t="n">
        <v>56</v>
      </c>
      <c r="DT47" t="n">
        <v>56</v>
      </c>
      <c r="DU47" t="n">
        <v>0</v>
      </c>
      <c r="DV47" t="n">
        <v>57</v>
      </c>
      <c r="DW47" t="n">
        <v>57</v>
      </c>
      <c r="DX47" t="n">
        <v>58</v>
      </c>
      <c r="DY47" t="n">
        <v>58</v>
      </c>
      <c r="DZ47" t="n">
        <v>59</v>
      </c>
      <c r="EA47" t="n">
        <v>59</v>
      </c>
      <c r="EB47" t="n">
        <v>60</v>
      </c>
      <c r="EC47" t="n">
        <v>60</v>
      </c>
      <c r="ED47" t="n">
        <v>61</v>
      </c>
      <c r="EE47" t="n">
        <v>61</v>
      </c>
      <c r="EF47" t="n">
        <v>62</v>
      </c>
      <c r="EG47" t="n">
        <v>62</v>
      </c>
      <c r="EH47" t="n">
        <v>63</v>
      </c>
      <c r="EI47" t="n">
        <v>63</v>
      </c>
      <c r="EJ47" t="n">
        <v>64</v>
      </c>
      <c r="EK47" t="n">
        <v>64</v>
      </c>
      <c r="EL47" t="n">
        <v>0</v>
      </c>
      <c r="EM47" t="n">
        <v>65</v>
      </c>
      <c r="EN47" t="n">
        <v>65</v>
      </c>
      <c r="EO47" t="n">
        <v>66</v>
      </c>
      <c r="EP47" t="n">
        <v>66</v>
      </c>
      <c r="EQ47" t="n">
        <v>67</v>
      </c>
      <c r="ER47" t="n">
        <v>67</v>
      </c>
      <c r="ES47" t="n">
        <v>68</v>
      </c>
      <c r="ET47" t="n">
        <v>68</v>
      </c>
      <c r="EU47" t="n">
        <v>69</v>
      </c>
      <c r="EV47" t="n">
        <v>69</v>
      </c>
      <c r="EW47" t="n">
        <v>70</v>
      </c>
      <c r="EX47" t="n">
        <v>70</v>
      </c>
      <c r="EY47" t="n">
        <v>71</v>
      </c>
      <c r="EZ47" t="n">
        <v>71</v>
      </c>
      <c r="FA47" t="n">
        <v>72</v>
      </c>
      <c r="FB47" t="n">
        <v>72</v>
      </c>
      <c r="FC47" t="n">
        <v>0</v>
      </c>
      <c r="FD47" t="n">
        <v>73</v>
      </c>
      <c r="FE47" t="n">
        <v>73</v>
      </c>
      <c r="FF47" t="n">
        <v>74</v>
      </c>
      <c r="FG47" t="n">
        <v>74</v>
      </c>
      <c r="FH47" t="n">
        <v>75</v>
      </c>
      <c r="FI47" t="n">
        <v>75</v>
      </c>
      <c r="FJ47" t="n">
        <v>76</v>
      </c>
      <c r="FK47" t="n">
        <v>76</v>
      </c>
      <c r="FL47" t="n">
        <v>77</v>
      </c>
      <c r="FM47" t="n">
        <v>77</v>
      </c>
      <c r="FN47" t="n">
        <v>78</v>
      </c>
      <c r="FO47" t="n">
        <v>78</v>
      </c>
      <c r="FP47" t="n">
        <v>79</v>
      </c>
      <c r="FQ47" t="n">
        <v>79</v>
      </c>
      <c r="FR47" t="n">
        <v>80</v>
      </c>
      <c r="FS47" t="n">
        <v>80</v>
      </c>
      <c r="FT47" t="n">
        <v>0</v>
      </c>
      <c r="FU47" t="n">
        <v>81</v>
      </c>
      <c r="FV47" t="n">
        <v>81</v>
      </c>
      <c r="FW47" t="n">
        <v>82</v>
      </c>
      <c r="FX47" t="n">
        <v>82</v>
      </c>
      <c r="FY47" t="n">
        <v>83</v>
      </c>
      <c r="FZ47" t="n">
        <v>83</v>
      </c>
      <c r="GA47" t="n">
        <v>84</v>
      </c>
      <c r="GB47" t="n">
        <v>84</v>
      </c>
      <c r="GC47" t="n">
        <v>85</v>
      </c>
      <c r="GD47" t="n">
        <v>85</v>
      </c>
      <c r="GE47" t="n">
        <v>86</v>
      </c>
      <c r="GF47" t="n">
        <v>86</v>
      </c>
      <c r="GG47" t="n">
        <v>87</v>
      </c>
      <c r="GH47" t="n">
        <v>87</v>
      </c>
      <c r="GI47" t="n">
        <v>88</v>
      </c>
      <c r="GJ47" t="n">
        <v>88</v>
      </c>
      <c r="GK47" t="n">
        <v>0</v>
      </c>
      <c r="GL47" t="n">
        <v>89</v>
      </c>
      <c r="GM47" t="n">
        <v>89</v>
      </c>
      <c r="GN47" t="n">
        <v>90</v>
      </c>
      <c r="GO47" t="n">
        <v>90</v>
      </c>
      <c r="GP47" t="n">
        <v>91</v>
      </c>
      <c r="GQ47" t="n">
        <v>91</v>
      </c>
      <c r="GR47" t="n">
        <v>92</v>
      </c>
      <c r="GS47" t="n">
        <v>92</v>
      </c>
      <c r="GT47" t="n">
        <v>93</v>
      </c>
      <c r="GU47" t="n">
        <v>93</v>
      </c>
      <c r="GV47" t="n">
        <v>94</v>
      </c>
      <c r="GW47" t="n">
        <v>94</v>
      </c>
      <c r="GX47" t="n">
        <v>95</v>
      </c>
      <c r="GY47" t="n">
        <v>95</v>
      </c>
      <c r="GZ47" t="n">
        <v>96</v>
      </c>
      <c r="HA47" t="n">
        <v>96</v>
      </c>
      <c r="HB47" t="n">
        <v>0</v>
      </c>
    </row>
  </sheetData>
  <mergeCells count="340">
    <mergeCell ref="BW1:CM1"/>
    <mergeCell ref="X2:Y2"/>
    <mergeCell ref="FY2:FZ2"/>
    <mergeCell ref="FU1:GK1"/>
    <mergeCell ref="DV2:DW2"/>
    <mergeCell ref="CZ27:DA27"/>
    <mergeCell ref="DB27:DC27"/>
    <mergeCell ref="BH2:BI2"/>
    <mergeCell ref="BJ2:BK2"/>
    <mergeCell ref="EB3:EC3"/>
    <mergeCell ref="ED3:EE3"/>
    <mergeCell ref="FD2:FE2"/>
    <mergeCell ref="FF2:FG2"/>
    <mergeCell ref="AQ2:AR2"/>
    <mergeCell ref="AS2:AT2"/>
    <mergeCell ref="O27:P27"/>
    <mergeCell ref="GL3:GM3"/>
    <mergeCell ref="Q27:R27"/>
    <mergeCell ref="FN3:FO3"/>
    <mergeCell ref="CM27:CM28"/>
    <mergeCell ref="GR2:GS2"/>
    <mergeCell ref="A28:B28"/>
    <mergeCell ref="CC2:CD2"/>
    <mergeCell ref="CE2:CF2"/>
    <mergeCell ref="EW3:EX3"/>
    <mergeCell ref="GA2:GB2"/>
    <mergeCell ref="DI3:DJ3"/>
    <mergeCell ref="GL1:HB1"/>
    <mergeCell ref="AJ27:AK27"/>
    <mergeCell ref="DO2:DP2"/>
    <mergeCell ref="AL27:AM27"/>
    <mergeCell ref="DQ2:DR2"/>
    <mergeCell ref="GI3:GJ3"/>
    <mergeCell ref="CX2:CY2"/>
    <mergeCell ref="EM3:EN3"/>
    <mergeCell ref="CZ2:DA2"/>
    <mergeCell ref="X3:Y3"/>
    <mergeCell ref="Z3:AA3"/>
    <mergeCell ref="AF2:AG2"/>
    <mergeCell ref="EJ2:EK2"/>
    <mergeCell ref="FY3:FZ3"/>
    <mergeCell ref="BJ3:BK3"/>
    <mergeCell ref="BL3:BM3"/>
    <mergeCell ref="EM1:FC1"/>
    <mergeCell ref="X1:AN1"/>
    <mergeCell ref="HB27:HB28"/>
    <mergeCell ref="FF3:FG3"/>
    <mergeCell ref="FP3:FQ3"/>
    <mergeCell ref="FH3:FI3"/>
    <mergeCell ref="BA2:BB2"/>
    <mergeCell ref="BC27:BD27"/>
    <mergeCell ref="BC2:BD2"/>
    <mergeCell ref="A1:B1"/>
    <mergeCell ref="GR3:GS3"/>
    <mergeCell ref="GT3:GU3"/>
    <mergeCell ref="M2:N2"/>
    <mergeCell ref="CE3:CF3"/>
    <mergeCell ref="CG3:CH3"/>
    <mergeCell ref="CK2:CL2"/>
    <mergeCell ref="C20:F20"/>
    <mergeCell ref="FC27:FC28"/>
    <mergeCell ref="DQ3:DR3"/>
    <mergeCell ref="DS3:DT3"/>
    <mergeCell ref="AN27:AN28"/>
    <mergeCell ref="DK3:DL3"/>
    <mergeCell ref="C22:F22"/>
    <mergeCell ref="AH2:AI2"/>
    <mergeCell ref="FF27:FG27"/>
    <mergeCell ref="AF3:AG3"/>
    <mergeCell ref="A24:B24"/>
    <mergeCell ref="AH3:AI3"/>
    <mergeCell ref="BW27:BX27"/>
    <mergeCell ref="C27:E27"/>
    <mergeCell ref="BR3:BS3"/>
    <mergeCell ref="FN27:FO27"/>
    <mergeCell ref="BA3:BB3"/>
    <mergeCell ref="DG27:DH27"/>
    <mergeCell ref="BC3:BD3"/>
    <mergeCell ref="FT2:FT3"/>
    <mergeCell ref="DI27:DJ27"/>
    <mergeCell ref="M3:N3"/>
    <mergeCell ref="CP27:CQ27"/>
    <mergeCell ref="FC2:FC3"/>
    <mergeCell ref="FU2:FV2"/>
    <mergeCell ref="CR27:CS27"/>
    <mergeCell ref="AF27:AG27"/>
    <mergeCell ref="X27:Y27"/>
    <mergeCell ref="GI27:GJ27"/>
    <mergeCell ref="EB27:EC27"/>
    <mergeCell ref="ED27:EE27"/>
    <mergeCell ref="CN2:CO2"/>
    <mergeCell ref="FP27:FQ27"/>
    <mergeCell ref="BA27:BB27"/>
    <mergeCell ref="BE2:BE3"/>
    <mergeCell ref="BT3:BU3"/>
    <mergeCell ref="K2:L2"/>
    <mergeCell ref="EW27:EX27"/>
    <mergeCell ref="EY27:EZ27"/>
    <mergeCell ref="DG2:DH2"/>
    <mergeCell ref="FH27:FI27"/>
    <mergeCell ref="DI2:DJ2"/>
    <mergeCell ref="EJ27:EK27"/>
    <mergeCell ref="CE27:CF27"/>
    <mergeCell ref="AU2:AV2"/>
    <mergeCell ref="AQ27:AR27"/>
    <mergeCell ref="ES2:ET2"/>
    <mergeCell ref="GT27:GU27"/>
    <mergeCell ref="EU2:EV2"/>
    <mergeCell ref="EM27:EN27"/>
    <mergeCell ref="Z27:AA27"/>
    <mergeCell ref="FW3:FX3"/>
    <mergeCell ref="GC2:GD2"/>
    <mergeCell ref="DO27:DP27"/>
    <mergeCell ref="BP2:BQ2"/>
    <mergeCell ref="BJ27:BK27"/>
    <mergeCell ref="BL27:BM27"/>
    <mergeCell ref="FL2:FM2"/>
    <mergeCell ref="FN2:FO2"/>
    <mergeCell ref="FP2:FQ2"/>
    <mergeCell ref="CN3:CO3"/>
    <mergeCell ref="CP3:CQ3"/>
    <mergeCell ref="DX2:DY2"/>
    <mergeCell ref="DZ2:EA2"/>
    <mergeCell ref="CV27:CW27"/>
    <mergeCell ref="CX27:CY27"/>
    <mergeCell ref="GX2:GY2"/>
    <mergeCell ref="GZ2:HA2"/>
    <mergeCell ref="DX3:DY3"/>
    <mergeCell ref="DZ3:EA3"/>
    <mergeCell ref="CG27:CH27"/>
    <mergeCell ref="K3:L3"/>
    <mergeCell ref="CN1:DD1"/>
    <mergeCell ref="A2:B3"/>
    <mergeCell ref="AO2:AP2"/>
    <mergeCell ref="DQ27:DR27"/>
    <mergeCell ref="AW3:AX3"/>
    <mergeCell ref="AO3:AP3"/>
    <mergeCell ref="AQ3:AR3"/>
    <mergeCell ref="BY2:BZ2"/>
    <mergeCell ref="CA2:CB2"/>
    <mergeCell ref="ES3:ET3"/>
    <mergeCell ref="EU3:EV3"/>
    <mergeCell ref="GE2:GF2"/>
    <mergeCell ref="FW2:FX2"/>
    <mergeCell ref="A23:B23"/>
    <mergeCell ref="AH27:AI27"/>
    <mergeCell ref="AO1:BE1"/>
    <mergeCell ref="GE3:GF3"/>
    <mergeCell ref="GG3:GH3"/>
    <mergeCell ref="DD27:DD28"/>
    <mergeCell ref="CT2:CU2"/>
    <mergeCell ref="CV2:CW2"/>
    <mergeCell ref="C24:F25"/>
    <mergeCell ref="CV3:CW3"/>
    <mergeCell ref="CX3:CY3"/>
    <mergeCell ref="EF2:EG2"/>
    <mergeCell ref="EH2:EI2"/>
    <mergeCell ref="GZ3:HA3"/>
    <mergeCell ref="BF3:BG3"/>
    <mergeCell ref="S2:T2"/>
    <mergeCell ref="BH3:BI3"/>
    <mergeCell ref="U2:V2"/>
    <mergeCell ref="HB2:HB3"/>
    <mergeCell ref="GR27:GS27"/>
    <mergeCell ref="FD3:FE3"/>
    <mergeCell ref="BE27:BE28"/>
    <mergeCell ref="U3:V3"/>
    <mergeCell ref="AY2:AZ2"/>
    <mergeCell ref="FA2:FB2"/>
    <mergeCell ref="CA3:CB3"/>
    <mergeCell ref="CC3:CD3"/>
    <mergeCell ref="FW27:FX27"/>
    <mergeCell ref="FA3:FB3"/>
    <mergeCell ref="CT27:CU27"/>
    <mergeCell ref="DM3:DN3"/>
    <mergeCell ref="DO3:DP3"/>
    <mergeCell ref="BR2:BS2"/>
    <mergeCell ref="FD27:FE27"/>
    <mergeCell ref="W2:W3"/>
    <mergeCell ref="FT27:FT28"/>
    <mergeCell ref="DU2:DU3"/>
    <mergeCell ref="EH3:EI3"/>
    <mergeCell ref="EJ3:EK3"/>
    <mergeCell ref="FY27:FZ27"/>
    <mergeCell ref="FR3:FS3"/>
    <mergeCell ref="AY3:AZ3"/>
    <mergeCell ref="DE27:DF27"/>
    <mergeCell ref="ES27:ET27"/>
    <mergeCell ref="C28:F28"/>
    <mergeCell ref="CN27:CO27"/>
    <mergeCell ref="GE27:GF27"/>
    <mergeCell ref="GG27:GH27"/>
    <mergeCell ref="DX27:DY27"/>
    <mergeCell ref="GK2:GK3"/>
    <mergeCell ref="DZ27:EA27"/>
    <mergeCell ref="K27:L27"/>
    <mergeCell ref="M27:N27"/>
    <mergeCell ref="GL2:GM2"/>
    <mergeCell ref="GN2:GO2"/>
    <mergeCell ref="FL27:FM27"/>
    <mergeCell ref="AW27:AX27"/>
    <mergeCell ref="AO27:AP27"/>
    <mergeCell ref="AY27:AZ27"/>
    <mergeCell ref="BF1:BV1"/>
    <mergeCell ref="GZ27:HA27"/>
    <mergeCell ref="GN3:GO3"/>
    <mergeCell ref="G2:H2"/>
    <mergeCell ref="GP3:GQ3"/>
    <mergeCell ref="I2:J2"/>
    <mergeCell ref="EU27:EV27"/>
    <mergeCell ref="FD1:FT1"/>
    <mergeCell ref="DE2:DF2"/>
    <mergeCell ref="CK27:CL27"/>
    <mergeCell ref="GT2:GU2"/>
    <mergeCell ref="BR27:BS27"/>
    <mergeCell ref="BV2:BV3"/>
    <mergeCell ref="EM2:EN2"/>
    <mergeCell ref="BT27:BU27"/>
    <mergeCell ref="EO2:EP2"/>
    <mergeCell ref="EQ2:ER2"/>
    <mergeCell ref="Z2:AA2"/>
    <mergeCell ref="AB2:AC2"/>
    <mergeCell ref="AD2:AE2"/>
    <mergeCell ref="FU3:FV3"/>
    <mergeCell ref="FA27:FB27"/>
    <mergeCell ref="BL2:BM2"/>
    <mergeCell ref="BN2:BO2"/>
    <mergeCell ref="BF2:BG2"/>
    <mergeCell ref="BH27:BI27"/>
    <mergeCell ref="FH2:FI2"/>
    <mergeCell ref="FJ2:FK2"/>
    <mergeCell ref="AW2:AX2"/>
    <mergeCell ref="S27:T27"/>
    <mergeCell ref="U27:V27"/>
    <mergeCell ref="GV2:GW2"/>
    <mergeCell ref="CG2:CH2"/>
    <mergeCell ref="DV3:DW3"/>
    <mergeCell ref="CI2:CJ2"/>
    <mergeCell ref="CA27:CB27"/>
    <mergeCell ref="CC27:CD27"/>
    <mergeCell ref="G3:H3"/>
    <mergeCell ref="I3:J3"/>
    <mergeCell ref="DE3:DF3"/>
    <mergeCell ref="DS2:DT2"/>
    <mergeCell ref="DK2:DL2"/>
    <mergeCell ref="DM2:DN2"/>
    <mergeCell ref="AS3:AT3"/>
    <mergeCell ref="AU3:AV3"/>
    <mergeCell ref="DV1:EL1"/>
    <mergeCell ref="G1:W1"/>
    <mergeCell ref="GK27:GK28"/>
    <mergeCell ref="EO3:EP3"/>
    <mergeCell ref="DB2:DC2"/>
    <mergeCell ref="EQ3:ER3"/>
    <mergeCell ref="AB3:AC3"/>
    <mergeCell ref="AD3:AE3"/>
    <mergeCell ref="DE1:DU1"/>
    <mergeCell ref="AJ2:AK2"/>
    <mergeCell ref="AL2:AM2"/>
    <mergeCell ref="GA3:GB3"/>
    <mergeCell ref="GC3:GD3"/>
    <mergeCell ref="EH27:EI27"/>
    <mergeCell ref="BN3:BO3"/>
    <mergeCell ref="BP3:BQ3"/>
    <mergeCell ref="CR2:CS2"/>
    <mergeCell ref="FJ3:FK3"/>
    <mergeCell ref="FL3:FM3"/>
    <mergeCell ref="A27:B27"/>
    <mergeCell ref="FR2:FS2"/>
    <mergeCell ref="EL27:EL28"/>
    <mergeCell ref="CZ3:DA3"/>
    <mergeCell ref="CR3:CS3"/>
    <mergeCell ref="DB3:DC3"/>
    <mergeCell ref="W27:W28"/>
    <mergeCell ref="CT3:CU3"/>
    <mergeCell ref="ED2:EE2"/>
    <mergeCell ref="A22:B22"/>
    <mergeCell ref="GV3:GW3"/>
    <mergeCell ref="O2:P2"/>
    <mergeCell ref="GX3:GY3"/>
    <mergeCell ref="Q2:R2"/>
    <mergeCell ref="DU27:DU28"/>
    <mergeCell ref="GL27:GM27"/>
    <mergeCell ref="CI3:CJ3"/>
    <mergeCell ref="GN27:GO27"/>
    <mergeCell ref="C1:F3"/>
    <mergeCell ref="CK3:CL3"/>
    <mergeCell ref="O3:P3"/>
    <mergeCell ref="Q3:R3"/>
    <mergeCell ref="EW2:EX2"/>
    <mergeCell ref="EY2:EZ2"/>
    <mergeCell ref="BF27:BG27"/>
    <mergeCell ref="BY3:BZ3"/>
    <mergeCell ref="EY3:EZ3"/>
    <mergeCell ref="BV27:BV28"/>
    <mergeCell ref="AJ3:AK3"/>
    <mergeCell ref="AL3:AM3"/>
    <mergeCell ref="BT2:BU2"/>
    <mergeCell ref="GP27:GQ27"/>
    <mergeCell ref="BY27:BZ27"/>
    <mergeCell ref="EL2:EL3"/>
    <mergeCell ref="FR27:FS27"/>
    <mergeCell ref="FJ27:FK27"/>
    <mergeCell ref="DK27:DL27"/>
    <mergeCell ref="DM27:DN27"/>
    <mergeCell ref="EF3:EG3"/>
    <mergeCell ref="S3:T3"/>
    <mergeCell ref="FU27:FV27"/>
    <mergeCell ref="CM2:CM3"/>
    <mergeCell ref="AN2:AN3"/>
    <mergeCell ref="AB27:AC27"/>
    <mergeCell ref="AD27:AE27"/>
    <mergeCell ref="EF27:EG27"/>
    <mergeCell ref="EO27:EP27"/>
    <mergeCell ref="CP2:CQ2"/>
    <mergeCell ref="GA27:GB27"/>
    <mergeCell ref="EB2:EC2"/>
    <mergeCell ref="GC27:GD27"/>
    <mergeCell ref="C23:F23"/>
    <mergeCell ref="DV27:DW27"/>
    <mergeCell ref="G27:H27"/>
    <mergeCell ref="I27:J27"/>
    <mergeCell ref="A25:B25"/>
    <mergeCell ref="CI27:CJ27"/>
    <mergeCell ref="BW2:BX2"/>
    <mergeCell ref="DD2:DD3"/>
    <mergeCell ref="AS27:AT27"/>
    <mergeCell ref="AU27:AV27"/>
    <mergeCell ref="GV27:GW27"/>
    <mergeCell ref="GX27:GY27"/>
    <mergeCell ref="EQ27:ER27"/>
    <mergeCell ref="BW3:BX3"/>
    <mergeCell ref="A20:B20"/>
    <mergeCell ref="GG2:GH2"/>
    <mergeCell ref="GI2:GJ2"/>
    <mergeCell ref="DS27:DT27"/>
    <mergeCell ref="DG3:DH3"/>
    <mergeCell ref="GP2:GQ2"/>
    <mergeCell ref="BN27:BO27"/>
    <mergeCell ref="BP27:BQ27"/>
  </mergeCells>
  <conditionalFormatting sqref="G5:HB19">
    <cfRule type="expression" priority="1" dxfId="1">
      <formula>AND($B5&lt;&gt;"",G$4="ح",G$20&gt;0,N(G5)=0)</formula>
    </cfRule>
  </conditionalFormatting>
  <conditionalFormatting sqref="W5:W19">
    <cfRule type="expression" priority="2" dxfId="2">
      <formula>AND($B5&lt;&gt;"",N($W5)=0,SUMPRODUCT(--$G5:$V5)&gt;0)</formula>
    </cfRule>
  </conditionalFormatting>
  <conditionalFormatting sqref="AN5:AN19">
    <cfRule type="expression" priority="3" dxfId="2">
      <formula>AND($B5&lt;&gt;"",N($AN5)=0,SUMPRODUCT(--$X5:$AM5)&gt;0)</formula>
    </cfRule>
  </conditionalFormatting>
  <conditionalFormatting sqref="BE5:BE19">
    <cfRule type="expression" priority="4" dxfId="2">
      <formula>AND($B5&lt;&gt;"",N($BE5)=0,SUMPRODUCT(--$AO5:$BD5)&gt;0)</formula>
    </cfRule>
  </conditionalFormatting>
  <conditionalFormatting sqref="BV5:BV19">
    <cfRule type="expression" priority="5" dxfId="2">
      <formula>AND($B5&lt;&gt;"",N($BV5)=0,SUMPRODUCT(--$BF5:$BU5)&gt;0)</formula>
    </cfRule>
  </conditionalFormatting>
  <conditionalFormatting sqref="CM5:CM19">
    <cfRule type="expression" priority="6" dxfId="2">
      <formula>AND($B5&lt;&gt;"",N($CM5)=0,SUMPRODUCT(--$BW5:$CL5)&gt;0)</formula>
    </cfRule>
  </conditionalFormatting>
  <conditionalFormatting sqref="DD5:DD19">
    <cfRule type="expression" priority="7" dxfId="2">
      <formula>AND($B5&lt;&gt;"",N($DD5)=0,SUMPRODUCT(--$CN5:$DC5)&gt;0)</formula>
    </cfRule>
  </conditionalFormatting>
  <conditionalFormatting sqref="DU5:DU19">
    <cfRule type="expression" priority="8" dxfId="2">
      <formula>AND($B5&lt;&gt;"",N($DU5)=0,SUMPRODUCT(--$DE5:$DT5)&gt;0)</formula>
    </cfRule>
  </conditionalFormatting>
  <conditionalFormatting sqref="EL5:EL19">
    <cfRule type="expression" priority="9" dxfId="2">
      <formula>AND($B5&lt;&gt;"",N($EL5)=0,SUMPRODUCT(--$DV5:$EK5)&gt;0)</formula>
    </cfRule>
  </conditionalFormatting>
  <conditionalFormatting sqref="FC5:FC19">
    <cfRule type="expression" priority="10" dxfId="2">
      <formula>AND($B5&lt;&gt;"",N($FC5)=0,SUMPRODUCT(--$EM5:$FB5)&gt;0)</formula>
    </cfRule>
  </conditionalFormatting>
  <conditionalFormatting sqref="FT5:FT19">
    <cfRule type="expression" priority="11" dxfId="2">
      <formula>AND($B5&lt;&gt;"",N($FT5)=0,SUMPRODUCT(--$FD5:$FS5)&gt;0)</formula>
    </cfRule>
  </conditionalFormatting>
  <conditionalFormatting sqref="GK5:GK19">
    <cfRule type="expression" priority="12" dxfId="2">
      <formula>AND($B5&lt;&gt;"",N($GK5)=0,SUMPRODUCT(--$FU5:$GJ5)&gt;0)</formula>
    </cfRule>
  </conditionalFormatting>
  <conditionalFormatting sqref="HB5:HB19">
    <cfRule type="expression" priority="13" dxfId="2">
      <formula>AND($B5&lt;&gt;"",N($HB5)=0,SUMPRODUCT(--$GL5:$HA5)&gt;0)</formula>
    </cfRule>
  </conditionalFormatting>
  <conditionalFormatting sqref="G3:HB3">
    <cfRule type="expression" priority="14" dxfId="0">
      <formula>AND(G3&lt;&gt;"",G3=TODAY())</formula>
    </cfRule>
  </conditionalFormatting>
  <conditionalFormatting sqref="D5:D19">
    <cfRule type="expression" priority="15" dxfId="1">
      <formula>AND(ISNUMBER(D5),D5&gt;=$HG$1)</formula>
    </cfRule>
  </conditionalFormatting>
  <conditionalFormatting sqref="E5:E19">
    <cfRule type="expression" priority="16" dxfId="0">
      <formula>AND(ISNUMBER(E5),E5&gt;=2)</formula>
    </cfRule>
  </conditionalFormatting>
  <conditionalFormatting sqref="F5:F19">
    <cfRule type="expression" priority="17" dxfId="2">
      <formula>AND(F5&lt;&gt;"",F5&lt;&gt;"تمام",F5&lt;&gt;"-")</formula>
    </cfRule>
  </conditionalFormatting>
  <conditionalFormatting sqref="G30:HB44">
    <cfRule type="expression" priority="18" dxfId="1">
      <formula>AND(G$29&lt;&gt;"ملاحظات",ISNUMBER(G30),ISNUMBER(G$28),G30&gt;G$28)</formula>
    </cfRule>
    <cfRule type="expression" priority="19" dxfId="3">
      <formula>AND(G$29&lt;&gt;"ملاحظات",ISNUMBER(G30),ISNUMBER(G$28),G30&lt;G$28/2)</formula>
    </cfRule>
  </conditionalFormatting>
  <conditionalFormatting sqref="E30:E44">
    <cfRule type="expression" priority="20" dxfId="0">
      <formula>AND(ISNUMBER(E30),E30&lt;=3)</formula>
    </cfRule>
  </conditionalFormatting>
  <conditionalFormatting sqref="G28:HB28">
    <cfRule type="expression" priority="21" dxfId="2">
      <formula>AND(G$29&lt;&gt;"ملاحظات",NOT(ISNUMBER(G28)),COUNT(G$30:G$44)&gt;0)</formula>
    </cfRule>
  </conditionalFormatting>
  <dataValidations count="4">
    <dataValidation sqref="G27 I27 K27 M27 O27 Q27 S27 U27 X27 Z27 AB27 AD27 AF27 AH27 AJ27 AL27 AO27 AQ27 AS27 AU27 AW27 AY27 BA27 BC27 BF27 BH27 BJ27 BL27 BN27 BP27 BR27 BT27 BW27 BY27 CA27 CC27 CE27 CG27 CI27 CK27 CN27 CP27 CR27 CT27 CV27 CX27 CZ27 DB27 DE27 DG27 DI27 DK27 DM27 DO27 DQ27 DS27 DV27 DX27 DZ27 EB27 ED27 EF27 EH27 EJ27 EM27 EO27 EQ27 ES27 EU27 EW27 EY27 FA27 FD27 FF27 FH27 FJ27 FL27 FN27 FP27 FR27 FU27 FW27 FY27 GA27 GC27 GE27 GG27 GI27 GL27 GN27 GP27 GR27 GT27 GV27 GX27 GZ27" showDropDown="0" showInputMessage="0" showErrorMessage="1" allowBlank="1" type="list" errorStyle="warning">
      <formula1>"وحدة,شهر"</formula1>
    </dataValidation>
    <dataValidation sqref="F27" showDropDown="0" showInputMessage="0" showErrorMessage="1" allowBlank="0" type="list">
      <formula1>'حسابات'!$F$2:$F$14</formula1>
    </dataValidation>
    <dataValidation sqref="G28:V28 G30:V44 X28:AM28 X30:AM44 AO28:BD28 AO30:BD44 BF28:BU28 BF30:BU44 BW28:CL28 BW30:CL44 CN28:DC28 CN30:DC44 DE28:DT28 DE30:DT44 DV28:EK28 DV30:EK44 EM28:FB28 EM30:FB44 FD28:FS28 FD30:FS44 FU28:GJ28 FU30:GJ44 GL28:HA28 GL30:HA44" showDropDown="0" showInputMessage="0" showErrorMessage="1" allowBlank="1" errorTitle="الدرجة" error="اكتبي رقم بس، بالشكل ده: 8 أو 8.5" type="decimal" operator="between">
      <formula1>0</formula1>
      <formula2>1000</formula2>
    </dataValidation>
    <dataValidation sqref="G3:V3 X3:AM3 AO3:BD3 BF3:BU3 BW3:CL3 CN3:DC3 DE3:DT3 DV3:EK3 EM3:FB3 FD3:FS3 FU3:GJ3 GL3:HA3" showDropDown="0" showInputMessage="0" showErrorMessage="1" allowBlank="1" errorTitle="التاريخ" error="اكتبي التاريخ كده: 5/10" type="date" operator="greaterThan">
      <formula1>40000</formula1>
    </dataValidation>
  </dataValidations>
  <pageMargins left="0.75" right="0.75" top="1" bottom="1" header="0.5" footer="0.5"/>
</worksheet>
</file>

<file path=xl/worksheets/sheet7.xml><?xml version="1.0" encoding="utf-8"?>
<worksheet xmlns="http://schemas.openxmlformats.org/spreadsheetml/2006/main">
  <sheetPr>
    <tabColor rgb="00A9DEF9"/>
    <outlinePr summaryBelow="1" summaryRight="1"/>
    <pageSetUpPr/>
  </sheetPr>
  <dimension ref="A1:HG47"/>
  <sheetViews>
    <sheetView showGridLines="0" rightToLeft="1" workbookViewId="0">
      <pane xSplit="2" ySplit="3" topLeftCell="C4" activePane="bottomRight" state="frozen"/>
      <selection pane="topRight"/>
      <selection pane="bottomLeft"/>
      <selection pane="bottomRight" activeCell="A1" sqref="A1"/>
    </sheetView>
  </sheetViews>
  <sheetFormatPr baseColWidth="8" defaultRowHeight="15"/>
  <cols>
    <col width="3.57" customWidth="1" min="1" max="1"/>
    <col width="19.29" customWidth="1" min="2" max="2"/>
    <col width="14.71" customWidth="1" min="3" max="3"/>
    <col width="5.86" customWidth="1" min="4" max="4"/>
    <col width="5.86" customWidth="1" min="5" max="5"/>
    <col width="10.71" customWidth="1" min="6" max="6"/>
    <col outlineLevel="1" width="5" customWidth="1" min="7" max="7"/>
    <col outlineLevel="1" width="5" customWidth="1" min="8" max="8"/>
    <col outlineLevel="1" width="5" customWidth="1" min="9" max="9"/>
    <col outlineLevel="1" width="5" customWidth="1" min="10" max="10"/>
    <col outlineLevel="1" width="5" customWidth="1" min="11" max="11"/>
    <col outlineLevel="1" width="5" customWidth="1" min="12" max="12"/>
    <col outlineLevel="1" width="5" customWidth="1" min="13" max="13"/>
    <col outlineLevel="1" width="5" customWidth="1" min="14" max="14"/>
    <col outlineLevel="1" width="5" customWidth="1" min="15" max="15"/>
    <col outlineLevel="1" width="5" customWidth="1" min="16" max="16"/>
    <col outlineLevel="1" width="5" customWidth="1" min="17" max="17"/>
    <col outlineLevel="1" width="5" customWidth="1" min="18" max="18"/>
    <col outlineLevel="1" width="5" customWidth="1" min="19" max="19"/>
    <col outlineLevel="1" width="5" customWidth="1" min="20" max="20"/>
    <col outlineLevel="1" width="5" customWidth="1" min="21" max="21"/>
    <col outlineLevel="1" width="5" customWidth="1" min="22" max="22"/>
    <col width="14.14" customWidth="1" min="23" max="23"/>
    <col outlineLevel="1" width="5" customWidth="1" min="24" max="24"/>
    <col outlineLevel="1" width="5" customWidth="1" min="25" max="25"/>
    <col outlineLevel="1" width="5" customWidth="1" min="26" max="26"/>
    <col outlineLevel="1" width="5" customWidth="1" min="27" max="27"/>
    <col outlineLevel="1" width="5" customWidth="1" min="28" max="28"/>
    <col outlineLevel="1" width="5" customWidth="1" min="29" max="29"/>
    <col outlineLevel="1" width="5" customWidth="1" min="30" max="30"/>
    <col outlineLevel="1" width="5" customWidth="1" min="31" max="31"/>
    <col outlineLevel="1" width="5" customWidth="1" min="32" max="32"/>
    <col outlineLevel="1" width="5" customWidth="1" min="33" max="33"/>
    <col outlineLevel="1" width="5" customWidth="1" min="34" max="34"/>
    <col outlineLevel="1" width="5" customWidth="1" min="35" max="35"/>
    <col outlineLevel="1" width="5" customWidth="1" min="36" max="36"/>
    <col outlineLevel="1" width="5" customWidth="1" min="37" max="37"/>
    <col outlineLevel="1" width="5" customWidth="1" min="38" max="38"/>
    <col outlineLevel="1" width="5" customWidth="1" min="39" max="39"/>
    <col width="14.14" customWidth="1" min="40" max="40"/>
    <col outlineLevel="1" width="5" customWidth="1" min="41" max="41"/>
    <col outlineLevel="1" width="5" customWidth="1" min="42" max="42"/>
    <col outlineLevel="1" width="5" customWidth="1" min="43" max="43"/>
    <col outlineLevel="1" width="5" customWidth="1" min="44" max="44"/>
    <col outlineLevel="1" width="5" customWidth="1" min="45" max="45"/>
    <col outlineLevel="1" width="5" customWidth="1" min="46" max="46"/>
    <col outlineLevel="1" width="5" customWidth="1" min="47" max="47"/>
    <col outlineLevel="1" width="5" customWidth="1" min="48" max="48"/>
    <col outlineLevel="1" width="5" customWidth="1" min="49" max="49"/>
    <col outlineLevel="1" width="5" customWidth="1" min="50" max="50"/>
    <col outlineLevel="1" width="5" customWidth="1" min="51" max="51"/>
    <col outlineLevel="1" width="5" customWidth="1" min="52" max="52"/>
    <col outlineLevel="1" width="5" customWidth="1" min="53" max="53"/>
    <col outlineLevel="1" width="5" customWidth="1" min="54" max="54"/>
    <col outlineLevel="1" width="5" customWidth="1" min="55" max="55"/>
    <col outlineLevel="1" width="5" customWidth="1" min="56" max="56"/>
    <col width="14.14" customWidth="1" min="57" max="57"/>
    <col outlineLevel="1" width="5" customWidth="1" min="58" max="58"/>
    <col outlineLevel="1" width="5" customWidth="1" min="59" max="59"/>
    <col outlineLevel="1" width="5" customWidth="1" min="60" max="60"/>
    <col outlineLevel="1" width="5" customWidth="1" min="61" max="61"/>
    <col outlineLevel="1" width="5" customWidth="1" min="62" max="62"/>
    <col outlineLevel="1" width="5" customWidth="1" min="63" max="63"/>
    <col outlineLevel="1" width="5" customWidth="1" min="64" max="64"/>
    <col outlineLevel="1" width="5" customWidth="1" min="65" max="65"/>
    <col outlineLevel="1" width="5" customWidth="1" min="66" max="66"/>
    <col outlineLevel="1" width="5" customWidth="1" min="67" max="67"/>
    <col outlineLevel="1" width="5" customWidth="1" min="68" max="68"/>
    <col outlineLevel="1" width="5" customWidth="1" min="69" max="69"/>
    <col outlineLevel="1" width="5" customWidth="1" min="70" max="70"/>
    <col outlineLevel="1" width="5" customWidth="1" min="71" max="71"/>
    <col outlineLevel="1" width="5" customWidth="1" min="72" max="72"/>
    <col outlineLevel="1" width="5" customWidth="1" min="73" max="73"/>
    <col width="14.14" customWidth="1" min="74" max="74"/>
    <col outlineLevel="1" width="5" customWidth="1" min="75" max="75"/>
    <col outlineLevel="1" width="5" customWidth="1" min="76" max="76"/>
    <col outlineLevel="1" width="5" customWidth="1" min="77" max="77"/>
    <col outlineLevel="1" width="5" customWidth="1" min="78" max="78"/>
    <col outlineLevel="1" width="5" customWidth="1" min="79" max="79"/>
    <col outlineLevel="1" width="5" customWidth="1" min="80" max="80"/>
    <col outlineLevel="1" width="5" customWidth="1" min="81" max="81"/>
    <col outlineLevel="1" width="5" customWidth="1" min="82" max="82"/>
    <col outlineLevel="1" width="5" customWidth="1" min="83" max="83"/>
    <col outlineLevel="1" width="5" customWidth="1" min="84" max="84"/>
    <col outlineLevel="1" width="5" customWidth="1" min="85" max="85"/>
    <col outlineLevel="1" width="5" customWidth="1" min="86" max="86"/>
    <col outlineLevel="1" width="5" customWidth="1" min="87" max="87"/>
    <col outlineLevel="1" width="5" customWidth="1" min="88" max="88"/>
    <col outlineLevel="1" width="5" customWidth="1" min="89" max="89"/>
    <col outlineLevel="1" width="5" customWidth="1" min="90" max="90"/>
    <col width="14.14" customWidth="1" min="91" max="91"/>
    <col outlineLevel="1" width="5" customWidth="1" min="92" max="92"/>
    <col outlineLevel="1" width="5" customWidth="1" min="93" max="93"/>
    <col outlineLevel="1" width="5" customWidth="1" min="94" max="94"/>
    <col outlineLevel="1" width="5" customWidth="1" min="95" max="95"/>
    <col outlineLevel="1" width="5" customWidth="1" min="96" max="96"/>
    <col outlineLevel="1" width="5" customWidth="1" min="97" max="97"/>
    <col outlineLevel="1" width="5" customWidth="1" min="98" max="98"/>
    <col outlineLevel="1" width="5" customWidth="1" min="99" max="99"/>
    <col outlineLevel="1" width="5" customWidth="1" min="100" max="100"/>
    <col outlineLevel="1" width="5" customWidth="1" min="101" max="101"/>
    <col outlineLevel="1" width="5" customWidth="1" min="102" max="102"/>
    <col outlineLevel="1" width="5" customWidth="1" min="103" max="103"/>
    <col outlineLevel="1" width="5" customWidth="1" min="104" max="104"/>
    <col outlineLevel="1" width="5" customWidth="1" min="105" max="105"/>
    <col outlineLevel="1" width="5" customWidth="1" min="106" max="106"/>
    <col outlineLevel="1" width="5" customWidth="1" min="107" max="107"/>
    <col width="14.14" customWidth="1" min="108" max="108"/>
    <col outlineLevel="1" width="5" customWidth="1" min="109" max="109"/>
    <col outlineLevel="1" width="5" customWidth="1" min="110" max="110"/>
    <col outlineLevel="1" width="5" customWidth="1" min="111" max="111"/>
    <col outlineLevel="1" width="5" customWidth="1" min="112" max="112"/>
    <col outlineLevel="1" width="5" customWidth="1" min="113" max="113"/>
    <col outlineLevel="1" width="5" customWidth="1" min="114" max="114"/>
    <col outlineLevel="1" width="5" customWidth="1" min="115" max="115"/>
    <col outlineLevel="1" width="5" customWidth="1" min="116" max="116"/>
    <col outlineLevel="1" width="5" customWidth="1" min="117" max="117"/>
    <col outlineLevel="1" width="5" customWidth="1" min="118" max="118"/>
    <col outlineLevel="1" width="5" customWidth="1" min="119" max="119"/>
    <col outlineLevel="1" width="5" customWidth="1" min="120" max="120"/>
    <col outlineLevel="1" width="5" customWidth="1" min="121" max="121"/>
    <col outlineLevel="1" width="5" customWidth="1" min="122" max="122"/>
    <col outlineLevel="1" width="5" customWidth="1" min="123" max="123"/>
    <col outlineLevel="1" width="5" customWidth="1" min="124" max="124"/>
    <col width="14.14" customWidth="1" min="125" max="125"/>
    <col outlineLevel="1" width="5" customWidth="1" min="126" max="126"/>
    <col outlineLevel="1" width="5" customWidth="1" min="127" max="127"/>
    <col outlineLevel="1" width="5" customWidth="1" min="128" max="128"/>
    <col outlineLevel="1" width="5" customWidth="1" min="129" max="129"/>
    <col outlineLevel="1" width="5" customWidth="1" min="130" max="130"/>
    <col outlineLevel="1" width="5" customWidth="1" min="131" max="131"/>
    <col outlineLevel="1" width="5" customWidth="1" min="132" max="132"/>
    <col outlineLevel="1" width="5" customWidth="1" min="133" max="133"/>
    <col outlineLevel="1" width="5" customWidth="1" min="134" max="134"/>
    <col outlineLevel="1" width="5" customWidth="1" min="135" max="135"/>
    <col outlineLevel="1" width="5" customWidth="1" min="136" max="136"/>
    <col outlineLevel="1" width="5" customWidth="1" min="137" max="137"/>
    <col outlineLevel="1" width="5" customWidth="1" min="138" max="138"/>
    <col outlineLevel="1" width="5" customWidth="1" min="139" max="139"/>
    <col outlineLevel="1" width="5" customWidth="1" min="140" max="140"/>
    <col outlineLevel="1" width="5" customWidth="1" min="141" max="141"/>
    <col width="14.14" customWidth="1" min="142" max="142"/>
    <col outlineLevel="1" width="5" customWidth="1" min="143" max="143"/>
    <col outlineLevel="1" width="5" customWidth="1" min="144" max="144"/>
    <col outlineLevel="1" width="5" customWidth="1" min="145" max="145"/>
    <col outlineLevel="1" width="5" customWidth="1" min="146" max="146"/>
    <col outlineLevel="1" width="5" customWidth="1" min="147" max="147"/>
    <col outlineLevel="1" width="5" customWidth="1" min="148" max="148"/>
    <col outlineLevel="1" width="5" customWidth="1" min="149" max="149"/>
    <col outlineLevel="1" width="5" customWidth="1" min="150" max="150"/>
    <col outlineLevel="1" width="5" customWidth="1" min="151" max="151"/>
    <col outlineLevel="1" width="5" customWidth="1" min="152" max="152"/>
    <col outlineLevel="1" width="5" customWidth="1" min="153" max="153"/>
    <col outlineLevel="1" width="5" customWidth="1" min="154" max="154"/>
    <col outlineLevel="1" width="5" customWidth="1" min="155" max="155"/>
    <col outlineLevel="1" width="5" customWidth="1" min="156" max="156"/>
    <col outlineLevel="1" width="5" customWidth="1" min="157" max="157"/>
    <col outlineLevel="1" width="5" customWidth="1" min="158" max="158"/>
    <col width="14.14" customWidth="1" min="159" max="159"/>
    <col outlineLevel="1" width="5" customWidth="1" min="160" max="160"/>
    <col outlineLevel="1" width="5" customWidth="1" min="161" max="161"/>
    <col outlineLevel="1" width="5" customWidth="1" min="162" max="162"/>
    <col outlineLevel="1" width="5" customWidth="1" min="163" max="163"/>
    <col outlineLevel="1" width="5" customWidth="1" min="164" max="164"/>
    <col outlineLevel="1" width="5" customWidth="1" min="165" max="165"/>
    <col outlineLevel="1" width="5" customWidth="1" min="166" max="166"/>
    <col outlineLevel="1" width="5" customWidth="1" min="167" max="167"/>
    <col outlineLevel="1" width="5" customWidth="1" min="168" max="168"/>
    <col outlineLevel="1" width="5" customWidth="1" min="169" max="169"/>
    <col outlineLevel="1" width="5" customWidth="1" min="170" max="170"/>
    <col outlineLevel="1" width="5" customWidth="1" min="171" max="171"/>
    <col outlineLevel="1" width="5" customWidth="1" min="172" max="172"/>
    <col outlineLevel="1" width="5" customWidth="1" min="173" max="173"/>
    <col outlineLevel="1" width="5" customWidth="1" min="174" max="174"/>
    <col outlineLevel="1" width="5" customWidth="1" min="175" max="175"/>
    <col width="14.14" customWidth="1" min="176" max="176"/>
    <col outlineLevel="1" width="5" customWidth="1" min="177" max="177"/>
    <col outlineLevel="1" width="5" customWidth="1" min="178" max="178"/>
    <col outlineLevel="1" width="5" customWidth="1" min="179" max="179"/>
    <col outlineLevel="1" width="5" customWidth="1" min="180" max="180"/>
    <col outlineLevel="1" width="5" customWidth="1" min="181" max="181"/>
    <col outlineLevel="1" width="5" customWidth="1" min="182" max="182"/>
    <col outlineLevel="1" width="5" customWidth="1" min="183" max="183"/>
    <col outlineLevel="1" width="5" customWidth="1" min="184" max="184"/>
    <col outlineLevel="1" width="5" customWidth="1" min="185" max="185"/>
    <col outlineLevel="1" width="5" customWidth="1" min="186" max="186"/>
    <col outlineLevel="1" width="5" customWidth="1" min="187" max="187"/>
    <col outlineLevel="1" width="5" customWidth="1" min="188" max="188"/>
    <col outlineLevel="1" width="5" customWidth="1" min="189" max="189"/>
    <col outlineLevel="1" width="5" customWidth="1" min="190" max="190"/>
    <col outlineLevel="1" width="5" customWidth="1" min="191" max="191"/>
    <col outlineLevel="1" width="5" customWidth="1" min="192" max="192"/>
    <col width="14.14" customWidth="1" min="193" max="193"/>
    <col outlineLevel="1" width="5" customWidth="1" min="194" max="194"/>
    <col outlineLevel="1" width="5" customWidth="1" min="195" max="195"/>
    <col outlineLevel="1" width="5" customWidth="1" min="196" max="196"/>
    <col outlineLevel="1" width="5" customWidth="1" min="197" max="197"/>
    <col outlineLevel="1" width="5" customWidth="1" min="198" max="198"/>
    <col outlineLevel="1" width="5" customWidth="1" min="199" max="199"/>
    <col outlineLevel="1" width="5" customWidth="1" min="200" max="200"/>
    <col outlineLevel="1" width="5" customWidth="1" min="201" max="201"/>
    <col outlineLevel="1" width="5" customWidth="1" min="202" max="202"/>
    <col outlineLevel="1" width="5" customWidth="1" min="203" max="203"/>
    <col outlineLevel="1" width="5" customWidth="1" min="204" max="204"/>
    <col outlineLevel="1" width="5" customWidth="1" min="205" max="205"/>
    <col outlineLevel="1" width="5" customWidth="1" min="206" max="206"/>
    <col outlineLevel="1" width="5" customWidth="1" min="207" max="207"/>
    <col outlineLevel="1" width="5" customWidth="1" min="208" max="208"/>
    <col outlineLevel="1" width="5" customWidth="1" min="209" max="209"/>
    <col width="14.14" customWidth="1" min="210" max="210"/>
    <col hidden="1" width="7.86" customWidth="1" min="211" max="211"/>
    <col hidden="1" width="7.86" customWidth="1" min="212" max="212"/>
    <col hidden="1" width="7.86" customWidth="1" min="213" max="213"/>
    <col hidden="1" width="7.86" customWidth="1" min="214" max="214"/>
    <col hidden="1" width="7.86" customWidth="1" min="215" max="215"/>
  </cols>
  <sheetData>
    <row r="1" ht="24" customHeight="1">
      <c r="A1" s="40" t="inlineStr">
        <is>
          <t>مجموعة 5</t>
        </is>
      </c>
      <c r="B1" s="4" t="n"/>
      <c r="C1" s="41" t="str">
        <f>"عدد الطلاب: "&amp;$HE$1&amp;CHAR(10)&amp;"الغياب والواجب الناقص: في آخر 8 حصص"</f>
        <v>عدد الطلاب: 0
الغياب والواجب الناقص: في آخر 8 حصص</v>
      </c>
      <c r="D1" s="42" t="n"/>
      <c r="E1" s="42" t="n"/>
      <c r="F1" s="43" t="n"/>
      <c r="G1" s="44" t="inlineStr">
        <is>
          <t>الشهر 1</t>
        </is>
      </c>
      <c r="H1" s="13" t="n"/>
      <c r="I1" s="13" t="n"/>
      <c r="J1" s="13" t="n"/>
      <c r="K1" s="13" t="n"/>
      <c r="L1" s="13" t="n"/>
      <c r="M1" s="13" t="n"/>
      <c r="N1" s="13" t="n"/>
      <c r="O1" s="13" t="n"/>
      <c r="P1" s="13" t="n"/>
      <c r="Q1" s="13" t="n"/>
      <c r="R1" s="13" t="n"/>
      <c r="S1" s="13" t="n"/>
      <c r="T1" s="13" t="n"/>
      <c r="U1" s="13" t="n"/>
      <c r="V1" s="13" t="n"/>
      <c r="W1" s="4" t="n"/>
      <c r="X1" s="45" t="inlineStr">
        <is>
          <t>الشهر 2</t>
        </is>
      </c>
      <c r="Y1" s="13" t="n"/>
      <c r="Z1" s="13" t="n"/>
      <c r="AA1" s="13" t="n"/>
      <c r="AB1" s="13" t="n"/>
      <c r="AC1" s="13" t="n"/>
      <c r="AD1" s="13" t="n"/>
      <c r="AE1" s="13" t="n"/>
      <c r="AF1" s="13" t="n"/>
      <c r="AG1" s="13" t="n"/>
      <c r="AH1" s="13" t="n"/>
      <c r="AI1" s="13" t="n"/>
      <c r="AJ1" s="13" t="n"/>
      <c r="AK1" s="13" t="n"/>
      <c r="AL1" s="13" t="n"/>
      <c r="AM1" s="13" t="n"/>
      <c r="AN1" s="4" t="n"/>
      <c r="AO1" s="46" t="inlineStr">
        <is>
          <t>الشهر 3</t>
        </is>
      </c>
      <c r="AP1" s="13" t="n"/>
      <c r="AQ1" s="13" t="n"/>
      <c r="AR1" s="13" t="n"/>
      <c r="AS1" s="13" t="n"/>
      <c r="AT1" s="13" t="n"/>
      <c r="AU1" s="13" t="n"/>
      <c r="AV1" s="13" t="n"/>
      <c r="AW1" s="13" t="n"/>
      <c r="AX1" s="13" t="n"/>
      <c r="AY1" s="13" t="n"/>
      <c r="AZ1" s="13" t="n"/>
      <c r="BA1" s="13" t="n"/>
      <c r="BB1" s="13" t="n"/>
      <c r="BC1" s="13" t="n"/>
      <c r="BD1" s="13" t="n"/>
      <c r="BE1" s="4" t="n"/>
      <c r="BF1" s="47" t="inlineStr">
        <is>
          <t>الشهر 4</t>
        </is>
      </c>
      <c r="BG1" s="13" t="n"/>
      <c r="BH1" s="13" t="n"/>
      <c r="BI1" s="13" t="n"/>
      <c r="BJ1" s="13" t="n"/>
      <c r="BK1" s="13" t="n"/>
      <c r="BL1" s="13" t="n"/>
      <c r="BM1" s="13" t="n"/>
      <c r="BN1" s="13" t="n"/>
      <c r="BO1" s="13" t="n"/>
      <c r="BP1" s="13" t="n"/>
      <c r="BQ1" s="13" t="n"/>
      <c r="BR1" s="13" t="n"/>
      <c r="BS1" s="13" t="n"/>
      <c r="BT1" s="13" t="n"/>
      <c r="BU1" s="13" t="n"/>
      <c r="BV1" s="4" t="n"/>
      <c r="BW1" s="48" t="inlineStr">
        <is>
          <t>الشهر 5</t>
        </is>
      </c>
      <c r="BX1" s="13" t="n"/>
      <c r="BY1" s="13" t="n"/>
      <c r="BZ1" s="13" t="n"/>
      <c r="CA1" s="13" t="n"/>
      <c r="CB1" s="13" t="n"/>
      <c r="CC1" s="13" t="n"/>
      <c r="CD1" s="13" t="n"/>
      <c r="CE1" s="13" t="n"/>
      <c r="CF1" s="13" t="n"/>
      <c r="CG1" s="13" t="n"/>
      <c r="CH1" s="13" t="n"/>
      <c r="CI1" s="13" t="n"/>
      <c r="CJ1" s="13" t="n"/>
      <c r="CK1" s="13" t="n"/>
      <c r="CL1" s="13" t="n"/>
      <c r="CM1" s="4" t="n"/>
      <c r="CN1" s="49" t="inlineStr">
        <is>
          <t>الشهر 6</t>
        </is>
      </c>
      <c r="CO1" s="13" t="n"/>
      <c r="CP1" s="13" t="n"/>
      <c r="CQ1" s="13" t="n"/>
      <c r="CR1" s="13" t="n"/>
      <c r="CS1" s="13" t="n"/>
      <c r="CT1" s="13" t="n"/>
      <c r="CU1" s="13" t="n"/>
      <c r="CV1" s="13" t="n"/>
      <c r="CW1" s="13" t="n"/>
      <c r="CX1" s="13" t="n"/>
      <c r="CY1" s="13" t="n"/>
      <c r="CZ1" s="13" t="n"/>
      <c r="DA1" s="13" t="n"/>
      <c r="DB1" s="13" t="n"/>
      <c r="DC1" s="13" t="n"/>
      <c r="DD1" s="4" t="n"/>
      <c r="DE1" s="50" t="inlineStr">
        <is>
          <t>الشهر 7</t>
        </is>
      </c>
      <c r="DF1" s="13" t="n"/>
      <c r="DG1" s="13" t="n"/>
      <c r="DH1" s="13" t="n"/>
      <c r="DI1" s="13" t="n"/>
      <c r="DJ1" s="13" t="n"/>
      <c r="DK1" s="13" t="n"/>
      <c r="DL1" s="13" t="n"/>
      <c r="DM1" s="13" t="n"/>
      <c r="DN1" s="13" t="n"/>
      <c r="DO1" s="13" t="n"/>
      <c r="DP1" s="13" t="n"/>
      <c r="DQ1" s="13" t="n"/>
      <c r="DR1" s="13" t="n"/>
      <c r="DS1" s="13" t="n"/>
      <c r="DT1" s="13" t="n"/>
      <c r="DU1" s="4" t="n"/>
      <c r="DV1" s="51" t="inlineStr">
        <is>
          <t>الشهر 8</t>
        </is>
      </c>
      <c r="DW1" s="13" t="n"/>
      <c r="DX1" s="13" t="n"/>
      <c r="DY1" s="13" t="n"/>
      <c r="DZ1" s="13" t="n"/>
      <c r="EA1" s="13" t="n"/>
      <c r="EB1" s="13" t="n"/>
      <c r="EC1" s="13" t="n"/>
      <c r="ED1" s="13" t="n"/>
      <c r="EE1" s="13" t="n"/>
      <c r="EF1" s="13" t="n"/>
      <c r="EG1" s="13" t="n"/>
      <c r="EH1" s="13" t="n"/>
      <c r="EI1" s="13" t="n"/>
      <c r="EJ1" s="13" t="n"/>
      <c r="EK1" s="13" t="n"/>
      <c r="EL1" s="4" t="n"/>
      <c r="EM1" s="52" t="inlineStr">
        <is>
          <t>الشهر 9</t>
        </is>
      </c>
      <c r="EN1" s="13" t="n"/>
      <c r="EO1" s="13" t="n"/>
      <c r="EP1" s="13" t="n"/>
      <c r="EQ1" s="13" t="n"/>
      <c r="ER1" s="13" t="n"/>
      <c r="ES1" s="13" t="n"/>
      <c r="ET1" s="13" t="n"/>
      <c r="EU1" s="13" t="n"/>
      <c r="EV1" s="13" t="n"/>
      <c r="EW1" s="13" t="n"/>
      <c r="EX1" s="13" t="n"/>
      <c r="EY1" s="13" t="n"/>
      <c r="EZ1" s="13" t="n"/>
      <c r="FA1" s="13" t="n"/>
      <c r="FB1" s="13" t="n"/>
      <c r="FC1" s="4" t="n"/>
      <c r="FD1" s="53" t="inlineStr">
        <is>
          <t>الشهر 10</t>
        </is>
      </c>
      <c r="FE1" s="13" t="n"/>
      <c r="FF1" s="13" t="n"/>
      <c r="FG1" s="13" t="n"/>
      <c r="FH1" s="13" t="n"/>
      <c r="FI1" s="13" t="n"/>
      <c r="FJ1" s="13" t="n"/>
      <c r="FK1" s="13" t="n"/>
      <c r="FL1" s="13" t="n"/>
      <c r="FM1" s="13" t="n"/>
      <c r="FN1" s="13" t="n"/>
      <c r="FO1" s="13" t="n"/>
      <c r="FP1" s="13" t="n"/>
      <c r="FQ1" s="13" t="n"/>
      <c r="FR1" s="13" t="n"/>
      <c r="FS1" s="13" t="n"/>
      <c r="FT1" s="4" t="n"/>
      <c r="FU1" s="54" t="inlineStr">
        <is>
          <t>الشهر 11</t>
        </is>
      </c>
      <c r="FV1" s="13" t="n"/>
      <c r="FW1" s="13" t="n"/>
      <c r="FX1" s="13" t="n"/>
      <c r="FY1" s="13" t="n"/>
      <c r="FZ1" s="13" t="n"/>
      <c r="GA1" s="13" t="n"/>
      <c r="GB1" s="13" t="n"/>
      <c r="GC1" s="13" t="n"/>
      <c r="GD1" s="13" t="n"/>
      <c r="GE1" s="13" t="n"/>
      <c r="GF1" s="13" t="n"/>
      <c r="GG1" s="13" t="n"/>
      <c r="GH1" s="13" t="n"/>
      <c r="GI1" s="13" t="n"/>
      <c r="GJ1" s="13" t="n"/>
      <c r="GK1" s="4" t="n"/>
      <c r="GL1" s="55" t="inlineStr">
        <is>
          <t>الشهر 12</t>
        </is>
      </c>
      <c r="GM1" s="13" t="n"/>
      <c r="GN1" s="13" t="n"/>
      <c r="GO1" s="13" t="n"/>
      <c r="GP1" s="13" t="n"/>
      <c r="GQ1" s="13" t="n"/>
      <c r="GR1" s="13" t="n"/>
      <c r="GS1" s="13" t="n"/>
      <c r="GT1" s="13" t="n"/>
      <c r="GU1" s="13" t="n"/>
      <c r="GV1" s="13" t="n"/>
      <c r="GW1" s="13" t="n"/>
      <c r="GX1" s="13" t="n"/>
      <c r="GY1" s="13" t="n"/>
      <c r="GZ1" s="13" t="n"/>
      <c r="HA1" s="13" t="n"/>
      <c r="HB1" s="4" t="n"/>
      <c r="HC1">
        <f>SUMPRODUCT(MAX(($G$4:$HB$4="ح")*($G$20:$HB$20&gt;0)*$G$47:$HB$47))</f>
        <v>0</v>
      </c>
      <c r="HD1">
        <f>IF(OR($F$27="",$F$27="الكل"),1,IFERROR(MATCH($F$27,'حسابات'!$F$2:$F$14,0)-1,1))</f>
        <v>1</v>
      </c>
      <c r="HE1">
        <f>SUMPRODUCT(--($B$5:$B$19&lt;&gt;""))</f>
        <v>0</v>
      </c>
      <c r="HF1" t="str">
        <f>IF($HE$3=0,"",8-$HE$3)</f>
        <v/>
      </c>
      <c r="HG1">
        <f>'الرئيسية'!$H$27</f>
        <v>2</v>
      </c>
    </row>
    <row r="2" ht="16.5" customHeight="1">
      <c r="A2" s="56" t="str">
        <f>IF($HC$1=0,"لسه ما بدأتش",IF(INDEX($G$1:$HB$1,1,17*($HC$2-1)+1)="","شهر "&amp;$HC$2,INDEX($G$1:$HB$1,1,17*($HC$2-1)+1))&amp;" · حصة "&amp;$HC$3&amp;" من 8")</f>
        <v>لسه ما بدأتش</v>
      </c>
      <c r="B2" s="43" t="n"/>
      <c r="C2" s="57" t="n"/>
      <c r="F2" s="58" t="n"/>
      <c r="G2" s="59" t="inlineStr">
        <is>
          <t>حصة 1</t>
        </is>
      </c>
      <c r="H2" s="4" t="n"/>
      <c r="I2" s="59" t="inlineStr">
        <is>
          <t>حصة 2</t>
        </is>
      </c>
      <c r="J2" s="4" t="n"/>
      <c r="K2" s="59" t="inlineStr">
        <is>
          <t>حصة 3</t>
        </is>
      </c>
      <c r="L2" s="4" t="n"/>
      <c r="M2" s="59" t="inlineStr">
        <is>
          <t>حصة 4</t>
        </is>
      </c>
      <c r="N2" s="4" t="n"/>
      <c r="O2" s="59" t="inlineStr">
        <is>
          <t>حصة 5</t>
        </is>
      </c>
      <c r="P2" s="4" t="n"/>
      <c r="Q2" s="59" t="inlineStr">
        <is>
          <t>حصة 6</t>
        </is>
      </c>
      <c r="R2" s="4" t="n"/>
      <c r="S2" s="59" t="inlineStr">
        <is>
          <t>حصة 7</t>
        </is>
      </c>
      <c r="T2" s="4" t="n"/>
      <c r="U2" s="59" t="inlineStr">
        <is>
          <t>حصة 8</t>
        </is>
      </c>
      <c r="V2" s="4" t="n"/>
      <c r="W2" s="59" t="inlineStr">
        <is>
          <t>المصاريف</t>
        </is>
      </c>
      <c r="X2" s="60" t="inlineStr">
        <is>
          <t>حصة 1</t>
        </is>
      </c>
      <c r="Y2" s="4" t="n"/>
      <c r="Z2" s="60" t="inlineStr">
        <is>
          <t>حصة 2</t>
        </is>
      </c>
      <c r="AA2" s="4" t="n"/>
      <c r="AB2" s="60" t="inlineStr">
        <is>
          <t>حصة 3</t>
        </is>
      </c>
      <c r="AC2" s="4" t="n"/>
      <c r="AD2" s="60" t="inlineStr">
        <is>
          <t>حصة 4</t>
        </is>
      </c>
      <c r="AE2" s="4" t="n"/>
      <c r="AF2" s="60" t="inlineStr">
        <is>
          <t>حصة 5</t>
        </is>
      </c>
      <c r="AG2" s="4" t="n"/>
      <c r="AH2" s="60" t="inlineStr">
        <is>
          <t>حصة 6</t>
        </is>
      </c>
      <c r="AI2" s="4" t="n"/>
      <c r="AJ2" s="60" t="inlineStr">
        <is>
          <t>حصة 7</t>
        </is>
      </c>
      <c r="AK2" s="4" t="n"/>
      <c r="AL2" s="60" t="inlineStr">
        <is>
          <t>حصة 8</t>
        </is>
      </c>
      <c r="AM2" s="4" t="n"/>
      <c r="AN2" s="60" t="inlineStr">
        <is>
          <t>المصاريف</t>
        </is>
      </c>
      <c r="AO2" s="61" t="inlineStr">
        <is>
          <t>حصة 1</t>
        </is>
      </c>
      <c r="AP2" s="4" t="n"/>
      <c r="AQ2" s="61" t="inlineStr">
        <is>
          <t>حصة 2</t>
        </is>
      </c>
      <c r="AR2" s="4" t="n"/>
      <c r="AS2" s="61" t="inlineStr">
        <is>
          <t>حصة 3</t>
        </is>
      </c>
      <c r="AT2" s="4" t="n"/>
      <c r="AU2" s="61" t="inlineStr">
        <is>
          <t>حصة 4</t>
        </is>
      </c>
      <c r="AV2" s="4" t="n"/>
      <c r="AW2" s="61" t="inlineStr">
        <is>
          <t>حصة 5</t>
        </is>
      </c>
      <c r="AX2" s="4" t="n"/>
      <c r="AY2" s="61" t="inlineStr">
        <is>
          <t>حصة 6</t>
        </is>
      </c>
      <c r="AZ2" s="4" t="n"/>
      <c r="BA2" s="61" t="inlineStr">
        <is>
          <t>حصة 7</t>
        </is>
      </c>
      <c r="BB2" s="4" t="n"/>
      <c r="BC2" s="61" t="inlineStr">
        <is>
          <t>حصة 8</t>
        </is>
      </c>
      <c r="BD2" s="4" t="n"/>
      <c r="BE2" s="61" t="inlineStr">
        <is>
          <t>المصاريف</t>
        </is>
      </c>
      <c r="BF2" s="62" t="inlineStr">
        <is>
          <t>حصة 1</t>
        </is>
      </c>
      <c r="BG2" s="4" t="n"/>
      <c r="BH2" s="62" t="inlineStr">
        <is>
          <t>حصة 2</t>
        </is>
      </c>
      <c r="BI2" s="4" t="n"/>
      <c r="BJ2" s="62" t="inlineStr">
        <is>
          <t>حصة 3</t>
        </is>
      </c>
      <c r="BK2" s="4" t="n"/>
      <c r="BL2" s="62" t="inlineStr">
        <is>
          <t>حصة 4</t>
        </is>
      </c>
      <c r="BM2" s="4" t="n"/>
      <c r="BN2" s="62" t="inlineStr">
        <is>
          <t>حصة 5</t>
        </is>
      </c>
      <c r="BO2" s="4" t="n"/>
      <c r="BP2" s="62" t="inlineStr">
        <is>
          <t>حصة 6</t>
        </is>
      </c>
      <c r="BQ2" s="4" t="n"/>
      <c r="BR2" s="62" t="inlineStr">
        <is>
          <t>حصة 7</t>
        </is>
      </c>
      <c r="BS2" s="4" t="n"/>
      <c r="BT2" s="62" t="inlineStr">
        <is>
          <t>حصة 8</t>
        </is>
      </c>
      <c r="BU2" s="4" t="n"/>
      <c r="BV2" s="62" t="inlineStr">
        <is>
          <t>المصاريف</t>
        </is>
      </c>
      <c r="BW2" s="63" t="inlineStr">
        <is>
          <t>حصة 1</t>
        </is>
      </c>
      <c r="BX2" s="4" t="n"/>
      <c r="BY2" s="63" t="inlineStr">
        <is>
          <t>حصة 2</t>
        </is>
      </c>
      <c r="BZ2" s="4" t="n"/>
      <c r="CA2" s="63" t="inlineStr">
        <is>
          <t>حصة 3</t>
        </is>
      </c>
      <c r="CB2" s="4" t="n"/>
      <c r="CC2" s="63" t="inlineStr">
        <is>
          <t>حصة 4</t>
        </is>
      </c>
      <c r="CD2" s="4" t="n"/>
      <c r="CE2" s="63" t="inlineStr">
        <is>
          <t>حصة 5</t>
        </is>
      </c>
      <c r="CF2" s="4" t="n"/>
      <c r="CG2" s="63" t="inlineStr">
        <is>
          <t>حصة 6</t>
        </is>
      </c>
      <c r="CH2" s="4" t="n"/>
      <c r="CI2" s="63" t="inlineStr">
        <is>
          <t>حصة 7</t>
        </is>
      </c>
      <c r="CJ2" s="4" t="n"/>
      <c r="CK2" s="63" t="inlineStr">
        <is>
          <t>حصة 8</t>
        </is>
      </c>
      <c r="CL2" s="4" t="n"/>
      <c r="CM2" s="63" t="inlineStr">
        <is>
          <t>المصاريف</t>
        </is>
      </c>
      <c r="CN2" s="64" t="inlineStr">
        <is>
          <t>حصة 1</t>
        </is>
      </c>
      <c r="CO2" s="4" t="n"/>
      <c r="CP2" s="64" t="inlineStr">
        <is>
          <t>حصة 2</t>
        </is>
      </c>
      <c r="CQ2" s="4" t="n"/>
      <c r="CR2" s="64" t="inlineStr">
        <is>
          <t>حصة 3</t>
        </is>
      </c>
      <c r="CS2" s="4" t="n"/>
      <c r="CT2" s="64" t="inlineStr">
        <is>
          <t>حصة 4</t>
        </is>
      </c>
      <c r="CU2" s="4" t="n"/>
      <c r="CV2" s="64" t="inlineStr">
        <is>
          <t>حصة 5</t>
        </is>
      </c>
      <c r="CW2" s="4" t="n"/>
      <c r="CX2" s="64" t="inlineStr">
        <is>
          <t>حصة 6</t>
        </is>
      </c>
      <c r="CY2" s="4" t="n"/>
      <c r="CZ2" s="64" t="inlineStr">
        <is>
          <t>حصة 7</t>
        </is>
      </c>
      <c r="DA2" s="4" t="n"/>
      <c r="DB2" s="64" t="inlineStr">
        <is>
          <t>حصة 8</t>
        </is>
      </c>
      <c r="DC2" s="4" t="n"/>
      <c r="DD2" s="64" t="inlineStr">
        <is>
          <t>المصاريف</t>
        </is>
      </c>
      <c r="DE2" s="65" t="inlineStr">
        <is>
          <t>حصة 1</t>
        </is>
      </c>
      <c r="DF2" s="4" t="n"/>
      <c r="DG2" s="65" t="inlineStr">
        <is>
          <t>حصة 2</t>
        </is>
      </c>
      <c r="DH2" s="4" t="n"/>
      <c r="DI2" s="65" t="inlineStr">
        <is>
          <t>حصة 3</t>
        </is>
      </c>
      <c r="DJ2" s="4" t="n"/>
      <c r="DK2" s="65" t="inlineStr">
        <is>
          <t>حصة 4</t>
        </is>
      </c>
      <c r="DL2" s="4" t="n"/>
      <c r="DM2" s="65" t="inlineStr">
        <is>
          <t>حصة 5</t>
        </is>
      </c>
      <c r="DN2" s="4" t="n"/>
      <c r="DO2" s="65" t="inlineStr">
        <is>
          <t>حصة 6</t>
        </is>
      </c>
      <c r="DP2" s="4" t="n"/>
      <c r="DQ2" s="65" t="inlineStr">
        <is>
          <t>حصة 7</t>
        </is>
      </c>
      <c r="DR2" s="4" t="n"/>
      <c r="DS2" s="65" t="inlineStr">
        <is>
          <t>حصة 8</t>
        </is>
      </c>
      <c r="DT2" s="4" t="n"/>
      <c r="DU2" s="65" t="inlineStr">
        <is>
          <t>المصاريف</t>
        </is>
      </c>
      <c r="DV2" s="66" t="inlineStr">
        <is>
          <t>حصة 1</t>
        </is>
      </c>
      <c r="DW2" s="4" t="n"/>
      <c r="DX2" s="66" t="inlineStr">
        <is>
          <t>حصة 2</t>
        </is>
      </c>
      <c r="DY2" s="4" t="n"/>
      <c r="DZ2" s="66" t="inlineStr">
        <is>
          <t>حصة 3</t>
        </is>
      </c>
      <c r="EA2" s="4" t="n"/>
      <c r="EB2" s="66" t="inlineStr">
        <is>
          <t>حصة 4</t>
        </is>
      </c>
      <c r="EC2" s="4" t="n"/>
      <c r="ED2" s="66" t="inlineStr">
        <is>
          <t>حصة 5</t>
        </is>
      </c>
      <c r="EE2" s="4" t="n"/>
      <c r="EF2" s="66" t="inlineStr">
        <is>
          <t>حصة 6</t>
        </is>
      </c>
      <c r="EG2" s="4" t="n"/>
      <c r="EH2" s="66" t="inlineStr">
        <is>
          <t>حصة 7</t>
        </is>
      </c>
      <c r="EI2" s="4" t="n"/>
      <c r="EJ2" s="66" t="inlineStr">
        <is>
          <t>حصة 8</t>
        </is>
      </c>
      <c r="EK2" s="4" t="n"/>
      <c r="EL2" s="66" t="inlineStr">
        <is>
          <t>المصاريف</t>
        </is>
      </c>
      <c r="EM2" s="67" t="inlineStr">
        <is>
          <t>حصة 1</t>
        </is>
      </c>
      <c r="EN2" s="4" t="n"/>
      <c r="EO2" s="67" t="inlineStr">
        <is>
          <t>حصة 2</t>
        </is>
      </c>
      <c r="EP2" s="4" t="n"/>
      <c r="EQ2" s="67" t="inlineStr">
        <is>
          <t>حصة 3</t>
        </is>
      </c>
      <c r="ER2" s="4" t="n"/>
      <c r="ES2" s="67" t="inlineStr">
        <is>
          <t>حصة 4</t>
        </is>
      </c>
      <c r="ET2" s="4" t="n"/>
      <c r="EU2" s="67" t="inlineStr">
        <is>
          <t>حصة 5</t>
        </is>
      </c>
      <c r="EV2" s="4" t="n"/>
      <c r="EW2" s="67" t="inlineStr">
        <is>
          <t>حصة 6</t>
        </is>
      </c>
      <c r="EX2" s="4" t="n"/>
      <c r="EY2" s="67" t="inlineStr">
        <is>
          <t>حصة 7</t>
        </is>
      </c>
      <c r="EZ2" s="4" t="n"/>
      <c r="FA2" s="67" t="inlineStr">
        <is>
          <t>حصة 8</t>
        </is>
      </c>
      <c r="FB2" s="4" t="n"/>
      <c r="FC2" s="67" t="inlineStr">
        <is>
          <t>المصاريف</t>
        </is>
      </c>
      <c r="FD2" s="68" t="inlineStr">
        <is>
          <t>حصة 1</t>
        </is>
      </c>
      <c r="FE2" s="4" t="n"/>
      <c r="FF2" s="68" t="inlineStr">
        <is>
          <t>حصة 2</t>
        </is>
      </c>
      <c r="FG2" s="4" t="n"/>
      <c r="FH2" s="68" t="inlineStr">
        <is>
          <t>حصة 3</t>
        </is>
      </c>
      <c r="FI2" s="4" t="n"/>
      <c r="FJ2" s="68" t="inlineStr">
        <is>
          <t>حصة 4</t>
        </is>
      </c>
      <c r="FK2" s="4" t="n"/>
      <c r="FL2" s="68" t="inlineStr">
        <is>
          <t>حصة 5</t>
        </is>
      </c>
      <c r="FM2" s="4" t="n"/>
      <c r="FN2" s="68" t="inlineStr">
        <is>
          <t>حصة 6</t>
        </is>
      </c>
      <c r="FO2" s="4" t="n"/>
      <c r="FP2" s="68" t="inlineStr">
        <is>
          <t>حصة 7</t>
        </is>
      </c>
      <c r="FQ2" s="4" t="n"/>
      <c r="FR2" s="68" t="inlineStr">
        <is>
          <t>حصة 8</t>
        </is>
      </c>
      <c r="FS2" s="4" t="n"/>
      <c r="FT2" s="68" t="inlineStr">
        <is>
          <t>المصاريف</t>
        </is>
      </c>
      <c r="FU2" s="69" t="inlineStr">
        <is>
          <t>حصة 1</t>
        </is>
      </c>
      <c r="FV2" s="4" t="n"/>
      <c r="FW2" s="69" t="inlineStr">
        <is>
          <t>حصة 2</t>
        </is>
      </c>
      <c r="FX2" s="4" t="n"/>
      <c r="FY2" s="69" t="inlineStr">
        <is>
          <t>حصة 3</t>
        </is>
      </c>
      <c r="FZ2" s="4" t="n"/>
      <c r="GA2" s="69" t="inlineStr">
        <is>
          <t>حصة 4</t>
        </is>
      </c>
      <c r="GB2" s="4" t="n"/>
      <c r="GC2" s="69" t="inlineStr">
        <is>
          <t>حصة 5</t>
        </is>
      </c>
      <c r="GD2" s="4" t="n"/>
      <c r="GE2" s="69" t="inlineStr">
        <is>
          <t>حصة 6</t>
        </is>
      </c>
      <c r="GF2" s="4" t="n"/>
      <c r="GG2" s="69" t="inlineStr">
        <is>
          <t>حصة 7</t>
        </is>
      </c>
      <c r="GH2" s="4" t="n"/>
      <c r="GI2" s="69" t="inlineStr">
        <is>
          <t>حصة 8</t>
        </is>
      </c>
      <c r="GJ2" s="4" t="n"/>
      <c r="GK2" s="69" t="inlineStr">
        <is>
          <t>المصاريف</t>
        </is>
      </c>
      <c r="GL2" s="70" t="inlineStr">
        <is>
          <t>حصة 1</t>
        </is>
      </c>
      <c r="GM2" s="4" t="n"/>
      <c r="GN2" s="70" t="inlineStr">
        <is>
          <t>حصة 2</t>
        </is>
      </c>
      <c r="GO2" s="4" t="n"/>
      <c r="GP2" s="70" t="inlineStr">
        <is>
          <t>حصة 3</t>
        </is>
      </c>
      <c r="GQ2" s="4" t="n"/>
      <c r="GR2" s="70" t="inlineStr">
        <is>
          <t>حصة 4</t>
        </is>
      </c>
      <c r="GS2" s="4" t="n"/>
      <c r="GT2" s="70" t="inlineStr">
        <is>
          <t>حصة 5</t>
        </is>
      </c>
      <c r="GU2" s="4" t="n"/>
      <c r="GV2" s="70" t="inlineStr">
        <is>
          <t>حصة 6</t>
        </is>
      </c>
      <c r="GW2" s="4" t="n"/>
      <c r="GX2" s="70" t="inlineStr">
        <is>
          <t>حصة 7</t>
        </is>
      </c>
      <c r="GY2" s="4" t="n"/>
      <c r="GZ2" s="70" t="inlineStr">
        <is>
          <t>حصة 8</t>
        </is>
      </c>
      <c r="HA2" s="4" t="n"/>
      <c r="HB2" s="70" t="inlineStr">
        <is>
          <t>المصاريف</t>
        </is>
      </c>
      <c r="HC2">
        <f>IF($HC$1=0,1,INT(($HC$1-1)/8)+1)</f>
        <v>1</v>
      </c>
      <c r="HD2">
        <f>IF(OR($F$27="",$F$27="الكل"),12,$HD$1)</f>
        <v>12</v>
      </c>
      <c r="HE2">
        <f>IF(SUMPRODUCT(($G$3:$HB$3=TODAY())*($G$20:$HB$20&gt;0))&gt;0,1,0)</f>
        <v>0</v>
      </c>
      <c r="HF2" t="str">
        <f>IF($HF$1="","",TODAY()+$HF$1)</f>
        <v/>
      </c>
    </row>
    <row r="3" ht="19.5" customHeight="1">
      <c r="A3" s="71" t="n"/>
      <c r="B3" s="72" t="n"/>
      <c r="C3" s="71" t="n"/>
      <c r="D3" s="73" t="n"/>
      <c r="E3" s="73" t="n"/>
      <c r="F3" s="72" t="n"/>
      <c r="G3" s="74" t="n"/>
      <c r="H3" s="4" t="n"/>
      <c r="I3" s="74" t="n"/>
      <c r="J3" s="4" t="n"/>
      <c r="K3" s="74" t="n"/>
      <c r="L3" s="4" t="n"/>
      <c r="M3" s="74" t="n"/>
      <c r="N3" s="4" t="n"/>
      <c r="O3" s="74" t="n"/>
      <c r="P3" s="4" t="n"/>
      <c r="Q3" s="74" t="n"/>
      <c r="R3" s="4" t="n"/>
      <c r="S3" s="74" t="n"/>
      <c r="T3" s="4" t="n"/>
      <c r="U3" s="74" t="n"/>
      <c r="V3" s="4" t="n"/>
      <c r="W3" s="75" t="n"/>
      <c r="X3" s="74" t="n"/>
      <c r="Y3" s="4" t="n"/>
      <c r="Z3" s="74" t="n"/>
      <c r="AA3" s="4" t="n"/>
      <c r="AB3" s="74" t="n"/>
      <c r="AC3" s="4" t="n"/>
      <c r="AD3" s="74" t="n"/>
      <c r="AE3" s="4" t="n"/>
      <c r="AF3" s="74" t="n"/>
      <c r="AG3" s="4" t="n"/>
      <c r="AH3" s="74" t="n"/>
      <c r="AI3" s="4" t="n"/>
      <c r="AJ3" s="74" t="n"/>
      <c r="AK3" s="4" t="n"/>
      <c r="AL3" s="74" t="n"/>
      <c r="AM3" s="4" t="n"/>
      <c r="AN3" s="75" t="n"/>
      <c r="AO3" s="74" t="n"/>
      <c r="AP3" s="4" t="n"/>
      <c r="AQ3" s="74" t="n"/>
      <c r="AR3" s="4" t="n"/>
      <c r="AS3" s="74" t="n"/>
      <c r="AT3" s="4" t="n"/>
      <c r="AU3" s="74" t="n"/>
      <c r="AV3" s="4" t="n"/>
      <c r="AW3" s="74" t="n"/>
      <c r="AX3" s="4" t="n"/>
      <c r="AY3" s="74" t="n"/>
      <c r="AZ3" s="4" t="n"/>
      <c r="BA3" s="74" t="n"/>
      <c r="BB3" s="4" t="n"/>
      <c r="BC3" s="74" t="n"/>
      <c r="BD3" s="4" t="n"/>
      <c r="BE3" s="75" t="n"/>
      <c r="BF3" s="74" t="n"/>
      <c r="BG3" s="4" t="n"/>
      <c r="BH3" s="74" t="n"/>
      <c r="BI3" s="4" t="n"/>
      <c r="BJ3" s="74" t="n"/>
      <c r="BK3" s="4" t="n"/>
      <c r="BL3" s="74" t="n"/>
      <c r="BM3" s="4" t="n"/>
      <c r="BN3" s="74" t="n"/>
      <c r="BO3" s="4" t="n"/>
      <c r="BP3" s="74" t="n"/>
      <c r="BQ3" s="4" t="n"/>
      <c r="BR3" s="74" t="n"/>
      <c r="BS3" s="4" t="n"/>
      <c r="BT3" s="74" t="n"/>
      <c r="BU3" s="4" t="n"/>
      <c r="BV3" s="75" t="n"/>
      <c r="BW3" s="74" t="n"/>
      <c r="BX3" s="4" t="n"/>
      <c r="BY3" s="74" t="n"/>
      <c r="BZ3" s="4" t="n"/>
      <c r="CA3" s="74" t="n"/>
      <c r="CB3" s="4" t="n"/>
      <c r="CC3" s="74" t="n"/>
      <c r="CD3" s="4" t="n"/>
      <c r="CE3" s="74" t="n"/>
      <c r="CF3" s="4" t="n"/>
      <c r="CG3" s="74" t="n"/>
      <c r="CH3" s="4" t="n"/>
      <c r="CI3" s="74" t="n"/>
      <c r="CJ3" s="4" t="n"/>
      <c r="CK3" s="74" t="n"/>
      <c r="CL3" s="4" t="n"/>
      <c r="CM3" s="75" t="n"/>
      <c r="CN3" s="74" t="n"/>
      <c r="CO3" s="4" t="n"/>
      <c r="CP3" s="74" t="n"/>
      <c r="CQ3" s="4" t="n"/>
      <c r="CR3" s="74" t="n"/>
      <c r="CS3" s="4" t="n"/>
      <c r="CT3" s="74" t="n"/>
      <c r="CU3" s="4" t="n"/>
      <c r="CV3" s="74" t="n"/>
      <c r="CW3" s="4" t="n"/>
      <c r="CX3" s="74" t="n"/>
      <c r="CY3" s="4" t="n"/>
      <c r="CZ3" s="74" t="n"/>
      <c r="DA3" s="4" t="n"/>
      <c r="DB3" s="74" t="n"/>
      <c r="DC3" s="4" t="n"/>
      <c r="DD3" s="75" t="n"/>
      <c r="DE3" s="74" t="n"/>
      <c r="DF3" s="4" t="n"/>
      <c r="DG3" s="74" t="n"/>
      <c r="DH3" s="4" t="n"/>
      <c r="DI3" s="74" t="n"/>
      <c r="DJ3" s="4" t="n"/>
      <c r="DK3" s="74" t="n"/>
      <c r="DL3" s="4" t="n"/>
      <c r="DM3" s="74" t="n"/>
      <c r="DN3" s="4" t="n"/>
      <c r="DO3" s="74" t="n"/>
      <c r="DP3" s="4" t="n"/>
      <c r="DQ3" s="74" t="n"/>
      <c r="DR3" s="4" t="n"/>
      <c r="DS3" s="74" t="n"/>
      <c r="DT3" s="4" t="n"/>
      <c r="DU3" s="75" t="n"/>
      <c r="DV3" s="74" t="n"/>
      <c r="DW3" s="4" t="n"/>
      <c r="DX3" s="74" t="n"/>
      <c r="DY3" s="4" t="n"/>
      <c r="DZ3" s="74" t="n"/>
      <c r="EA3" s="4" t="n"/>
      <c r="EB3" s="74" t="n"/>
      <c r="EC3" s="4" t="n"/>
      <c r="ED3" s="74" t="n"/>
      <c r="EE3" s="4" t="n"/>
      <c r="EF3" s="74" t="n"/>
      <c r="EG3" s="4" t="n"/>
      <c r="EH3" s="74" t="n"/>
      <c r="EI3" s="4" t="n"/>
      <c r="EJ3" s="74" t="n"/>
      <c r="EK3" s="4" t="n"/>
      <c r="EL3" s="75" t="n"/>
      <c r="EM3" s="74" t="n"/>
      <c r="EN3" s="4" t="n"/>
      <c r="EO3" s="74" t="n"/>
      <c r="EP3" s="4" t="n"/>
      <c r="EQ3" s="74" t="n"/>
      <c r="ER3" s="4" t="n"/>
      <c r="ES3" s="74" t="n"/>
      <c r="ET3" s="4" t="n"/>
      <c r="EU3" s="74" t="n"/>
      <c r="EV3" s="4" t="n"/>
      <c r="EW3" s="74" t="n"/>
      <c r="EX3" s="4" t="n"/>
      <c r="EY3" s="74" t="n"/>
      <c r="EZ3" s="4" t="n"/>
      <c r="FA3" s="74" t="n"/>
      <c r="FB3" s="4" t="n"/>
      <c r="FC3" s="75" t="n"/>
      <c r="FD3" s="74" t="n"/>
      <c r="FE3" s="4" t="n"/>
      <c r="FF3" s="74" t="n"/>
      <c r="FG3" s="4" t="n"/>
      <c r="FH3" s="74" t="n"/>
      <c r="FI3" s="4" t="n"/>
      <c r="FJ3" s="74" t="n"/>
      <c r="FK3" s="4" t="n"/>
      <c r="FL3" s="74" t="n"/>
      <c r="FM3" s="4" t="n"/>
      <c r="FN3" s="74" t="n"/>
      <c r="FO3" s="4" t="n"/>
      <c r="FP3" s="74" t="n"/>
      <c r="FQ3" s="4" t="n"/>
      <c r="FR3" s="74" t="n"/>
      <c r="FS3" s="4" t="n"/>
      <c r="FT3" s="75" t="n"/>
      <c r="FU3" s="74" t="n"/>
      <c r="FV3" s="4" t="n"/>
      <c r="FW3" s="74" t="n"/>
      <c r="FX3" s="4" t="n"/>
      <c r="FY3" s="74" t="n"/>
      <c r="FZ3" s="4" t="n"/>
      <c r="GA3" s="74" t="n"/>
      <c r="GB3" s="4" t="n"/>
      <c r="GC3" s="74" t="n"/>
      <c r="GD3" s="4" t="n"/>
      <c r="GE3" s="74" t="n"/>
      <c r="GF3" s="4" t="n"/>
      <c r="GG3" s="74" t="n"/>
      <c r="GH3" s="4" t="n"/>
      <c r="GI3" s="74" t="n"/>
      <c r="GJ3" s="4" t="n"/>
      <c r="GK3" s="75" t="n"/>
      <c r="GL3" s="74" t="n"/>
      <c r="GM3" s="4" t="n"/>
      <c r="GN3" s="74" t="n"/>
      <c r="GO3" s="4" t="n"/>
      <c r="GP3" s="74" t="n"/>
      <c r="GQ3" s="4" t="n"/>
      <c r="GR3" s="74" t="n"/>
      <c r="GS3" s="4" t="n"/>
      <c r="GT3" s="74" t="n"/>
      <c r="GU3" s="4" t="n"/>
      <c r="GV3" s="74" t="n"/>
      <c r="GW3" s="4" t="n"/>
      <c r="GX3" s="74" t="n"/>
      <c r="GY3" s="4" t="n"/>
      <c r="GZ3" s="74" t="n"/>
      <c r="HA3" s="4" t="n"/>
      <c r="HB3" s="75" t="n"/>
      <c r="HC3">
        <f>$HC$1-8*($HC$2-1)</f>
        <v>0</v>
      </c>
      <c r="HE3">
        <f>IF($A$1="",0,IF($HE$2=1,SUMPRODUCT(MAX(('المواعيد'!$D$5:$D$34=$A$1)*(8-'المواعيد'!$L$5:$L$34))),SUMPRODUCT(MAX(('المواعيد'!$D$5:$D$34=$A$1)*(8-'المواعيد'!$K$5:$K$34)))))</f>
        <v>0</v>
      </c>
      <c r="HF3">
        <f>IF($HF$1="",0,SUMPRODUCT(MAX(('المواعيد'!$D$5:$D$34=$A$1)*('المواعيد'!$G$5:$G$34=WEEKDAY($HF$2))*(ROW('المواعيد'!$D$5:$D$34)-4))))</f>
        <v>0</v>
      </c>
    </row>
    <row r="4" ht="16.5" customHeight="1">
      <c r="A4" s="76" t="inlineStr">
        <is>
          <t>م</t>
        </is>
      </c>
      <c r="B4" s="76" t="inlineStr">
        <is>
          <t>الاسم</t>
        </is>
      </c>
      <c r="C4" s="76" t="inlineStr">
        <is>
          <t>ولي الأمر</t>
        </is>
      </c>
      <c r="D4" s="76" t="inlineStr">
        <is>
          <t>غياب</t>
        </is>
      </c>
      <c r="E4" s="76" t="inlineStr">
        <is>
          <t>واجب</t>
        </is>
      </c>
      <c r="F4" s="76" t="inlineStr">
        <is>
          <t>المصاريف</t>
        </is>
      </c>
      <c r="G4" s="8" t="inlineStr">
        <is>
          <t>ح</t>
        </is>
      </c>
      <c r="H4" s="77" t="inlineStr">
        <is>
          <t>و</t>
        </is>
      </c>
      <c r="I4" s="8" t="inlineStr">
        <is>
          <t>ح</t>
        </is>
      </c>
      <c r="J4" s="77" t="inlineStr">
        <is>
          <t>و</t>
        </is>
      </c>
      <c r="K4" s="8" t="inlineStr">
        <is>
          <t>ح</t>
        </is>
      </c>
      <c r="L4" s="77" t="inlineStr">
        <is>
          <t>و</t>
        </is>
      </c>
      <c r="M4" s="8" t="inlineStr">
        <is>
          <t>ح</t>
        </is>
      </c>
      <c r="N4" s="77" t="inlineStr">
        <is>
          <t>و</t>
        </is>
      </c>
      <c r="O4" s="8" t="inlineStr">
        <is>
          <t>ح</t>
        </is>
      </c>
      <c r="P4" s="77" t="inlineStr">
        <is>
          <t>و</t>
        </is>
      </c>
      <c r="Q4" s="8" t="inlineStr">
        <is>
          <t>ح</t>
        </is>
      </c>
      <c r="R4" s="77" t="inlineStr">
        <is>
          <t>و</t>
        </is>
      </c>
      <c r="S4" s="8" t="inlineStr">
        <is>
          <t>ح</t>
        </is>
      </c>
      <c r="T4" s="77" t="inlineStr">
        <is>
          <t>و</t>
        </is>
      </c>
      <c r="U4" s="8" t="inlineStr">
        <is>
          <t>ح</t>
        </is>
      </c>
      <c r="V4" s="77" t="inlineStr">
        <is>
          <t>و</t>
        </is>
      </c>
      <c r="W4" s="77" t="inlineStr">
        <is>
          <t>دفع</t>
        </is>
      </c>
      <c r="X4" s="9" t="inlineStr">
        <is>
          <t>ح</t>
        </is>
      </c>
      <c r="Y4" s="78" t="inlineStr">
        <is>
          <t>و</t>
        </is>
      </c>
      <c r="Z4" s="9" t="inlineStr">
        <is>
          <t>ح</t>
        </is>
      </c>
      <c r="AA4" s="78" t="inlineStr">
        <is>
          <t>و</t>
        </is>
      </c>
      <c r="AB4" s="9" t="inlineStr">
        <is>
          <t>ح</t>
        </is>
      </c>
      <c r="AC4" s="78" t="inlineStr">
        <is>
          <t>و</t>
        </is>
      </c>
      <c r="AD4" s="9" t="inlineStr">
        <is>
          <t>ح</t>
        </is>
      </c>
      <c r="AE4" s="78" t="inlineStr">
        <is>
          <t>و</t>
        </is>
      </c>
      <c r="AF4" s="9" t="inlineStr">
        <is>
          <t>ح</t>
        </is>
      </c>
      <c r="AG4" s="78" t="inlineStr">
        <is>
          <t>و</t>
        </is>
      </c>
      <c r="AH4" s="9" t="inlineStr">
        <is>
          <t>ح</t>
        </is>
      </c>
      <c r="AI4" s="78" t="inlineStr">
        <is>
          <t>و</t>
        </is>
      </c>
      <c r="AJ4" s="9" t="inlineStr">
        <is>
          <t>ح</t>
        </is>
      </c>
      <c r="AK4" s="78" t="inlineStr">
        <is>
          <t>و</t>
        </is>
      </c>
      <c r="AL4" s="9" t="inlineStr">
        <is>
          <t>ح</t>
        </is>
      </c>
      <c r="AM4" s="78" t="inlineStr">
        <is>
          <t>و</t>
        </is>
      </c>
      <c r="AN4" s="78" t="inlineStr">
        <is>
          <t>دفع</t>
        </is>
      </c>
      <c r="AO4" s="10" t="inlineStr">
        <is>
          <t>ح</t>
        </is>
      </c>
      <c r="AP4" s="79" t="inlineStr">
        <is>
          <t>و</t>
        </is>
      </c>
      <c r="AQ4" s="10" t="inlineStr">
        <is>
          <t>ح</t>
        </is>
      </c>
      <c r="AR4" s="79" t="inlineStr">
        <is>
          <t>و</t>
        </is>
      </c>
      <c r="AS4" s="10" t="inlineStr">
        <is>
          <t>ح</t>
        </is>
      </c>
      <c r="AT4" s="79" t="inlineStr">
        <is>
          <t>و</t>
        </is>
      </c>
      <c r="AU4" s="10" t="inlineStr">
        <is>
          <t>ح</t>
        </is>
      </c>
      <c r="AV4" s="79" t="inlineStr">
        <is>
          <t>و</t>
        </is>
      </c>
      <c r="AW4" s="10" t="inlineStr">
        <is>
          <t>ح</t>
        </is>
      </c>
      <c r="AX4" s="79" t="inlineStr">
        <is>
          <t>و</t>
        </is>
      </c>
      <c r="AY4" s="10" t="inlineStr">
        <is>
          <t>ح</t>
        </is>
      </c>
      <c r="AZ4" s="79" t="inlineStr">
        <is>
          <t>و</t>
        </is>
      </c>
      <c r="BA4" s="10" t="inlineStr">
        <is>
          <t>ح</t>
        </is>
      </c>
      <c r="BB4" s="79" t="inlineStr">
        <is>
          <t>و</t>
        </is>
      </c>
      <c r="BC4" s="10" t="inlineStr">
        <is>
          <t>ح</t>
        </is>
      </c>
      <c r="BD4" s="79" t="inlineStr">
        <is>
          <t>و</t>
        </is>
      </c>
      <c r="BE4" s="79" t="inlineStr">
        <is>
          <t>دفع</t>
        </is>
      </c>
      <c r="BF4" s="11" t="inlineStr">
        <is>
          <t>ح</t>
        </is>
      </c>
      <c r="BG4" s="80" t="inlineStr">
        <is>
          <t>و</t>
        </is>
      </c>
      <c r="BH4" s="11" t="inlineStr">
        <is>
          <t>ح</t>
        </is>
      </c>
      <c r="BI4" s="80" t="inlineStr">
        <is>
          <t>و</t>
        </is>
      </c>
      <c r="BJ4" s="11" t="inlineStr">
        <is>
          <t>ح</t>
        </is>
      </c>
      <c r="BK4" s="80" t="inlineStr">
        <is>
          <t>و</t>
        </is>
      </c>
      <c r="BL4" s="11" t="inlineStr">
        <is>
          <t>ح</t>
        </is>
      </c>
      <c r="BM4" s="80" t="inlineStr">
        <is>
          <t>و</t>
        </is>
      </c>
      <c r="BN4" s="11" t="inlineStr">
        <is>
          <t>ح</t>
        </is>
      </c>
      <c r="BO4" s="80" t="inlineStr">
        <is>
          <t>و</t>
        </is>
      </c>
      <c r="BP4" s="11" t="inlineStr">
        <is>
          <t>ح</t>
        </is>
      </c>
      <c r="BQ4" s="80" t="inlineStr">
        <is>
          <t>و</t>
        </is>
      </c>
      <c r="BR4" s="11" t="inlineStr">
        <is>
          <t>ح</t>
        </is>
      </c>
      <c r="BS4" s="80" t="inlineStr">
        <is>
          <t>و</t>
        </is>
      </c>
      <c r="BT4" s="11" t="inlineStr">
        <is>
          <t>ح</t>
        </is>
      </c>
      <c r="BU4" s="80" t="inlineStr">
        <is>
          <t>و</t>
        </is>
      </c>
      <c r="BV4" s="80" t="inlineStr">
        <is>
          <t>دفع</t>
        </is>
      </c>
      <c r="BW4" s="81" t="inlineStr">
        <is>
          <t>ح</t>
        </is>
      </c>
      <c r="BX4" s="82" t="inlineStr">
        <is>
          <t>و</t>
        </is>
      </c>
      <c r="BY4" s="81" t="inlineStr">
        <is>
          <t>ح</t>
        </is>
      </c>
      <c r="BZ4" s="82" t="inlineStr">
        <is>
          <t>و</t>
        </is>
      </c>
      <c r="CA4" s="81" t="inlineStr">
        <is>
          <t>ح</t>
        </is>
      </c>
      <c r="CB4" s="82" t="inlineStr">
        <is>
          <t>و</t>
        </is>
      </c>
      <c r="CC4" s="81" t="inlineStr">
        <is>
          <t>ح</t>
        </is>
      </c>
      <c r="CD4" s="82" t="inlineStr">
        <is>
          <t>و</t>
        </is>
      </c>
      <c r="CE4" s="81" t="inlineStr">
        <is>
          <t>ح</t>
        </is>
      </c>
      <c r="CF4" s="82" t="inlineStr">
        <is>
          <t>و</t>
        </is>
      </c>
      <c r="CG4" s="81" t="inlineStr">
        <is>
          <t>ح</t>
        </is>
      </c>
      <c r="CH4" s="82" t="inlineStr">
        <is>
          <t>و</t>
        </is>
      </c>
      <c r="CI4" s="81" t="inlineStr">
        <is>
          <t>ح</t>
        </is>
      </c>
      <c r="CJ4" s="82" t="inlineStr">
        <is>
          <t>و</t>
        </is>
      </c>
      <c r="CK4" s="81" t="inlineStr">
        <is>
          <t>ح</t>
        </is>
      </c>
      <c r="CL4" s="82" t="inlineStr">
        <is>
          <t>و</t>
        </is>
      </c>
      <c r="CM4" s="82" t="inlineStr">
        <is>
          <t>دفع</t>
        </is>
      </c>
      <c r="CN4" s="83" t="inlineStr">
        <is>
          <t>ح</t>
        </is>
      </c>
      <c r="CO4" s="84" t="inlineStr">
        <is>
          <t>و</t>
        </is>
      </c>
      <c r="CP4" s="83" t="inlineStr">
        <is>
          <t>ح</t>
        </is>
      </c>
      <c r="CQ4" s="84" t="inlineStr">
        <is>
          <t>و</t>
        </is>
      </c>
      <c r="CR4" s="83" t="inlineStr">
        <is>
          <t>ح</t>
        </is>
      </c>
      <c r="CS4" s="84" t="inlineStr">
        <is>
          <t>و</t>
        </is>
      </c>
      <c r="CT4" s="83" t="inlineStr">
        <is>
          <t>ح</t>
        </is>
      </c>
      <c r="CU4" s="84" t="inlineStr">
        <is>
          <t>و</t>
        </is>
      </c>
      <c r="CV4" s="83" t="inlineStr">
        <is>
          <t>ح</t>
        </is>
      </c>
      <c r="CW4" s="84" t="inlineStr">
        <is>
          <t>و</t>
        </is>
      </c>
      <c r="CX4" s="83" t="inlineStr">
        <is>
          <t>ح</t>
        </is>
      </c>
      <c r="CY4" s="84" t="inlineStr">
        <is>
          <t>و</t>
        </is>
      </c>
      <c r="CZ4" s="83" t="inlineStr">
        <is>
          <t>ح</t>
        </is>
      </c>
      <c r="DA4" s="84" t="inlineStr">
        <is>
          <t>و</t>
        </is>
      </c>
      <c r="DB4" s="83" t="inlineStr">
        <is>
          <t>ح</t>
        </is>
      </c>
      <c r="DC4" s="84" t="inlineStr">
        <is>
          <t>و</t>
        </is>
      </c>
      <c r="DD4" s="84" t="inlineStr">
        <is>
          <t>دفع</t>
        </is>
      </c>
      <c r="DE4" s="85" t="inlineStr">
        <is>
          <t>ح</t>
        </is>
      </c>
      <c r="DF4" s="86" t="inlineStr">
        <is>
          <t>و</t>
        </is>
      </c>
      <c r="DG4" s="85" t="inlineStr">
        <is>
          <t>ح</t>
        </is>
      </c>
      <c r="DH4" s="86" t="inlineStr">
        <is>
          <t>و</t>
        </is>
      </c>
      <c r="DI4" s="85" t="inlineStr">
        <is>
          <t>ح</t>
        </is>
      </c>
      <c r="DJ4" s="86" t="inlineStr">
        <is>
          <t>و</t>
        </is>
      </c>
      <c r="DK4" s="85" t="inlineStr">
        <is>
          <t>ح</t>
        </is>
      </c>
      <c r="DL4" s="86" t="inlineStr">
        <is>
          <t>و</t>
        </is>
      </c>
      <c r="DM4" s="85" t="inlineStr">
        <is>
          <t>ح</t>
        </is>
      </c>
      <c r="DN4" s="86" t="inlineStr">
        <is>
          <t>و</t>
        </is>
      </c>
      <c r="DO4" s="85" t="inlineStr">
        <is>
          <t>ح</t>
        </is>
      </c>
      <c r="DP4" s="86" t="inlineStr">
        <is>
          <t>و</t>
        </is>
      </c>
      <c r="DQ4" s="85" t="inlineStr">
        <is>
          <t>ح</t>
        </is>
      </c>
      <c r="DR4" s="86" t="inlineStr">
        <is>
          <t>و</t>
        </is>
      </c>
      <c r="DS4" s="85" t="inlineStr">
        <is>
          <t>ح</t>
        </is>
      </c>
      <c r="DT4" s="86" t="inlineStr">
        <is>
          <t>و</t>
        </is>
      </c>
      <c r="DU4" s="86" t="inlineStr">
        <is>
          <t>دفع</t>
        </is>
      </c>
      <c r="DV4" s="87" t="inlineStr">
        <is>
          <t>ح</t>
        </is>
      </c>
      <c r="DW4" s="88" t="inlineStr">
        <is>
          <t>و</t>
        </is>
      </c>
      <c r="DX4" s="87" t="inlineStr">
        <is>
          <t>ح</t>
        </is>
      </c>
      <c r="DY4" s="88" t="inlineStr">
        <is>
          <t>و</t>
        </is>
      </c>
      <c r="DZ4" s="87" t="inlineStr">
        <is>
          <t>ح</t>
        </is>
      </c>
      <c r="EA4" s="88" t="inlineStr">
        <is>
          <t>و</t>
        </is>
      </c>
      <c r="EB4" s="87" t="inlineStr">
        <is>
          <t>ح</t>
        </is>
      </c>
      <c r="EC4" s="88" t="inlineStr">
        <is>
          <t>و</t>
        </is>
      </c>
      <c r="ED4" s="87" t="inlineStr">
        <is>
          <t>ح</t>
        </is>
      </c>
      <c r="EE4" s="88" t="inlineStr">
        <is>
          <t>و</t>
        </is>
      </c>
      <c r="EF4" s="87" t="inlineStr">
        <is>
          <t>ح</t>
        </is>
      </c>
      <c r="EG4" s="88" t="inlineStr">
        <is>
          <t>و</t>
        </is>
      </c>
      <c r="EH4" s="87" t="inlineStr">
        <is>
          <t>ح</t>
        </is>
      </c>
      <c r="EI4" s="88" t="inlineStr">
        <is>
          <t>و</t>
        </is>
      </c>
      <c r="EJ4" s="87" t="inlineStr">
        <is>
          <t>ح</t>
        </is>
      </c>
      <c r="EK4" s="88" t="inlineStr">
        <is>
          <t>و</t>
        </is>
      </c>
      <c r="EL4" s="88" t="inlineStr">
        <is>
          <t>دفع</t>
        </is>
      </c>
      <c r="EM4" s="89" t="inlineStr">
        <is>
          <t>ح</t>
        </is>
      </c>
      <c r="EN4" s="90" t="inlineStr">
        <is>
          <t>و</t>
        </is>
      </c>
      <c r="EO4" s="89" t="inlineStr">
        <is>
          <t>ح</t>
        </is>
      </c>
      <c r="EP4" s="90" t="inlineStr">
        <is>
          <t>و</t>
        </is>
      </c>
      <c r="EQ4" s="89" t="inlineStr">
        <is>
          <t>ح</t>
        </is>
      </c>
      <c r="ER4" s="90" t="inlineStr">
        <is>
          <t>و</t>
        </is>
      </c>
      <c r="ES4" s="89" t="inlineStr">
        <is>
          <t>ح</t>
        </is>
      </c>
      <c r="ET4" s="90" t="inlineStr">
        <is>
          <t>و</t>
        </is>
      </c>
      <c r="EU4" s="89" t="inlineStr">
        <is>
          <t>ح</t>
        </is>
      </c>
      <c r="EV4" s="90" t="inlineStr">
        <is>
          <t>و</t>
        </is>
      </c>
      <c r="EW4" s="89" t="inlineStr">
        <is>
          <t>ح</t>
        </is>
      </c>
      <c r="EX4" s="90" t="inlineStr">
        <is>
          <t>و</t>
        </is>
      </c>
      <c r="EY4" s="89" t="inlineStr">
        <is>
          <t>ح</t>
        </is>
      </c>
      <c r="EZ4" s="90" t="inlineStr">
        <is>
          <t>و</t>
        </is>
      </c>
      <c r="FA4" s="89" t="inlineStr">
        <is>
          <t>ح</t>
        </is>
      </c>
      <c r="FB4" s="90" t="inlineStr">
        <is>
          <t>و</t>
        </is>
      </c>
      <c r="FC4" s="90" t="inlineStr">
        <is>
          <t>دفع</t>
        </is>
      </c>
      <c r="FD4" s="91" t="inlineStr">
        <is>
          <t>ح</t>
        </is>
      </c>
      <c r="FE4" s="92" t="inlineStr">
        <is>
          <t>و</t>
        </is>
      </c>
      <c r="FF4" s="91" t="inlineStr">
        <is>
          <t>ح</t>
        </is>
      </c>
      <c r="FG4" s="92" t="inlineStr">
        <is>
          <t>و</t>
        </is>
      </c>
      <c r="FH4" s="91" t="inlineStr">
        <is>
          <t>ح</t>
        </is>
      </c>
      <c r="FI4" s="92" t="inlineStr">
        <is>
          <t>و</t>
        </is>
      </c>
      <c r="FJ4" s="91" t="inlineStr">
        <is>
          <t>ح</t>
        </is>
      </c>
      <c r="FK4" s="92" t="inlineStr">
        <is>
          <t>و</t>
        </is>
      </c>
      <c r="FL4" s="91" t="inlineStr">
        <is>
          <t>ح</t>
        </is>
      </c>
      <c r="FM4" s="92" t="inlineStr">
        <is>
          <t>و</t>
        </is>
      </c>
      <c r="FN4" s="91" t="inlineStr">
        <is>
          <t>ح</t>
        </is>
      </c>
      <c r="FO4" s="92" t="inlineStr">
        <is>
          <t>و</t>
        </is>
      </c>
      <c r="FP4" s="91" t="inlineStr">
        <is>
          <t>ح</t>
        </is>
      </c>
      <c r="FQ4" s="92" t="inlineStr">
        <is>
          <t>و</t>
        </is>
      </c>
      <c r="FR4" s="91" t="inlineStr">
        <is>
          <t>ح</t>
        </is>
      </c>
      <c r="FS4" s="92" t="inlineStr">
        <is>
          <t>و</t>
        </is>
      </c>
      <c r="FT4" s="92" t="inlineStr">
        <is>
          <t>دفع</t>
        </is>
      </c>
      <c r="FU4" s="93" t="inlineStr">
        <is>
          <t>ح</t>
        </is>
      </c>
      <c r="FV4" s="94" t="inlineStr">
        <is>
          <t>و</t>
        </is>
      </c>
      <c r="FW4" s="93" t="inlineStr">
        <is>
          <t>ح</t>
        </is>
      </c>
      <c r="FX4" s="94" t="inlineStr">
        <is>
          <t>و</t>
        </is>
      </c>
      <c r="FY4" s="93" t="inlineStr">
        <is>
          <t>ح</t>
        </is>
      </c>
      <c r="FZ4" s="94" t="inlineStr">
        <is>
          <t>و</t>
        </is>
      </c>
      <c r="GA4" s="93" t="inlineStr">
        <is>
          <t>ح</t>
        </is>
      </c>
      <c r="GB4" s="94" t="inlineStr">
        <is>
          <t>و</t>
        </is>
      </c>
      <c r="GC4" s="93" t="inlineStr">
        <is>
          <t>ح</t>
        </is>
      </c>
      <c r="GD4" s="94" t="inlineStr">
        <is>
          <t>و</t>
        </is>
      </c>
      <c r="GE4" s="93" t="inlineStr">
        <is>
          <t>ح</t>
        </is>
      </c>
      <c r="GF4" s="94" t="inlineStr">
        <is>
          <t>و</t>
        </is>
      </c>
      <c r="GG4" s="93" t="inlineStr">
        <is>
          <t>ح</t>
        </is>
      </c>
      <c r="GH4" s="94" t="inlineStr">
        <is>
          <t>و</t>
        </is>
      </c>
      <c r="GI4" s="93" t="inlineStr">
        <is>
          <t>ح</t>
        </is>
      </c>
      <c r="GJ4" s="94" t="inlineStr">
        <is>
          <t>و</t>
        </is>
      </c>
      <c r="GK4" s="94" t="inlineStr">
        <is>
          <t>دفع</t>
        </is>
      </c>
      <c r="GL4" s="95" t="inlineStr">
        <is>
          <t>ح</t>
        </is>
      </c>
      <c r="GM4" s="96" t="inlineStr">
        <is>
          <t>و</t>
        </is>
      </c>
      <c r="GN4" s="95" t="inlineStr">
        <is>
          <t>ح</t>
        </is>
      </c>
      <c r="GO4" s="96" t="inlineStr">
        <is>
          <t>و</t>
        </is>
      </c>
      <c r="GP4" s="95" t="inlineStr">
        <is>
          <t>ح</t>
        </is>
      </c>
      <c r="GQ4" s="96" t="inlineStr">
        <is>
          <t>و</t>
        </is>
      </c>
      <c r="GR4" s="95" t="inlineStr">
        <is>
          <t>ح</t>
        </is>
      </c>
      <c r="GS4" s="96" t="inlineStr">
        <is>
          <t>و</t>
        </is>
      </c>
      <c r="GT4" s="95" t="inlineStr">
        <is>
          <t>ح</t>
        </is>
      </c>
      <c r="GU4" s="96" t="inlineStr">
        <is>
          <t>و</t>
        </is>
      </c>
      <c r="GV4" s="95" t="inlineStr">
        <is>
          <t>ح</t>
        </is>
      </c>
      <c r="GW4" s="96" t="inlineStr">
        <is>
          <t>و</t>
        </is>
      </c>
      <c r="GX4" s="95" t="inlineStr">
        <is>
          <t>ح</t>
        </is>
      </c>
      <c r="GY4" s="96" t="inlineStr">
        <is>
          <t>و</t>
        </is>
      </c>
      <c r="GZ4" s="95" t="inlineStr">
        <is>
          <t>ح</t>
        </is>
      </c>
      <c r="HA4" s="96" t="inlineStr">
        <is>
          <t>و</t>
        </is>
      </c>
      <c r="HB4" s="96" t="inlineStr">
        <is>
          <t>دفع</t>
        </is>
      </c>
      <c r="HF4" t="str">
        <f>IF($HF$1="","",IF($HF$1=0,"النهارده",IF($HF$1=1,"بكرة",INDEX('حسابات'!$A$2:$A$8,MATCH(WEEKDAY($HF$2),'حسابات'!$B$2:$B$8,0))))&amp;" "&amp;DAY($HF$2)&amp;"/"&amp;MONTH($HF$2)&amp;IF($HF$3=0,"",IF(INDEX('المواعيد'!$C$5:$C$34,$HF$3)="",""," – "&amp;INDEX('المواعيد'!$C$5:$C$34,$HF$3))))</f>
        <v/>
      </c>
    </row>
    <row r="5" ht="22.5" customHeight="1">
      <c r="A5" s="36" t="n">
        <v>1</v>
      </c>
      <c r="B5" s="97" t="n"/>
      <c r="C5" s="28" t="n"/>
      <c r="D5" s="98" t="str">
        <f>IF($B5="","",IF($HC5=97,"-",IF($HD5=0,"متوقف",SUMPRODUCT(($G$4:$HB$4="ح")*($G$20:$HB$20&gt;0)*($G5:$HB5&lt;&gt;TRUE)*($G$47:$HB$47&gt;$HC$1-8)*($G$47:$HB$47&gt;=$HC5)))))</f>
        <v/>
      </c>
      <c r="E5" s="98" t="str">
        <f>IF(OR($B5="",$HC5=97),"",SUMPRODUCT(($G$4:$HA$4="ح")*($G5:$HA5=TRUE)*($H5:$HB5&lt;&gt;TRUE)*($G$47:$HA$47&gt;$HC$1-8)))</f>
        <v/>
      </c>
      <c r="F5" s="99" t="str">
        <f>IF($B5="","",IF($HE5=0,IF($HC5=97,"-","تمام"),IF($HE5=1,IF(INDEX($G$1:$HB$1,1,17*($HF5-1)+1)="","شهر "&amp;$HF5,INDEX($G$1:$HB$1,1,17*($HF5-1)+1)),IF($HE5=2,"شهرين",$HE5&amp;" شهور"))))</f>
        <v/>
      </c>
      <c r="G5" s="100" t="n"/>
      <c r="H5" s="101" t="n"/>
      <c r="I5" s="100" t="n"/>
      <c r="J5" s="101" t="n"/>
      <c r="K5" s="100" t="n"/>
      <c r="L5" s="101" t="n"/>
      <c r="M5" s="100" t="n"/>
      <c r="N5" s="101" t="n"/>
      <c r="O5" s="100" t="n"/>
      <c r="P5" s="101" t="n"/>
      <c r="Q5" s="100" t="n"/>
      <c r="R5" s="101" t="n"/>
      <c r="S5" s="100" t="n"/>
      <c r="T5" s="101" t="n"/>
      <c r="U5" s="100" t="n"/>
      <c r="V5" s="101" t="n"/>
      <c r="W5" s="102" t="n"/>
      <c r="X5" s="103" t="n"/>
      <c r="Y5" s="104" t="n"/>
      <c r="Z5" s="103" t="n"/>
      <c r="AA5" s="104" t="n"/>
      <c r="AB5" s="103" t="n"/>
      <c r="AC5" s="104" t="n"/>
      <c r="AD5" s="103" t="n"/>
      <c r="AE5" s="104" t="n"/>
      <c r="AF5" s="103" t="n"/>
      <c r="AG5" s="104" t="n"/>
      <c r="AH5" s="103" t="n"/>
      <c r="AI5" s="104" t="n"/>
      <c r="AJ5" s="103" t="n"/>
      <c r="AK5" s="104" t="n"/>
      <c r="AL5" s="103" t="n"/>
      <c r="AM5" s="104" t="n"/>
      <c r="AN5" s="105" t="n"/>
      <c r="AO5" s="106" t="n"/>
      <c r="AP5" s="107" t="n"/>
      <c r="AQ5" s="106" t="n"/>
      <c r="AR5" s="107" t="n"/>
      <c r="AS5" s="106" t="n"/>
      <c r="AT5" s="107" t="n"/>
      <c r="AU5" s="106" t="n"/>
      <c r="AV5" s="107" t="n"/>
      <c r="AW5" s="106" t="n"/>
      <c r="AX5" s="107" t="n"/>
      <c r="AY5" s="106" t="n"/>
      <c r="AZ5" s="107" t="n"/>
      <c r="BA5" s="106" t="n"/>
      <c r="BB5" s="107" t="n"/>
      <c r="BC5" s="106" t="n"/>
      <c r="BD5" s="107" t="n"/>
      <c r="BE5" s="108" t="n"/>
      <c r="BF5" s="109" t="n"/>
      <c r="BG5" s="110" t="n"/>
      <c r="BH5" s="109" t="n"/>
      <c r="BI5" s="110" t="n"/>
      <c r="BJ5" s="109" t="n"/>
      <c r="BK5" s="110" t="n"/>
      <c r="BL5" s="109" t="n"/>
      <c r="BM5" s="110" t="n"/>
      <c r="BN5" s="109" t="n"/>
      <c r="BO5" s="110" t="n"/>
      <c r="BP5" s="109" t="n"/>
      <c r="BQ5" s="110" t="n"/>
      <c r="BR5" s="109" t="n"/>
      <c r="BS5" s="110" t="n"/>
      <c r="BT5" s="109" t="n"/>
      <c r="BU5" s="110" t="n"/>
      <c r="BV5" s="111" t="n"/>
      <c r="BW5" s="112" t="n"/>
      <c r="BX5" s="113" t="n"/>
      <c r="BY5" s="112" t="n"/>
      <c r="BZ5" s="113" t="n"/>
      <c r="CA5" s="112" t="n"/>
      <c r="CB5" s="113" t="n"/>
      <c r="CC5" s="112" t="n"/>
      <c r="CD5" s="113" t="n"/>
      <c r="CE5" s="112" t="n"/>
      <c r="CF5" s="113" t="n"/>
      <c r="CG5" s="112" t="n"/>
      <c r="CH5" s="113" t="n"/>
      <c r="CI5" s="112" t="n"/>
      <c r="CJ5" s="113" t="n"/>
      <c r="CK5" s="112" t="n"/>
      <c r="CL5" s="113" t="n"/>
      <c r="CM5" s="114" t="n"/>
      <c r="CN5" s="115" t="n"/>
      <c r="CO5" s="116" t="n"/>
      <c r="CP5" s="115" t="n"/>
      <c r="CQ5" s="116" t="n"/>
      <c r="CR5" s="115" t="n"/>
      <c r="CS5" s="116" t="n"/>
      <c r="CT5" s="115" t="n"/>
      <c r="CU5" s="116" t="n"/>
      <c r="CV5" s="115" t="n"/>
      <c r="CW5" s="116" t="n"/>
      <c r="CX5" s="115" t="n"/>
      <c r="CY5" s="116" t="n"/>
      <c r="CZ5" s="115" t="n"/>
      <c r="DA5" s="116" t="n"/>
      <c r="DB5" s="115" t="n"/>
      <c r="DC5" s="116" t="n"/>
      <c r="DD5" s="117" t="n"/>
      <c r="DE5" s="118" t="n"/>
      <c r="DF5" s="119" t="n"/>
      <c r="DG5" s="118" t="n"/>
      <c r="DH5" s="119" t="n"/>
      <c r="DI5" s="118" t="n"/>
      <c r="DJ5" s="119" t="n"/>
      <c r="DK5" s="118" t="n"/>
      <c r="DL5" s="119" t="n"/>
      <c r="DM5" s="118" t="n"/>
      <c r="DN5" s="119" t="n"/>
      <c r="DO5" s="118" t="n"/>
      <c r="DP5" s="119" t="n"/>
      <c r="DQ5" s="118" t="n"/>
      <c r="DR5" s="119" t="n"/>
      <c r="DS5" s="118" t="n"/>
      <c r="DT5" s="119" t="n"/>
      <c r="DU5" s="120" t="n"/>
      <c r="DV5" s="121" t="n"/>
      <c r="DW5" s="122" t="n"/>
      <c r="DX5" s="121" t="n"/>
      <c r="DY5" s="122" t="n"/>
      <c r="DZ5" s="121" t="n"/>
      <c r="EA5" s="122" t="n"/>
      <c r="EB5" s="121" t="n"/>
      <c r="EC5" s="122" t="n"/>
      <c r="ED5" s="121" t="n"/>
      <c r="EE5" s="122" t="n"/>
      <c r="EF5" s="121" t="n"/>
      <c r="EG5" s="122" t="n"/>
      <c r="EH5" s="121" t="n"/>
      <c r="EI5" s="122" t="n"/>
      <c r="EJ5" s="121" t="n"/>
      <c r="EK5" s="122" t="n"/>
      <c r="EL5" s="123" t="n"/>
      <c r="EM5" s="124" t="n"/>
      <c r="EN5" s="125" t="n"/>
      <c r="EO5" s="124" t="n"/>
      <c r="EP5" s="125" t="n"/>
      <c r="EQ5" s="124" t="n"/>
      <c r="ER5" s="125" t="n"/>
      <c r="ES5" s="124" t="n"/>
      <c r="ET5" s="125" t="n"/>
      <c r="EU5" s="124" t="n"/>
      <c r="EV5" s="125" t="n"/>
      <c r="EW5" s="124" t="n"/>
      <c r="EX5" s="125" t="n"/>
      <c r="EY5" s="124" t="n"/>
      <c r="EZ5" s="125" t="n"/>
      <c r="FA5" s="124" t="n"/>
      <c r="FB5" s="125" t="n"/>
      <c r="FC5" s="126" t="n"/>
      <c r="FD5" s="127" t="n"/>
      <c r="FE5" s="128" t="n"/>
      <c r="FF5" s="127" t="n"/>
      <c r="FG5" s="128" t="n"/>
      <c r="FH5" s="127" t="n"/>
      <c r="FI5" s="128" t="n"/>
      <c r="FJ5" s="127" t="n"/>
      <c r="FK5" s="128" t="n"/>
      <c r="FL5" s="127" t="n"/>
      <c r="FM5" s="128" t="n"/>
      <c r="FN5" s="127" t="n"/>
      <c r="FO5" s="128" t="n"/>
      <c r="FP5" s="127" t="n"/>
      <c r="FQ5" s="128" t="n"/>
      <c r="FR5" s="127" t="n"/>
      <c r="FS5" s="128" t="n"/>
      <c r="FT5" s="129" t="n"/>
      <c r="FU5" s="130" t="n"/>
      <c r="FV5" s="131" t="n"/>
      <c r="FW5" s="130" t="n"/>
      <c r="FX5" s="131" t="n"/>
      <c r="FY5" s="130" t="n"/>
      <c r="FZ5" s="131" t="n"/>
      <c r="GA5" s="130" t="n"/>
      <c r="GB5" s="131" t="n"/>
      <c r="GC5" s="130" t="n"/>
      <c r="GD5" s="131" t="n"/>
      <c r="GE5" s="130" t="n"/>
      <c r="GF5" s="131" t="n"/>
      <c r="GG5" s="130" t="n"/>
      <c r="GH5" s="131" t="n"/>
      <c r="GI5" s="130" t="n"/>
      <c r="GJ5" s="131" t="n"/>
      <c r="GK5" s="132" t="n"/>
      <c r="GL5" s="133" t="n"/>
      <c r="GM5" s="134" t="n"/>
      <c r="GN5" s="133" t="n"/>
      <c r="GO5" s="134" t="n"/>
      <c r="GP5" s="133" t="n"/>
      <c r="GQ5" s="134" t="n"/>
      <c r="GR5" s="133" t="n"/>
      <c r="GS5" s="134" t="n"/>
      <c r="GT5" s="133" t="n"/>
      <c r="GU5" s="134" t="n"/>
      <c r="GV5" s="133" t="n"/>
      <c r="GW5" s="134" t="n"/>
      <c r="GX5" s="133" t="n"/>
      <c r="GY5" s="134" t="n"/>
      <c r="GZ5" s="133" t="n"/>
      <c r="HA5" s="134" t="n"/>
      <c r="HB5" s="135" t="n"/>
      <c r="HC5">
        <f>97-SUMPRODUCT(MAX(($G$4:$HB$4="ح")*($G5:$HB5=TRUE)*(97-$G$47:$HB$47)))</f>
        <v>97</v>
      </c>
      <c r="HD5">
        <f>SUMPRODUCT(($G$4:$HB$4="ح")*($G5:$HB5=TRUE)*($G$47:$HB$47&gt;$HC$1-8))</f>
        <v>0</v>
      </c>
      <c r="HE5">
        <f>(COUNTIF($G5:$V5,TRUE)&gt;0)*($W5&lt;&gt;TRUE)+(COUNTIF($X5:$AM5,TRUE)&gt;0)*($AN5&lt;&gt;TRUE)+(COUNTIF($AO5:$BD5,TRUE)&gt;0)*($BE5&lt;&gt;TRUE)+(COUNTIF($BF5:$BU5,TRUE)&gt;0)*($BV5&lt;&gt;TRUE)+(COUNTIF($BW5:$CL5,TRUE)&gt;0)*($CM5&lt;&gt;TRUE)+(COUNTIF($CN5:$DC5,TRUE)&gt;0)*($DD5&lt;&gt;TRUE)+(COUNTIF($DE5:$DT5,TRUE)&gt;0)*($DU5&lt;&gt;TRUE)+(COUNTIF($DV5:$EK5,TRUE)&gt;0)*($EL5&lt;&gt;TRUE)+(COUNTIF($EM5:$FB5,TRUE)&gt;0)*($FC5&lt;&gt;TRUE)+(COUNTIF($FD5:$FS5,TRUE)&gt;0)*($FT5&lt;&gt;TRUE)+(COUNTIF($FU5:$GJ5,TRUE)&gt;0)*($GK5&lt;&gt;TRUE)+(COUNTIF($GL5:$HA5,TRUE)&gt;0)*($HB5&lt;&gt;TRUE)</f>
        <v>0</v>
      </c>
      <c r="HF5">
        <f>IF($HE5=0,0,13-MAX((COUNTIF($G5:$V5,TRUE)&gt;0)*($W5&lt;&gt;TRUE)*12,(COUNTIF($X5:$AM5,TRUE)&gt;0)*($AN5&lt;&gt;TRUE)*11,(COUNTIF($AO5:$BD5,TRUE)&gt;0)*($BE5&lt;&gt;TRUE)*10,(COUNTIF($BF5:$BU5,TRUE)&gt;0)*($BV5&lt;&gt;TRUE)*9,(COUNTIF($BW5:$CL5,TRUE)&gt;0)*($CM5&lt;&gt;TRUE)*8,(COUNTIF($CN5:$DC5,TRUE)&gt;0)*($DD5&lt;&gt;TRUE)*7,(COUNTIF($DE5:$DT5,TRUE)&gt;0)*($DU5&lt;&gt;TRUE)*6,(COUNTIF($DV5:$EK5,TRUE)&gt;0)*($EL5&lt;&gt;TRUE)*5,(COUNTIF($EM5:$FB5,TRUE)&gt;0)*($FC5&lt;&gt;TRUE)*4,(COUNTIF($FD5:$FS5,TRUE)&gt;0)*($FT5&lt;&gt;TRUE)*3,(COUNTIF($FU5:$GJ5,TRUE)&gt;0)*($GK5&lt;&gt;TRUE)*2,(COUNTIF($GL5:$HA5,TRUE)&gt;0)*($HB5&lt;&gt;TRUE)*1))</f>
        <v>0</v>
      </c>
    </row>
    <row r="6" ht="22.5" customHeight="1">
      <c r="A6" s="36" t="n">
        <v>2</v>
      </c>
      <c r="B6" s="97" t="n"/>
      <c r="C6" s="28" t="n"/>
      <c r="D6" s="98" t="str">
        <f>IF($B6="","",IF($HC6=97,"-",IF($HD6=0,"متوقف",SUMPRODUCT(($G$4:$HB$4="ح")*($G$20:$HB$20&gt;0)*($G6:$HB6&lt;&gt;TRUE)*($G$47:$HB$47&gt;$HC$1-8)*($G$47:$HB$47&gt;=$HC6)))))</f>
        <v/>
      </c>
      <c r="E6" s="98" t="str">
        <f>IF(OR($B6="",$HC6=97),"",SUMPRODUCT(($G$4:$HA$4="ح")*($G6:$HA6=TRUE)*($H6:$HB6&lt;&gt;TRUE)*($G$47:$HA$47&gt;$HC$1-8)))</f>
        <v/>
      </c>
      <c r="F6" s="99" t="str">
        <f>IF($B6="","",IF($HE6=0,IF($HC6=97,"-","تمام"),IF($HE6=1,IF(INDEX($G$1:$HB$1,1,17*($HF6-1)+1)="","شهر "&amp;$HF6,INDEX($G$1:$HB$1,1,17*($HF6-1)+1)),IF($HE6=2,"شهرين",$HE6&amp;" شهور"))))</f>
        <v/>
      </c>
      <c r="G6" s="100" t="n"/>
      <c r="H6" s="101" t="n"/>
      <c r="I6" s="100" t="n"/>
      <c r="J6" s="101" t="n"/>
      <c r="K6" s="100" t="n"/>
      <c r="L6" s="101" t="n"/>
      <c r="M6" s="100" t="n"/>
      <c r="N6" s="101" t="n"/>
      <c r="O6" s="100" t="n"/>
      <c r="P6" s="101" t="n"/>
      <c r="Q6" s="100" t="n"/>
      <c r="R6" s="101" t="n"/>
      <c r="S6" s="100" t="n"/>
      <c r="T6" s="101" t="n"/>
      <c r="U6" s="100" t="n"/>
      <c r="V6" s="101" t="n"/>
      <c r="W6" s="102" t="n"/>
      <c r="X6" s="103" t="n"/>
      <c r="Y6" s="104" t="n"/>
      <c r="Z6" s="103" t="n"/>
      <c r="AA6" s="104" t="n"/>
      <c r="AB6" s="103" t="n"/>
      <c r="AC6" s="104" t="n"/>
      <c r="AD6" s="103" t="n"/>
      <c r="AE6" s="104" t="n"/>
      <c r="AF6" s="103" t="n"/>
      <c r="AG6" s="104" t="n"/>
      <c r="AH6" s="103" t="n"/>
      <c r="AI6" s="104" t="n"/>
      <c r="AJ6" s="103" t="n"/>
      <c r="AK6" s="104" t="n"/>
      <c r="AL6" s="103" t="n"/>
      <c r="AM6" s="104" t="n"/>
      <c r="AN6" s="105" t="n"/>
      <c r="AO6" s="106" t="n"/>
      <c r="AP6" s="107" t="n"/>
      <c r="AQ6" s="106" t="n"/>
      <c r="AR6" s="107" t="n"/>
      <c r="AS6" s="106" t="n"/>
      <c r="AT6" s="107" t="n"/>
      <c r="AU6" s="106" t="n"/>
      <c r="AV6" s="107" t="n"/>
      <c r="AW6" s="106" t="n"/>
      <c r="AX6" s="107" t="n"/>
      <c r="AY6" s="106" t="n"/>
      <c r="AZ6" s="107" t="n"/>
      <c r="BA6" s="106" t="n"/>
      <c r="BB6" s="107" t="n"/>
      <c r="BC6" s="106" t="n"/>
      <c r="BD6" s="107" t="n"/>
      <c r="BE6" s="108" t="n"/>
      <c r="BF6" s="109" t="n"/>
      <c r="BG6" s="110" t="n"/>
      <c r="BH6" s="109" t="n"/>
      <c r="BI6" s="110" t="n"/>
      <c r="BJ6" s="109" t="n"/>
      <c r="BK6" s="110" t="n"/>
      <c r="BL6" s="109" t="n"/>
      <c r="BM6" s="110" t="n"/>
      <c r="BN6" s="109" t="n"/>
      <c r="BO6" s="110" t="n"/>
      <c r="BP6" s="109" t="n"/>
      <c r="BQ6" s="110" t="n"/>
      <c r="BR6" s="109" t="n"/>
      <c r="BS6" s="110" t="n"/>
      <c r="BT6" s="109" t="n"/>
      <c r="BU6" s="110" t="n"/>
      <c r="BV6" s="111" t="n"/>
      <c r="BW6" s="112" t="n"/>
      <c r="BX6" s="113" t="n"/>
      <c r="BY6" s="112" t="n"/>
      <c r="BZ6" s="113" t="n"/>
      <c r="CA6" s="112" t="n"/>
      <c r="CB6" s="113" t="n"/>
      <c r="CC6" s="112" t="n"/>
      <c r="CD6" s="113" t="n"/>
      <c r="CE6" s="112" t="n"/>
      <c r="CF6" s="113" t="n"/>
      <c r="CG6" s="112" t="n"/>
      <c r="CH6" s="113" t="n"/>
      <c r="CI6" s="112" t="n"/>
      <c r="CJ6" s="113" t="n"/>
      <c r="CK6" s="112" t="n"/>
      <c r="CL6" s="113" t="n"/>
      <c r="CM6" s="114" t="n"/>
      <c r="CN6" s="115" t="n"/>
      <c r="CO6" s="116" t="n"/>
      <c r="CP6" s="115" t="n"/>
      <c r="CQ6" s="116" t="n"/>
      <c r="CR6" s="115" t="n"/>
      <c r="CS6" s="116" t="n"/>
      <c r="CT6" s="115" t="n"/>
      <c r="CU6" s="116" t="n"/>
      <c r="CV6" s="115" t="n"/>
      <c r="CW6" s="116" t="n"/>
      <c r="CX6" s="115" t="n"/>
      <c r="CY6" s="116" t="n"/>
      <c r="CZ6" s="115" t="n"/>
      <c r="DA6" s="116" t="n"/>
      <c r="DB6" s="115" t="n"/>
      <c r="DC6" s="116" t="n"/>
      <c r="DD6" s="117" t="n"/>
      <c r="DE6" s="118" t="n"/>
      <c r="DF6" s="119" t="n"/>
      <c r="DG6" s="118" t="n"/>
      <c r="DH6" s="119" t="n"/>
      <c r="DI6" s="118" t="n"/>
      <c r="DJ6" s="119" t="n"/>
      <c r="DK6" s="118" t="n"/>
      <c r="DL6" s="119" t="n"/>
      <c r="DM6" s="118" t="n"/>
      <c r="DN6" s="119" t="n"/>
      <c r="DO6" s="118" t="n"/>
      <c r="DP6" s="119" t="n"/>
      <c r="DQ6" s="118" t="n"/>
      <c r="DR6" s="119" t="n"/>
      <c r="DS6" s="118" t="n"/>
      <c r="DT6" s="119" t="n"/>
      <c r="DU6" s="120" t="n"/>
      <c r="DV6" s="121" t="n"/>
      <c r="DW6" s="122" t="n"/>
      <c r="DX6" s="121" t="n"/>
      <c r="DY6" s="122" t="n"/>
      <c r="DZ6" s="121" t="n"/>
      <c r="EA6" s="122" t="n"/>
      <c r="EB6" s="121" t="n"/>
      <c r="EC6" s="122" t="n"/>
      <c r="ED6" s="121" t="n"/>
      <c r="EE6" s="122" t="n"/>
      <c r="EF6" s="121" t="n"/>
      <c r="EG6" s="122" t="n"/>
      <c r="EH6" s="121" t="n"/>
      <c r="EI6" s="122" t="n"/>
      <c r="EJ6" s="121" t="n"/>
      <c r="EK6" s="122" t="n"/>
      <c r="EL6" s="123" t="n"/>
      <c r="EM6" s="124" t="n"/>
      <c r="EN6" s="125" t="n"/>
      <c r="EO6" s="124" t="n"/>
      <c r="EP6" s="125" t="n"/>
      <c r="EQ6" s="124" t="n"/>
      <c r="ER6" s="125" t="n"/>
      <c r="ES6" s="124" t="n"/>
      <c r="ET6" s="125" t="n"/>
      <c r="EU6" s="124" t="n"/>
      <c r="EV6" s="125" t="n"/>
      <c r="EW6" s="124" t="n"/>
      <c r="EX6" s="125" t="n"/>
      <c r="EY6" s="124" t="n"/>
      <c r="EZ6" s="125" t="n"/>
      <c r="FA6" s="124" t="n"/>
      <c r="FB6" s="125" t="n"/>
      <c r="FC6" s="126" t="n"/>
      <c r="FD6" s="127" t="n"/>
      <c r="FE6" s="128" t="n"/>
      <c r="FF6" s="127" t="n"/>
      <c r="FG6" s="128" t="n"/>
      <c r="FH6" s="127" t="n"/>
      <c r="FI6" s="128" t="n"/>
      <c r="FJ6" s="127" t="n"/>
      <c r="FK6" s="128" t="n"/>
      <c r="FL6" s="127" t="n"/>
      <c r="FM6" s="128" t="n"/>
      <c r="FN6" s="127" t="n"/>
      <c r="FO6" s="128" t="n"/>
      <c r="FP6" s="127" t="n"/>
      <c r="FQ6" s="128" t="n"/>
      <c r="FR6" s="127" t="n"/>
      <c r="FS6" s="128" t="n"/>
      <c r="FT6" s="129" t="n"/>
      <c r="FU6" s="130" t="n"/>
      <c r="FV6" s="131" t="n"/>
      <c r="FW6" s="130" t="n"/>
      <c r="FX6" s="131" t="n"/>
      <c r="FY6" s="130" t="n"/>
      <c r="FZ6" s="131" t="n"/>
      <c r="GA6" s="130" t="n"/>
      <c r="GB6" s="131" t="n"/>
      <c r="GC6" s="130" t="n"/>
      <c r="GD6" s="131" t="n"/>
      <c r="GE6" s="130" t="n"/>
      <c r="GF6" s="131" t="n"/>
      <c r="GG6" s="130" t="n"/>
      <c r="GH6" s="131" t="n"/>
      <c r="GI6" s="130" t="n"/>
      <c r="GJ6" s="131" t="n"/>
      <c r="GK6" s="132" t="n"/>
      <c r="GL6" s="133" t="n"/>
      <c r="GM6" s="134" t="n"/>
      <c r="GN6" s="133" t="n"/>
      <c r="GO6" s="134" t="n"/>
      <c r="GP6" s="133" t="n"/>
      <c r="GQ6" s="134" t="n"/>
      <c r="GR6" s="133" t="n"/>
      <c r="GS6" s="134" t="n"/>
      <c r="GT6" s="133" t="n"/>
      <c r="GU6" s="134" t="n"/>
      <c r="GV6" s="133" t="n"/>
      <c r="GW6" s="134" t="n"/>
      <c r="GX6" s="133" t="n"/>
      <c r="GY6" s="134" t="n"/>
      <c r="GZ6" s="133" t="n"/>
      <c r="HA6" s="134" t="n"/>
      <c r="HB6" s="135" t="n"/>
      <c r="HC6">
        <f>97-SUMPRODUCT(MAX(($G$4:$HB$4="ح")*($G6:$HB6=TRUE)*(97-$G$47:$HB$47)))</f>
        <v>97</v>
      </c>
      <c r="HD6">
        <f>SUMPRODUCT(($G$4:$HB$4="ح")*($G6:$HB6=TRUE)*($G$47:$HB$47&gt;$HC$1-8))</f>
        <v>0</v>
      </c>
      <c r="HE6">
        <f>(COUNTIF($G6:$V6,TRUE)&gt;0)*($W6&lt;&gt;TRUE)+(COUNTIF($X6:$AM6,TRUE)&gt;0)*($AN6&lt;&gt;TRUE)+(COUNTIF($AO6:$BD6,TRUE)&gt;0)*($BE6&lt;&gt;TRUE)+(COUNTIF($BF6:$BU6,TRUE)&gt;0)*($BV6&lt;&gt;TRUE)+(COUNTIF($BW6:$CL6,TRUE)&gt;0)*($CM6&lt;&gt;TRUE)+(COUNTIF($CN6:$DC6,TRUE)&gt;0)*($DD6&lt;&gt;TRUE)+(COUNTIF($DE6:$DT6,TRUE)&gt;0)*($DU6&lt;&gt;TRUE)+(COUNTIF($DV6:$EK6,TRUE)&gt;0)*($EL6&lt;&gt;TRUE)+(COUNTIF($EM6:$FB6,TRUE)&gt;0)*($FC6&lt;&gt;TRUE)+(COUNTIF($FD6:$FS6,TRUE)&gt;0)*($FT6&lt;&gt;TRUE)+(COUNTIF($FU6:$GJ6,TRUE)&gt;0)*($GK6&lt;&gt;TRUE)+(COUNTIF($GL6:$HA6,TRUE)&gt;0)*($HB6&lt;&gt;TRUE)</f>
        <v>0</v>
      </c>
      <c r="HF6">
        <f>IF($HE6=0,0,13-MAX((COUNTIF($G6:$V6,TRUE)&gt;0)*($W6&lt;&gt;TRUE)*12,(COUNTIF($X6:$AM6,TRUE)&gt;0)*($AN6&lt;&gt;TRUE)*11,(COUNTIF($AO6:$BD6,TRUE)&gt;0)*($BE6&lt;&gt;TRUE)*10,(COUNTIF($BF6:$BU6,TRUE)&gt;0)*($BV6&lt;&gt;TRUE)*9,(COUNTIF($BW6:$CL6,TRUE)&gt;0)*($CM6&lt;&gt;TRUE)*8,(COUNTIF($CN6:$DC6,TRUE)&gt;0)*($DD6&lt;&gt;TRUE)*7,(COUNTIF($DE6:$DT6,TRUE)&gt;0)*($DU6&lt;&gt;TRUE)*6,(COUNTIF($DV6:$EK6,TRUE)&gt;0)*($EL6&lt;&gt;TRUE)*5,(COUNTIF($EM6:$FB6,TRUE)&gt;0)*($FC6&lt;&gt;TRUE)*4,(COUNTIF($FD6:$FS6,TRUE)&gt;0)*($FT6&lt;&gt;TRUE)*3,(COUNTIF($FU6:$GJ6,TRUE)&gt;0)*($GK6&lt;&gt;TRUE)*2,(COUNTIF($GL6:$HA6,TRUE)&gt;0)*($HB6&lt;&gt;TRUE)*1))</f>
        <v>0</v>
      </c>
    </row>
    <row r="7" ht="22.5" customHeight="1">
      <c r="A7" s="36" t="n">
        <v>3</v>
      </c>
      <c r="B7" s="97" t="n"/>
      <c r="C7" s="28" t="n"/>
      <c r="D7" s="98" t="str">
        <f>IF($B7="","",IF($HC7=97,"-",IF($HD7=0,"متوقف",SUMPRODUCT(($G$4:$HB$4="ح")*($G$20:$HB$20&gt;0)*($G7:$HB7&lt;&gt;TRUE)*($G$47:$HB$47&gt;$HC$1-8)*($G$47:$HB$47&gt;=$HC7)))))</f>
        <v/>
      </c>
      <c r="E7" s="98" t="str">
        <f>IF(OR($B7="",$HC7=97),"",SUMPRODUCT(($G$4:$HA$4="ح")*($G7:$HA7=TRUE)*($H7:$HB7&lt;&gt;TRUE)*($G$47:$HA$47&gt;$HC$1-8)))</f>
        <v/>
      </c>
      <c r="F7" s="99" t="str">
        <f>IF($B7="","",IF($HE7=0,IF($HC7=97,"-","تمام"),IF($HE7=1,IF(INDEX($G$1:$HB$1,1,17*($HF7-1)+1)="","شهر "&amp;$HF7,INDEX($G$1:$HB$1,1,17*($HF7-1)+1)),IF($HE7=2,"شهرين",$HE7&amp;" شهور"))))</f>
        <v/>
      </c>
      <c r="G7" s="100" t="n"/>
      <c r="H7" s="101" t="n"/>
      <c r="I7" s="100" t="n"/>
      <c r="J7" s="101" t="n"/>
      <c r="K7" s="100" t="n"/>
      <c r="L7" s="101" t="n"/>
      <c r="M7" s="100" t="n"/>
      <c r="N7" s="101" t="n"/>
      <c r="O7" s="100" t="n"/>
      <c r="P7" s="101" t="n"/>
      <c r="Q7" s="100" t="n"/>
      <c r="R7" s="101" t="n"/>
      <c r="S7" s="100" t="n"/>
      <c r="T7" s="101" t="n"/>
      <c r="U7" s="100" t="n"/>
      <c r="V7" s="101" t="n"/>
      <c r="W7" s="102" t="n"/>
      <c r="X7" s="103" t="n"/>
      <c r="Y7" s="104" t="n"/>
      <c r="Z7" s="103" t="n"/>
      <c r="AA7" s="104" t="n"/>
      <c r="AB7" s="103" t="n"/>
      <c r="AC7" s="104" t="n"/>
      <c r="AD7" s="103" t="n"/>
      <c r="AE7" s="104" t="n"/>
      <c r="AF7" s="103" t="n"/>
      <c r="AG7" s="104" t="n"/>
      <c r="AH7" s="103" t="n"/>
      <c r="AI7" s="104" t="n"/>
      <c r="AJ7" s="103" t="n"/>
      <c r="AK7" s="104" t="n"/>
      <c r="AL7" s="103" t="n"/>
      <c r="AM7" s="104" t="n"/>
      <c r="AN7" s="105" t="n"/>
      <c r="AO7" s="106" t="n"/>
      <c r="AP7" s="107" t="n"/>
      <c r="AQ7" s="106" t="n"/>
      <c r="AR7" s="107" t="n"/>
      <c r="AS7" s="106" t="n"/>
      <c r="AT7" s="107" t="n"/>
      <c r="AU7" s="106" t="n"/>
      <c r="AV7" s="107" t="n"/>
      <c r="AW7" s="106" t="n"/>
      <c r="AX7" s="107" t="n"/>
      <c r="AY7" s="106" t="n"/>
      <c r="AZ7" s="107" t="n"/>
      <c r="BA7" s="106" t="n"/>
      <c r="BB7" s="107" t="n"/>
      <c r="BC7" s="106" t="n"/>
      <c r="BD7" s="107" t="n"/>
      <c r="BE7" s="108" t="n"/>
      <c r="BF7" s="109" t="n"/>
      <c r="BG7" s="110" t="n"/>
      <c r="BH7" s="109" t="n"/>
      <c r="BI7" s="110" t="n"/>
      <c r="BJ7" s="109" t="n"/>
      <c r="BK7" s="110" t="n"/>
      <c r="BL7" s="109" t="n"/>
      <c r="BM7" s="110" t="n"/>
      <c r="BN7" s="109" t="n"/>
      <c r="BO7" s="110" t="n"/>
      <c r="BP7" s="109" t="n"/>
      <c r="BQ7" s="110" t="n"/>
      <c r="BR7" s="109" t="n"/>
      <c r="BS7" s="110" t="n"/>
      <c r="BT7" s="109" t="n"/>
      <c r="BU7" s="110" t="n"/>
      <c r="BV7" s="111" t="n"/>
      <c r="BW7" s="112" t="n"/>
      <c r="BX7" s="113" t="n"/>
      <c r="BY7" s="112" t="n"/>
      <c r="BZ7" s="113" t="n"/>
      <c r="CA7" s="112" t="n"/>
      <c r="CB7" s="113" t="n"/>
      <c r="CC7" s="112" t="n"/>
      <c r="CD7" s="113" t="n"/>
      <c r="CE7" s="112" t="n"/>
      <c r="CF7" s="113" t="n"/>
      <c r="CG7" s="112" t="n"/>
      <c r="CH7" s="113" t="n"/>
      <c r="CI7" s="112" t="n"/>
      <c r="CJ7" s="113" t="n"/>
      <c r="CK7" s="112" t="n"/>
      <c r="CL7" s="113" t="n"/>
      <c r="CM7" s="114" t="n"/>
      <c r="CN7" s="115" t="n"/>
      <c r="CO7" s="116" t="n"/>
      <c r="CP7" s="115" t="n"/>
      <c r="CQ7" s="116" t="n"/>
      <c r="CR7" s="115" t="n"/>
      <c r="CS7" s="116" t="n"/>
      <c r="CT7" s="115" t="n"/>
      <c r="CU7" s="116" t="n"/>
      <c r="CV7" s="115" t="n"/>
      <c r="CW7" s="116" t="n"/>
      <c r="CX7" s="115" t="n"/>
      <c r="CY7" s="116" t="n"/>
      <c r="CZ7" s="115" t="n"/>
      <c r="DA7" s="116" t="n"/>
      <c r="DB7" s="115" t="n"/>
      <c r="DC7" s="116" t="n"/>
      <c r="DD7" s="117" t="n"/>
      <c r="DE7" s="118" t="n"/>
      <c r="DF7" s="119" t="n"/>
      <c r="DG7" s="118" t="n"/>
      <c r="DH7" s="119" t="n"/>
      <c r="DI7" s="118" t="n"/>
      <c r="DJ7" s="119" t="n"/>
      <c r="DK7" s="118" t="n"/>
      <c r="DL7" s="119" t="n"/>
      <c r="DM7" s="118" t="n"/>
      <c r="DN7" s="119" t="n"/>
      <c r="DO7" s="118" t="n"/>
      <c r="DP7" s="119" t="n"/>
      <c r="DQ7" s="118" t="n"/>
      <c r="DR7" s="119" t="n"/>
      <c r="DS7" s="118" t="n"/>
      <c r="DT7" s="119" t="n"/>
      <c r="DU7" s="120" t="n"/>
      <c r="DV7" s="121" t="n"/>
      <c r="DW7" s="122" t="n"/>
      <c r="DX7" s="121" t="n"/>
      <c r="DY7" s="122" t="n"/>
      <c r="DZ7" s="121" t="n"/>
      <c r="EA7" s="122" t="n"/>
      <c r="EB7" s="121" t="n"/>
      <c r="EC7" s="122" t="n"/>
      <c r="ED7" s="121" t="n"/>
      <c r="EE7" s="122" t="n"/>
      <c r="EF7" s="121" t="n"/>
      <c r="EG7" s="122" t="n"/>
      <c r="EH7" s="121" t="n"/>
      <c r="EI7" s="122" t="n"/>
      <c r="EJ7" s="121" t="n"/>
      <c r="EK7" s="122" t="n"/>
      <c r="EL7" s="123" t="n"/>
      <c r="EM7" s="124" t="n"/>
      <c r="EN7" s="125" t="n"/>
      <c r="EO7" s="124" t="n"/>
      <c r="EP7" s="125" t="n"/>
      <c r="EQ7" s="124" t="n"/>
      <c r="ER7" s="125" t="n"/>
      <c r="ES7" s="124" t="n"/>
      <c r="ET7" s="125" t="n"/>
      <c r="EU7" s="124" t="n"/>
      <c r="EV7" s="125" t="n"/>
      <c r="EW7" s="124" t="n"/>
      <c r="EX7" s="125" t="n"/>
      <c r="EY7" s="124" t="n"/>
      <c r="EZ7" s="125" t="n"/>
      <c r="FA7" s="124" t="n"/>
      <c r="FB7" s="125" t="n"/>
      <c r="FC7" s="126" t="n"/>
      <c r="FD7" s="127" t="n"/>
      <c r="FE7" s="128" t="n"/>
      <c r="FF7" s="127" t="n"/>
      <c r="FG7" s="128" t="n"/>
      <c r="FH7" s="127" t="n"/>
      <c r="FI7" s="128" t="n"/>
      <c r="FJ7" s="127" t="n"/>
      <c r="FK7" s="128" t="n"/>
      <c r="FL7" s="127" t="n"/>
      <c r="FM7" s="128" t="n"/>
      <c r="FN7" s="127" t="n"/>
      <c r="FO7" s="128" t="n"/>
      <c r="FP7" s="127" t="n"/>
      <c r="FQ7" s="128" t="n"/>
      <c r="FR7" s="127" t="n"/>
      <c r="FS7" s="128" t="n"/>
      <c r="FT7" s="129" t="n"/>
      <c r="FU7" s="130" t="n"/>
      <c r="FV7" s="131" t="n"/>
      <c r="FW7" s="130" t="n"/>
      <c r="FX7" s="131" t="n"/>
      <c r="FY7" s="130" t="n"/>
      <c r="FZ7" s="131" t="n"/>
      <c r="GA7" s="130" t="n"/>
      <c r="GB7" s="131" t="n"/>
      <c r="GC7" s="130" t="n"/>
      <c r="GD7" s="131" t="n"/>
      <c r="GE7" s="130" t="n"/>
      <c r="GF7" s="131" t="n"/>
      <c r="GG7" s="130" t="n"/>
      <c r="GH7" s="131" t="n"/>
      <c r="GI7" s="130" t="n"/>
      <c r="GJ7" s="131" t="n"/>
      <c r="GK7" s="132" t="n"/>
      <c r="GL7" s="133" t="n"/>
      <c r="GM7" s="134" t="n"/>
      <c r="GN7" s="133" t="n"/>
      <c r="GO7" s="134" t="n"/>
      <c r="GP7" s="133" t="n"/>
      <c r="GQ7" s="134" t="n"/>
      <c r="GR7" s="133" t="n"/>
      <c r="GS7" s="134" t="n"/>
      <c r="GT7" s="133" t="n"/>
      <c r="GU7" s="134" t="n"/>
      <c r="GV7" s="133" t="n"/>
      <c r="GW7" s="134" t="n"/>
      <c r="GX7" s="133" t="n"/>
      <c r="GY7" s="134" t="n"/>
      <c r="GZ7" s="133" t="n"/>
      <c r="HA7" s="134" t="n"/>
      <c r="HB7" s="135" t="n"/>
      <c r="HC7">
        <f>97-SUMPRODUCT(MAX(($G$4:$HB$4="ح")*($G7:$HB7=TRUE)*(97-$G$47:$HB$47)))</f>
        <v>97</v>
      </c>
      <c r="HD7">
        <f>SUMPRODUCT(($G$4:$HB$4="ح")*($G7:$HB7=TRUE)*($G$47:$HB$47&gt;$HC$1-8))</f>
        <v>0</v>
      </c>
      <c r="HE7">
        <f>(COUNTIF($G7:$V7,TRUE)&gt;0)*($W7&lt;&gt;TRUE)+(COUNTIF($X7:$AM7,TRUE)&gt;0)*($AN7&lt;&gt;TRUE)+(COUNTIF($AO7:$BD7,TRUE)&gt;0)*($BE7&lt;&gt;TRUE)+(COUNTIF($BF7:$BU7,TRUE)&gt;0)*($BV7&lt;&gt;TRUE)+(COUNTIF($BW7:$CL7,TRUE)&gt;0)*($CM7&lt;&gt;TRUE)+(COUNTIF($CN7:$DC7,TRUE)&gt;0)*($DD7&lt;&gt;TRUE)+(COUNTIF($DE7:$DT7,TRUE)&gt;0)*($DU7&lt;&gt;TRUE)+(COUNTIF($DV7:$EK7,TRUE)&gt;0)*($EL7&lt;&gt;TRUE)+(COUNTIF($EM7:$FB7,TRUE)&gt;0)*($FC7&lt;&gt;TRUE)+(COUNTIF($FD7:$FS7,TRUE)&gt;0)*($FT7&lt;&gt;TRUE)+(COUNTIF($FU7:$GJ7,TRUE)&gt;0)*($GK7&lt;&gt;TRUE)+(COUNTIF($GL7:$HA7,TRUE)&gt;0)*($HB7&lt;&gt;TRUE)</f>
        <v>0</v>
      </c>
      <c r="HF7">
        <f>IF($HE7=0,0,13-MAX((COUNTIF($G7:$V7,TRUE)&gt;0)*($W7&lt;&gt;TRUE)*12,(COUNTIF($X7:$AM7,TRUE)&gt;0)*($AN7&lt;&gt;TRUE)*11,(COUNTIF($AO7:$BD7,TRUE)&gt;0)*($BE7&lt;&gt;TRUE)*10,(COUNTIF($BF7:$BU7,TRUE)&gt;0)*($BV7&lt;&gt;TRUE)*9,(COUNTIF($BW7:$CL7,TRUE)&gt;0)*($CM7&lt;&gt;TRUE)*8,(COUNTIF($CN7:$DC7,TRUE)&gt;0)*($DD7&lt;&gt;TRUE)*7,(COUNTIF($DE7:$DT7,TRUE)&gt;0)*($DU7&lt;&gt;TRUE)*6,(COUNTIF($DV7:$EK7,TRUE)&gt;0)*($EL7&lt;&gt;TRUE)*5,(COUNTIF($EM7:$FB7,TRUE)&gt;0)*($FC7&lt;&gt;TRUE)*4,(COUNTIF($FD7:$FS7,TRUE)&gt;0)*($FT7&lt;&gt;TRUE)*3,(COUNTIF($FU7:$GJ7,TRUE)&gt;0)*($GK7&lt;&gt;TRUE)*2,(COUNTIF($GL7:$HA7,TRUE)&gt;0)*($HB7&lt;&gt;TRUE)*1))</f>
        <v>0</v>
      </c>
    </row>
    <row r="8" ht="22.5" customHeight="1">
      <c r="A8" s="36" t="n">
        <v>4</v>
      </c>
      <c r="B8" s="97" t="n"/>
      <c r="C8" s="28" t="n"/>
      <c r="D8" s="98" t="str">
        <f>IF($B8="","",IF($HC8=97,"-",IF($HD8=0,"متوقف",SUMPRODUCT(($G$4:$HB$4="ح")*($G$20:$HB$20&gt;0)*($G8:$HB8&lt;&gt;TRUE)*($G$47:$HB$47&gt;$HC$1-8)*($G$47:$HB$47&gt;=$HC8)))))</f>
        <v/>
      </c>
      <c r="E8" s="98" t="str">
        <f>IF(OR($B8="",$HC8=97),"",SUMPRODUCT(($G$4:$HA$4="ح")*($G8:$HA8=TRUE)*($H8:$HB8&lt;&gt;TRUE)*($G$47:$HA$47&gt;$HC$1-8)))</f>
        <v/>
      </c>
      <c r="F8" s="99" t="str">
        <f>IF($B8="","",IF($HE8=0,IF($HC8=97,"-","تمام"),IF($HE8=1,IF(INDEX($G$1:$HB$1,1,17*($HF8-1)+1)="","شهر "&amp;$HF8,INDEX($G$1:$HB$1,1,17*($HF8-1)+1)),IF($HE8=2,"شهرين",$HE8&amp;" شهور"))))</f>
        <v/>
      </c>
      <c r="G8" s="100" t="n"/>
      <c r="H8" s="101" t="n"/>
      <c r="I8" s="100" t="n"/>
      <c r="J8" s="101" t="n"/>
      <c r="K8" s="100" t="n"/>
      <c r="L8" s="101" t="n"/>
      <c r="M8" s="100" t="n"/>
      <c r="N8" s="101" t="n"/>
      <c r="O8" s="100" t="n"/>
      <c r="P8" s="101" t="n"/>
      <c r="Q8" s="100" t="n"/>
      <c r="R8" s="101" t="n"/>
      <c r="S8" s="100" t="n"/>
      <c r="T8" s="101" t="n"/>
      <c r="U8" s="100" t="n"/>
      <c r="V8" s="101" t="n"/>
      <c r="W8" s="102" t="n"/>
      <c r="X8" s="103" t="n"/>
      <c r="Y8" s="104" t="n"/>
      <c r="Z8" s="103" t="n"/>
      <c r="AA8" s="104" t="n"/>
      <c r="AB8" s="103" t="n"/>
      <c r="AC8" s="104" t="n"/>
      <c r="AD8" s="103" t="n"/>
      <c r="AE8" s="104" t="n"/>
      <c r="AF8" s="103" t="n"/>
      <c r="AG8" s="104" t="n"/>
      <c r="AH8" s="103" t="n"/>
      <c r="AI8" s="104" t="n"/>
      <c r="AJ8" s="103" t="n"/>
      <c r="AK8" s="104" t="n"/>
      <c r="AL8" s="103" t="n"/>
      <c r="AM8" s="104" t="n"/>
      <c r="AN8" s="105" t="n"/>
      <c r="AO8" s="106" t="n"/>
      <c r="AP8" s="107" t="n"/>
      <c r="AQ8" s="106" t="n"/>
      <c r="AR8" s="107" t="n"/>
      <c r="AS8" s="106" t="n"/>
      <c r="AT8" s="107" t="n"/>
      <c r="AU8" s="106" t="n"/>
      <c r="AV8" s="107" t="n"/>
      <c r="AW8" s="106" t="n"/>
      <c r="AX8" s="107" t="n"/>
      <c r="AY8" s="106" t="n"/>
      <c r="AZ8" s="107" t="n"/>
      <c r="BA8" s="106" t="n"/>
      <c r="BB8" s="107" t="n"/>
      <c r="BC8" s="106" t="n"/>
      <c r="BD8" s="107" t="n"/>
      <c r="BE8" s="108" t="n"/>
      <c r="BF8" s="109" t="n"/>
      <c r="BG8" s="110" t="n"/>
      <c r="BH8" s="109" t="n"/>
      <c r="BI8" s="110" t="n"/>
      <c r="BJ8" s="109" t="n"/>
      <c r="BK8" s="110" t="n"/>
      <c r="BL8" s="109" t="n"/>
      <c r="BM8" s="110" t="n"/>
      <c r="BN8" s="109" t="n"/>
      <c r="BO8" s="110" t="n"/>
      <c r="BP8" s="109" t="n"/>
      <c r="BQ8" s="110" t="n"/>
      <c r="BR8" s="109" t="n"/>
      <c r="BS8" s="110" t="n"/>
      <c r="BT8" s="109" t="n"/>
      <c r="BU8" s="110" t="n"/>
      <c r="BV8" s="111" t="n"/>
      <c r="BW8" s="112" t="n"/>
      <c r="BX8" s="113" t="n"/>
      <c r="BY8" s="112" t="n"/>
      <c r="BZ8" s="113" t="n"/>
      <c r="CA8" s="112" t="n"/>
      <c r="CB8" s="113" t="n"/>
      <c r="CC8" s="112" t="n"/>
      <c r="CD8" s="113" t="n"/>
      <c r="CE8" s="112" t="n"/>
      <c r="CF8" s="113" t="n"/>
      <c r="CG8" s="112" t="n"/>
      <c r="CH8" s="113" t="n"/>
      <c r="CI8" s="112" t="n"/>
      <c r="CJ8" s="113" t="n"/>
      <c r="CK8" s="112" t="n"/>
      <c r="CL8" s="113" t="n"/>
      <c r="CM8" s="114" t="n"/>
      <c r="CN8" s="115" t="n"/>
      <c r="CO8" s="116" t="n"/>
      <c r="CP8" s="115" t="n"/>
      <c r="CQ8" s="116" t="n"/>
      <c r="CR8" s="115" t="n"/>
      <c r="CS8" s="116" t="n"/>
      <c r="CT8" s="115" t="n"/>
      <c r="CU8" s="116" t="n"/>
      <c r="CV8" s="115" t="n"/>
      <c r="CW8" s="116" t="n"/>
      <c r="CX8" s="115" t="n"/>
      <c r="CY8" s="116" t="n"/>
      <c r="CZ8" s="115" t="n"/>
      <c r="DA8" s="116" t="n"/>
      <c r="DB8" s="115" t="n"/>
      <c r="DC8" s="116" t="n"/>
      <c r="DD8" s="117" t="n"/>
      <c r="DE8" s="118" t="n"/>
      <c r="DF8" s="119" t="n"/>
      <c r="DG8" s="118" t="n"/>
      <c r="DH8" s="119" t="n"/>
      <c r="DI8" s="118" t="n"/>
      <c r="DJ8" s="119" t="n"/>
      <c r="DK8" s="118" t="n"/>
      <c r="DL8" s="119" t="n"/>
      <c r="DM8" s="118" t="n"/>
      <c r="DN8" s="119" t="n"/>
      <c r="DO8" s="118" t="n"/>
      <c r="DP8" s="119" t="n"/>
      <c r="DQ8" s="118" t="n"/>
      <c r="DR8" s="119" t="n"/>
      <c r="DS8" s="118" t="n"/>
      <c r="DT8" s="119" t="n"/>
      <c r="DU8" s="120" t="n"/>
      <c r="DV8" s="121" t="n"/>
      <c r="DW8" s="122" t="n"/>
      <c r="DX8" s="121" t="n"/>
      <c r="DY8" s="122" t="n"/>
      <c r="DZ8" s="121" t="n"/>
      <c r="EA8" s="122" t="n"/>
      <c r="EB8" s="121" t="n"/>
      <c r="EC8" s="122" t="n"/>
      <c r="ED8" s="121" t="n"/>
      <c r="EE8" s="122" t="n"/>
      <c r="EF8" s="121" t="n"/>
      <c r="EG8" s="122" t="n"/>
      <c r="EH8" s="121" t="n"/>
      <c r="EI8" s="122" t="n"/>
      <c r="EJ8" s="121" t="n"/>
      <c r="EK8" s="122" t="n"/>
      <c r="EL8" s="123" t="n"/>
      <c r="EM8" s="124" t="n"/>
      <c r="EN8" s="125" t="n"/>
      <c r="EO8" s="124" t="n"/>
      <c r="EP8" s="125" t="n"/>
      <c r="EQ8" s="124" t="n"/>
      <c r="ER8" s="125" t="n"/>
      <c r="ES8" s="124" t="n"/>
      <c r="ET8" s="125" t="n"/>
      <c r="EU8" s="124" t="n"/>
      <c r="EV8" s="125" t="n"/>
      <c r="EW8" s="124" t="n"/>
      <c r="EX8" s="125" t="n"/>
      <c r="EY8" s="124" t="n"/>
      <c r="EZ8" s="125" t="n"/>
      <c r="FA8" s="124" t="n"/>
      <c r="FB8" s="125" t="n"/>
      <c r="FC8" s="126" t="n"/>
      <c r="FD8" s="127" t="n"/>
      <c r="FE8" s="128" t="n"/>
      <c r="FF8" s="127" t="n"/>
      <c r="FG8" s="128" t="n"/>
      <c r="FH8" s="127" t="n"/>
      <c r="FI8" s="128" t="n"/>
      <c r="FJ8" s="127" t="n"/>
      <c r="FK8" s="128" t="n"/>
      <c r="FL8" s="127" t="n"/>
      <c r="FM8" s="128" t="n"/>
      <c r="FN8" s="127" t="n"/>
      <c r="FO8" s="128" t="n"/>
      <c r="FP8" s="127" t="n"/>
      <c r="FQ8" s="128" t="n"/>
      <c r="FR8" s="127" t="n"/>
      <c r="FS8" s="128" t="n"/>
      <c r="FT8" s="129" t="n"/>
      <c r="FU8" s="130" t="n"/>
      <c r="FV8" s="131" t="n"/>
      <c r="FW8" s="130" t="n"/>
      <c r="FX8" s="131" t="n"/>
      <c r="FY8" s="130" t="n"/>
      <c r="FZ8" s="131" t="n"/>
      <c r="GA8" s="130" t="n"/>
      <c r="GB8" s="131" t="n"/>
      <c r="GC8" s="130" t="n"/>
      <c r="GD8" s="131" t="n"/>
      <c r="GE8" s="130" t="n"/>
      <c r="GF8" s="131" t="n"/>
      <c r="GG8" s="130" t="n"/>
      <c r="GH8" s="131" t="n"/>
      <c r="GI8" s="130" t="n"/>
      <c r="GJ8" s="131" t="n"/>
      <c r="GK8" s="132" t="n"/>
      <c r="GL8" s="133" t="n"/>
      <c r="GM8" s="134" t="n"/>
      <c r="GN8" s="133" t="n"/>
      <c r="GO8" s="134" t="n"/>
      <c r="GP8" s="133" t="n"/>
      <c r="GQ8" s="134" t="n"/>
      <c r="GR8" s="133" t="n"/>
      <c r="GS8" s="134" t="n"/>
      <c r="GT8" s="133" t="n"/>
      <c r="GU8" s="134" t="n"/>
      <c r="GV8" s="133" t="n"/>
      <c r="GW8" s="134" t="n"/>
      <c r="GX8" s="133" t="n"/>
      <c r="GY8" s="134" t="n"/>
      <c r="GZ8" s="133" t="n"/>
      <c r="HA8" s="134" t="n"/>
      <c r="HB8" s="135" t="n"/>
      <c r="HC8">
        <f>97-SUMPRODUCT(MAX(($G$4:$HB$4="ح")*($G8:$HB8=TRUE)*(97-$G$47:$HB$47)))</f>
        <v>97</v>
      </c>
      <c r="HD8">
        <f>SUMPRODUCT(($G$4:$HB$4="ح")*($G8:$HB8=TRUE)*($G$47:$HB$47&gt;$HC$1-8))</f>
        <v>0</v>
      </c>
      <c r="HE8">
        <f>(COUNTIF($G8:$V8,TRUE)&gt;0)*($W8&lt;&gt;TRUE)+(COUNTIF($X8:$AM8,TRUE)&gt;0)*($AN8&lt;&gt;TRUE)+(COUNTIF($AO8:$BD8,TRUE)&gt;0)*($BE8&lt;&gt;TRUE)+(COUNTIF($BF8:$BU8,TRUE)&gt;0)*($BV8&lt;&gt;TRUE)+(COUNTIF($BW8:$CL8,TRUE)&gt;0)*($CM8&lt;&gt;TRUE)+(COUNTIF($CN8:$DC8,TRUE)&gt;0)*($DD8&lt;&gt;TRUE)+(COUNTIF($DE8:$DT8,TRUE)&gt;0)*($DU8&lt;&gt;TRUE)+(COUNTIF($DV8:$EK8,TRUE)&gt;0)*($EL8&lt;&gt;TRUE)+(COUNTIF($EM8:$FB8,TRUE)&gt;0)*($FC8&lt;&gt;TRUE)+(COUNTIF($FD8:$FS8,TRUE)&gt;0)*($FT8&lt;&gt;TRUE)+(COUNTIF($FU8:$GJ8,TRUE)&gt;0)*($GK8&lt;&gt;TRUE)+(COUNTIF($GL8:$HA8,TRUE)&gt;0)*($HB8&lt;&gt;TRUE)</f>
        <v>0</v>
      </c>
      <c r="HF8">
        <f>IF($HE8=0,0,13-MAX((COUNTIF($G8:$V8,TRUE)&gt;0)*($W8&lt;&gt;TRUE)*12,(COUNTIF($X8:$AM8,TRUE)&gt;0)*($AN8&lt;&gt;TRUE)*11,(COUNTIF($AO8:$BD8,TRUE)&gt;0)*($BE8&lt;&gt;TRUE)*10,(COUNTIF($BF8:$BU8,TRUE)&gt;0)*($BV8&lt;&gt;TRUE)*9,(COUNTIF($BW8:$CL8,TRUE)&gt;0)*($CM8&lt;&gt;TRUE)*8,(COUNTIF($CN8:$DC8,TRUE)&gt;0)*($DD8&lt;&gt;TRUE)*7,(COUNTIF($DE8:$DT8,TRUE)&gt;0)*($DU8&lt;&gt;TRUE)*6,(COUNTIF($DV8:$EK8,TRUE)&gt;0)*($EL8&lt;&gt;TRUE)*5,(COUNTIF($EM8:$FB8,TRUE)&gt;0)*($FC8&lt;&gt;TRUE)*4,(COUNTIF($FD8:$FS8,TRUE)&gt;0)*($FT8&lt;&gt;TRUE)*3,(COUNTIF($FU8:$GJ8,TRUE)&gt;0)*($GK8&lt;&gt;TRUE)*2,(COUNTIF($GL8:$HA8,TRUE)&gt;0)*($HB8&lt;&gt;TRUE)*1))</f>
        <v>0</v>
      </c>
    </row>
    <row r="9" ht="22.5" customHeight="1">
      <c r="A9" s="36" t="n">
        <v>5</v>
      </c>
      <c r="B9" s="97" t="n"/>
      <c r="C9" s="28" t="n"/>
      <c r="D9" s="98" t="str">
        <f>IF($B9="","",IF($HC9=97,"-",IF($HD9=0,"متوقف",SUMPRODUCT(($G$4:$HB$4="ح")*($G$20:$HB$20&gt;0)*($G9:$HB9&lt;&gt;TRUE)*($G$47:$HB$47&gt;$HC$1-8)*($G$47:$HB$47&gt;=$HC9)))))</f>
        <v/>
      </c>
      <c r="E9" s="98" t="str">
        <f>IF(OR($B9="",$HC9=97),"",SUMPRODUCT(($G$4:$HA$4="ح")*($G9:$HA9=TRUE)*($H9:$HB9&lt;&gt;TRUE)*($G$47:$HA$47&gt;$HC$1-8)))</f>
        <v/>
      </c>
      <c r="F9" s="99" t="str">
        <f>IF($B9="","",IF($HE9=0,IF($HC9=97,"-","تمام"),IF($HE9=1,IF(INDEX($G$1:$HB$1,1,17*($HF9-1)+1)="","شهر "&amp;$HF9,INDEX($G$1:$HB$1,1,17*($HF9-1)+1)),IF($HE9=2,"شهرين",$HE9&amp;" شهور"))))</f>
        <v/>
      </c>
      <c r="G9" s="100" t="n"/>
      <c r="H9" s="101" t="n"/>
      <c r="I9" s="100" t="n"/>
      <c r="J9" s="101" t="n"/>
      <c r="K9" s="100" t="n"/>
      <c r="L9" s="101" t="n"/>
      <c r="M9" s="100" t="n"/>
      <c r="N9" s="101" t="n"/>
      <c r="O9" s="100" t="n"/>
      <c r="P9" s="101" t="n"/>
      <c r="Q9" s="100" t="n"/>
      <c r="R9" s="101" t="n"/>
      <c r="S9" s="100" t="n"/>
      <c r="T9" s="101" t="n"/>
      <c r="U9" s="100" t="n"/>
      <c r="V9" s="101" t="n"/>
      <c r="W9" s="102" t="n"/>
      <c r="X9" s="103" t="n"/>
      <c r="Y9" s="104" t="n"/>
      <c r="Z9" s="103" t="n"/>
      <c r="AA9" s="104" t="n"/>
      <c r="AB9" s="103" t="n"/>
      <c r="AC9" s="104" t="n"/>
      <c r="AD9" s="103" t="n"/>
      <c r="AE9" s="104" t="n"/>
      <c r="AF9" s="103" t="n"/>
      <c r="AG9" s="104" t="n"/>
      <c r="AH9" s="103" t="n"/>
      <c r="AI9" s="104" t="n"/>
      <c r="AJ9" s="103" t="n"/>
      <c r="AK9" s="104" t="n"/>
      <c r="AL9" s="103" t="n"/>
      <c r="AM9" s="104" t="n"/>
      <c r="AN9" s="105" t="n"/>
      <c r="AO9" s="106" t="n"/>
      <c r="AP9" s="107" t="n"/>
      <c r="AQ9" s="106" t="n"/>
      <c r="AR9" s="107" t="n"/>
      <c r="AS9" s="106" t="n"/>
      <c r="AT9" s="107" t="n"/>
      <c r="AU9" s="106" t="n"/>
      <c r="AV9" s="107" t="n"/>
      <c r="AW9" s="106" t="n"/>
      <c r="AX9" s="107" t="n"/>
      <c r="AY9" s="106" t="n"/>
      <c r="AZ9" s="107" t="n"/>
      <c r="BA9" s="106" t="n"/>
      <c r="BB9" s="107" t="n"/>
      <c r="BC9" s="106" t="n"/>
      <c r="BD9" s="107" t="n"/>
      <c r="BE9" s="108" t="n"/>
      <c r="BF9" s="109" t="n"/>
      <c r="BG9" s="110" t="n"/>
      <c r="BH9" s="109" t="n"/>
      <c r="BI9" s="110" t="n"/>
      <c r="BJ9" s="109" t="n"/>
      <c r="BK9" s="110" t="n"/>
      <c r="BL9" s="109" t="n"/>
      <c r="BM9" s="110" t="n"/>
      <c r="BN9" s="109" t="n"/>
      <c r="BO9" s="110" t="n"/>
      <c r="BP9" s="109" t="n"/>
      <c r="BQ9" s="110" t="n"/>
      <c r="BR9" s="109" t="n"/>
      <c r="BS9" s="110" t="n"/>
      <c r="BT9" s="109" t="n"/>
      <c r="BU9" s="110" t="n"/>
      <c r="BV9" s="111" t="n"/>
      <c r="BW9" s="112" t="n"/>
      <c r="BX9" s="113" t="n"/>
      <c r="BY9" s="112" t="n"/>
      <c r="BZ9" s="113" t="n"/>
      <c r="CA9" s="112" t="n"/>
      <c r="CB9" s="113" t="n"/>
      <c r="CC9" s="112" t="n"/>
      <c r="CD9" s="113" t="n"/>
      <c r="CE9" s="112" t="n"/>
      <c r="CF9" s="113" t="n"/>
      <c r="CG9" s="112" t="n"/>
      <c r="CH9" s="113" t="n"/>
      <c r="CI9" s="112" t="n"/>
      <c r="CJ9" s="113" t="n"/>
      <c r="CK9" s="112" t="n"/>
      <c r="CL9" s="113" t="n"/>
      <c r="CM9" s="114" t="n"/>
      <c r="CN9" s="115" t="n"/>
      <c r="CO9" s="116" t="n"/>
      <c r="CP9" s="115" t="n"/>
      <c r="CQ9" s="116" t="n"/>
      <c r="CR9" s="115" t="n"/>
      <c r="CS9" s="116" t="n"/>
      <c r="CT9" s="115" t="n"/>
      <c r="CU9" s="116" t="n"/>
      <c r="CV9" s="115" t="n"/>
      <c r="CW9" s="116" t="n"/>
      <c r="CX9" s="115" t="n"/>
      <c r="CY9" s="116" t="n"/>
      <c r="CZ9" s="115" t="n"/>
      <c r="DA9" s="116" t="n"/>
      <c r="DB9" s="115" t="n"/>
      <c r="DC9" s="116" t="n"/>
      <c r="DD9" s="117" t="n"/>
      <c r="DE9" s="118" t="n"/>
      <c r="DF9" s="119" t="n"/>
      <c r="DG9" s="118" t="n"/>
      <c r="DH9" s="119" t="n"/>
      <c r="DI9" s="118" t="n"/>
      <c r="DJ9" s="119" t="n"/>
      <c r="DK9" s="118" t="n"/>
      <c r="DL9" s="119" t="n"/>
      <c r="DM9" s="118" t="n"/>
      <c r="DN9" s="119" t="n"/>
      <c r="DO9" s="118" t="n"/>
      <c r="DP9" s="119" t="n"/>
      <c r="DQ9" s="118" t="n"/>
      <c r="DR9" s="119" t="n"/>
      <c r="DS9" s="118" t="n"/>
      <c r="DT9" s="119" t="n"/>
      <c r="DU9" s="120" t="n"/>
      <c r="DV9" s="121" t="n"/>
      <c r="DW9" s="122" t="n"/>
      <c r="DX9" s="121" t="n"/>
      <c r="DY9" s="122" t="n"/>
      <c r="DZ9" s="121" t="n"/>
      <c r="EA9" s="122" t="n"/>
      <c r="EB9" s="121" t="n"/>
      <c r="EC9" s="122" t="n"/>
      <c r="ED9" s="121" t="n"/>
      <c r="EE9" s="122" t="n"/>
      <c r="EF9" s="121" t="n"/>
      <c r="EG9" s="122" t="n"/>
      <c r="EH9" s="121" t="n"/>
      <c r="EI9" s="122" t="n"/>
      <c r="EJ9" s="121" t="n"/>
      <c r="EK9" s="122" t="n"/>
      <c r="EL9" s="123" t="n"/>
      <c r="EM9" s="124" t="n"/>
      <c r="EN9" s="125" t="n"/>
      <c r="EO9" s="124" t="n"/>
      <c r="EP9" s="125" t="n"/>
      <c r="EQ9" s="124" t="n"/>
      <c r="ER9" s="125" t="n"/>
      <c r="ES9" s="124" t="n"/>
      <c r="ET9" s="125" t="n"/>
      <c r="EU9" s="124" t="n"/>
      <c r="EV9" s="125" t="n"/>
      <c r="EW9" s="124" t="n"/>
      <c r="EX9" s="125" t="n"/>
      <c r="EY9" s="124" t="n"/>
      <c r="EZ9" s="125" t="n"/>
      <c r="FA9" s="124" t="n"/>
      <c r="FB9" s="125" t="n"/>
      <c r="FC9" s="126" t="n"/>
      <c r="FD9" s="127" t="n"/>
      <c r="FE9" s="128" t="n"/>
      <c r="FF9" s="127" t="n"/>
      <c r="FG9" s="128" t="n"/>
      <c r="FH9" s="127" t="n"/>
      <c r="FI9" s="128" t="n"/>
      <c r="FJ9" s="127" t="n"/>
      <c r="FK9" s="128" t="n"/>
      <c r="FL9" s="127" t="n"/>
      <c r="FM9" s="128" t="n"/>
      <c r="FN9" s="127" t="n"/>
      <c r="FO9" s="128" t="n"/>
      <c r="FP9" s="127" t="n"/>
      <c r="FQ9" s="128" t="n"/>
      <c r="FR9" s="127" t="n"/>
      <c r="FS9" s="128" t="n"/>
      <c r="FT9" s="129" t="n"/>
      <c r="FU9" s="130" t="n"/>
      <c r="FV9" s="131" t="n"/>
      <c r="FW9" s="130" t="n"/>
      <c r="FX9" s="131" t="n"/>
      <c r="FY9" s="130" t="n"/>
      <c r="FZ9" s="131" t="n"/>
      <c r="GA9" s="130" t="n"/>
      <c r="GB9" s="131" t="n"/>
      <c r="GC9" s="130" t="n"/>
      <c r="GD9" s="131" t="n"/>
      <c r="GE9" s="130" t="n"/>
      <c r="GF9" s="131" t="n"/>
      <c r="GG9" s="130" t="n"/>
      <c r="GH9" s="131" t="n"/>
      <c r="GI9" s="130" t="n"/>
      <c r="GJ9" s="131" t="n"/>
      <c r="GK9" s="132" t="n"/>
      <c r="GL9" s="133" t="n"/>
      <c r="GM9" s="134" t="n"/>
      <c r="GN9" s="133" t="n"/>
      <c r="GO9" s="134" t="n"/>
      <c r="GP9" s="133" t="n"/>
      <c r="GQ9" s="134" t="n"/>
      <c r="GR9" s="133" t="n"/>
      <c r="GS9" s="134" t="n"/>
      <c r="GT9" s="133" t="n"/>
      <c r="GU9" s="134" t="n"/>
      <c r="GV9" s="133" t="n"/>
      <c r="GW9" s="134" t="n"/>
      <c r="GX9" s="133" t="n"/>
      <c r="GY9" s="134" t="n"/>
      <c r="GZ9" s="133" t="n"/>
      <c r="HA9" s="134" t="n"/>
      <c r="HB9" s="135" t="n"/>
      <c r="HC9">
        <f>97-SUMPRODUCT(MAX(($G$4:$HB$4="ح")*($G9:$HB9=TRUE)*(97-$G$47:$HB$47)))</f>
        <v>97</v>
      </c>
      <c r="HD9">
        <f>SUMPRODUCT(($G$4:$HB$4="ح")*($G9:$HB9=TRUE)*($G$47:$HB$47&gt;$HC$1-8))</f>
        <v>0</v>
      </c>
      <c r="HE9">
        <f>(COUNTIF($G9:$V9,TRUE)&gt;0)*($W9&lt;&gt;TRUE)+(COUNTIF($X9:$AM9,TRUE)&gt;0)*($AN9&lt;&gt;TRUE)+(COUNTIF($AO9:$BD9,TRUE)&gt;0)*($BE9&lt;&gt;TRUE)+(COUNTIF($BF9:$BU9,TRUE)&gt;0)*($BV9&lt;&gt;TRUE)+(COUNTIF($BW9:$CL9,TRUE)&gt;0)*($CM9&lt;&gt;TRUE)+(COUNTIF($CN9:$DC9,TRUE)&gt;0)*($DD9&lt;&gt;TRUE)+(COUNTIF($DE9:$DT9,TRUE)&gt;0)*($DU9&lt;&gt;TRUE)+(COUNTIF($DV9:$EK9,TRUE)&gt;0)*($EL9&lt;&gt;TRUE)+(COUNTIF($EM9:$FB9,TRUE)&gt;0)*($FC9&lt;&gt;TRUE)+(COUNTIF($FD9:$FS9,TRUE)&gt;0)*($FT9&lt;&gt;TRUE)+(COUNTIF($FU9:$GJ9,TRUE)&gt;0)*($GK9&lt;&gt;TRUE)+(COUNTIF($GL9:$HA9,TRUE)&gt;0)*($HB9&lt;&gt;TRUE)</f>
        <v>0</v>
      </c>
      <c r="HF9">
        <f>IF($HE9=0,0,13-MAX((COUNTIF($G9:$V9,TRUE)&gt;0)*($W9&lt;&gt;TRUE)*12,(COUNTIF($X9:$AM9,TRUE)&gt;0)*($AN9&lt;&gt;TRUE)*11,(COUNTIF($AO9:$BD9,TRUE)&gt;0)*($BE9&lt;&gt;TRUE)*10,(COUNTIF($BF9:$BU9,TRUE)&gt;0)*($BV9&lt;&gt;TRUE)*9,(COUNTIF($BW9:$CL9,TRUE)&gt;0)*($CM9&lt;&gt;TRUE)*8,(COUNTIF($CN9:$DC9,TRUE)&gt;0)*($DD9&lt;&gt;TRUE)*7,(COUNTIF($DE9:$DT9,TRUE)&gt;0)*($DU9&lt;&gt;TRUE)*6,(COUNTIF($DV9:$EK9,TRUE)&gt;0)*($EL9&lt;&gt;TRUE)*5,(COUNTIF($EM9:$FB9,TRUE)&gt;0)*($FC9&lt;&gt;TRUE)*4,(COUNTIF($FD9:$FS9,TRUE)&gt;0)*($FT9&lt;&gt;TRUE)*3,(COUNTIF($FU9:$GJ9,TRUE)&gt;0)*($GK9&lt;&gt;TRUE)*2,(COUNTIF($GL9:$HA9,TRUE)&gt;0)*($HB9&lt;&gt;TRUE)*1))</f>
        <v>0</v>
      </c>
    </row>
    <row r="10" ht="22.5" customHeight="1">
      <c r="A10" s="36" t="n">
        <v>6</v>
      </c>
      <c r="B10" s="97" t="n"/>
      <c r="C10" s="28" t="n"/>
      <c r="D10" s="98" t="str">
        <f>IF($B10="","",IF($HC10=97,"-",IF($HD10=0,"متوقف",SUMPRODUCT(($G$4:$HB$4="ح")*($G$20:$HB$20&gt;0)*($G10:$HB10&lt;&gt;TRUE)*($G$47:$HB$47&gt;$HC$1-8)*($G$47:$HB$47&gt;=$HC10)))))</f>
        <v/>
      </c>
      <c r="E10" s="98" t="str">
        <f>IF(OR($B10="",$HC10=97),"",SUMPRODUCT(($G$4:$HA$4="ح")*($G10:$HA10=TRUE)*($H10:$HB10&lt;&gt;TRUE)*($G$47:$HA$47&gt;$HC$1-8)))</f>
        <v/>
      </c>
      <c r="F10" s="99" t="str">
        <f>IF($B10="","",IF($HE10=0,IF($HC10=97,"-","تمام"),IF($HE10=1,IF(INDEX($G$1:$HB$1,1,17*($HF10-1)+1)="","شهر "&amp;$HF10,INDEX($G$1:$HB$1,1,17*($HF10-1)+1)),IF($HE10=2,"شهرين",$HE10&amp;" شهور"))))</f>
        <v/>
      </c>
      <c r="G10" s="100" t="n"/>
      <c r="H10" s="101" t="n"/>
      <c r="I10" s="100" t="n"/>
      <c r="J10" s="101" t="n"/>
      <c r="K10" s="100" t="n"/>
      <c r="L10" s="101" t="n"/>
      <c r="M10" s="100" t="n"/>
      <c r="N10" s="101" t="n"/>
      <c r="O10" s="100" t="n"/>
      <c r="P10" s="101" t="n"/>
      <c r="Q10" s="100" t="n"/>
      <c r="R10" s="101" t="n"/>
      <c r="S10" s="100" t="n"/>
      <c r="T10" s="101" t="n"/>
      <c r="U10" s="100" t="n"/>
      <c r="V10" s="101" t="n"/>
      <c r="W10" s="102" t="n"/>
      <c r="X10" s="103" t="n"/>
      <c r="Y10" s="104" t="n"/>
      <c r="Z10" s="103" t="n"/>
      <c r="AA10" s="104" t="n"/>
      <c r="AB10" s="103" t="n"/>
      <c r="AC10" s="104" t="n"/>
      <c r="AD10" s="103" t="n"/>
      <c r="AE10" s="104" t="n"/>
      <c r="AF10" s="103" t="n"/>
      <c r="AG10" s="104" t="n"/>
      <c r="AH10" s="103" t="n"/>
      <c r="AI10" s="104" t="n"/>
      <c r="AJ10" s="103" t="n"/>
      <c r="AK10" s="104" t="n"/>
      <c r="AL10" s="103" t="n"/>
      <c r="AM10" s="104" t="n"/>
      <c r="AN10" s="105" t="n"/>
      <c r="AO10" s="106" t="n"/>
      <c r="AP10" s="107" t="n"/>
      <c r="AQ10" s="106" t="n"/>
      <c r="AR10" s="107" t="n"/>
      <c r="AS10" s="106" t="n"/>
      <c r="AT10" s="107" t="n"/>
      <c r="AU10" s="106" t="n"/>
      <c r="AV10" s="107" t="n"/>
      <c r="AW10" s="106" t="n"/>
      <c r="AX10" s="107" t="n"/>
      <c r="AY10" s="106" t="n"/>
      <c r="AZ10" s="107" t="n"/>
      <c r="BA10" s="106" t="n"/>
      <c r="BB10" s="107" t="n"/>
      <c r="BC10" s="106" t="n"/>
      <c r="BD10" s="107" t="n"/>
      <c r="BE10" s="108" t="n"/>
      <c r="BF10" s="109" t="n"/>
      <c r="BG10" s="110" t="n"/>
      <c r="BH10" s="109" t="n"/>
      <c r="BI10" s="110" t="n"/>
      <c r="BJ10" s="109" t="n"/>
      <c r="BK10" s="110" t="n"/>
      <c r="BL10" s="109" t="n"/>
      <c r="BM10" s="110" t="n"/>
      <c r="BN10" s="109" t="n"/>
      <c r="BO10" s="110" t="n"/>
      <c r="BP10" s="109" t="n"/>
      <c r="BQ10" s="110" t="n"/>
      <c r="BR10" s="109" t="n"/>
      <c r="BS10" s="110" t="n"/>
      <c r="BT10" s="109" t="n"/>
      <c r="BU10" s="110" t="n"/>
      <c r="BV10" s="111" t="n"/>
      <c r="BW10" s="112" t="n"/>
      <c r="BX10" s="113" t="n"/>
      <c r="BY10" s="112" t="n"/>
      <c r="BZ10" s="113" t="n"/>
      <c r="CA10" s="112" t="n"/>
      <c r="CB10" s="113" t="n"/>
      <c r="CC10" s="112" t="n"/>
      <c r="CD10" s="113" t="n"/>
      <c r="CE10" s="112" t="n"/>
      <c r="CF10" s="113" t="n"/>
      <c r="CG10" s="112" t="n"/>
      <c r="CH10" s="113" t="n"/>
      <c r="CI10" s="112" t="n"/>
      <c r="CJ10" s="113" t="n"/>
      <c r="CK10" s="112" t="n"/>
      <c r="CL10" s="113" t="n"/>
      <c r="CM10" s="114" t="n"/>
      <c r="CN10" s="115" t="n"/>
      <c r="CO10" s="116" t="n"/>
      <c r="CP10" s="115" t="n"/>
      <c r="CQ10" s="116" t="n"/>
      <c r="CR10" s="115" t="n"/>
      <c r="CS10" s="116" t="n"/>
      <c r="CT10" s="115" t="n"/>
      <c r="CU10" s="116" t="n"/>
      <c r="CV10" s="115" t="n"/>
      <c r="CW10" s="116" t="n"/>
      <c r="CX10" s="115" t="n"/>
      <c r="CY10" s="116" t="n"/>
      <c r="CZ10" s="115" t="n"/>
      <c r="DA10" s="116" t="n"/>
      <c r="DB10" s="115" t="n"/>
      <c r="DC10" s="116" t="n"/>
      <c r="DD10" s="117" t="n"/>
      <c r="DE10" s="118" t="n"/>
      <c r="DF10" s="119" t="n"/>
      <c r="DG10" s="118" t="n"/>
      <c r="DH10" s="119" t="n"/>
      <c r="DI10" s="118" t="n"/>
      <c r="DJ10" s="119" t="n"/>
      <c r="DK10" s="118" t="n"/>
      <c r="DL10" s="119" t="n"/>
      <c r="DM10" s="118" t="n"/>
      <c r="DN10" s="119" t="n"/>
      <c r="DO10" s="118" t="n"/>
      <c r="DP10" s="119" t="n"/>
      <c r="DQ10" s="118" t="n"/>
      <c r="DR10" s="119" t="n"/>
      <c r="DS10" s="118" t="n"/>
      <c r="DT10" s="119" t="n"/>
      <c r="DU10" s="120" t="n"/>
      <c r="DV10" s="121" t="n"/>
      <c r="DW10" s="122" t="n"/>
      <c r="DX10" s="121" t="n"/>
      <c r="DY10" s="122" t="n"/>
      <c r="DZ10" s="121" t="n"/>
      <c r="EA10" s="122" t="n"/>
      <c r="EB10" s="121" t="n"/>
      <c r="EC10" s="122" t="n"/>
      <c r="ED10" s="121" t="n"/>
      <c r="EE10" s="122" t="n"/>
      <c r="EF10" s="121" t="n"/>
      <c r="EG10" s="122" t="n"/>
      <c r="EH10" s="121" t="n"/>
      <c r="EI10" s="122" t="n"/>
      <c r="EJ10" s="121" t="n"/>
      <c r="EK10" s="122" t="n"/>
      <c r="EL10" s="123" t="n"/>
      <c r="EM10" s="124" t="n"/>
      <c r="EN10" s="125" t="n"/>
      <c r="EO10" s="124" t="n"/>
      <c r="EP10" s="125" t="n"/>
      <c r="EQ10" s="124" t="n"/>
      <c r="ER10" s="125" t="n"/>
      <c r="ES10" s="124" t="n"/>
      <c r="ET10" s="125" t="n"/>
      <c r="EU10" s="124" t="n"/>
      <c r="EV10" s="125" t="n"/>
      <c r="EW10" s="124" t="n"/>
      <c r="EX10" s="125" t="n"/>
      <c r="EY10" s="124" t="n"/>
      <c r="EZ10" s="125" t="n"/>
      <c r="FA10" s="124" t="n"/>
      <c r="FB10" s="125" t="n"/>
      <c r="FC10" s="126" t="n"/>
      <c r="FD10" s="127" t="n"/>
      <c r="FE10" s="128" t="n"/>
      <c r="FF10" s="127" t="n"/>
      <c r="FG10" s="128" t="n"/>
      <c r="FH10" s="127" t="n"/>
      <c r="FI10" s="128" t="n"/>
      <c r="FJ10" s="127" t="n"/>
      <c r="FK10" s="128" t="n"/>
      <c r="FL10" s="127" t="n"/>
      <c r="FM10" s="128" t="n"/>
      <c r="FN10" s="127" t="n"/>
      <c r="FO10" s="128" t="n"/>
      <c r="FP10" s="127" t="n"/>
      <c r="FQ10" s="128" t="n"/>
      <c r="FR10" s="127" t="n"/>
      <c r="FS10" s="128" t="n"/>
      <c r="FT10" s="129" t="n"/>
      <c r="FU10" s="130" t="n"/>
      <c r="FV10" s="131" t="n"/>
      <c r="FW10" s="130" t="n"/>
      <c r="FX10" s="131" t="n"/>
      <c r="FY10" s="130" t="n"/>
      <c r="FZ10" s="131" t="n"/>
      <c r="GA10" s="130" t="n"/>
      <c r="GB10" s="131" t="n"/>
      <c r="GC10" s="130" t="n"/>
      <c r="GD10" s="131" t="n"/>
      <c r="GE10" s="130" t="n"/>
      <c r="GF10" s="131" t="n"/>
      <c r="GG10" s="130" t="n"/>
      <c r="GH10" s="131" t="n"/>
      <c r="GI10" s="130" t="n"/>
      <c r="GJ10" s="131" t="n"/>
      <c r="GK10" s="132" t="n"/>
      <c r="GL10" s="133" t="n"/>
      <c r="GM10" s="134" t="n"/>
      <c r="GN10" s="133" t="n"/>
      <c r="GO10" s="134" t="n"/>
      <c r="GP10" s="133" t="n"/>
      <c r="GQ10" s="134" t="n"/>
      <c r="GR10" s="133" t="n"/>
      <c r="GS10" s="134" t="n"/>
      <c r="GT10" s="133" t="n"/>
      <c r="GU10" s="134" t="n"/>
      <c r="GV10" s="133" t="n"/>
      <c r="GW10" s="134" t="n"/>
      <c r="GX10" s="133" t="n"/>
      <c r="GY10" s="134" t="n"/>
      <c r="GZ10" s="133" t="n"/>
      <c r="HA10" s="134" t="n"/>
      <c r="HB10" s="135" t="n"/>
      <c r="HC10">
        <f>97-SUMPRODUCT(MAX(($G$4:$HB$4="ح")*($G10:$HB10=TRUE)*(97-$G$47:$HB$47)))</f>
        <v>97</v>
      </c>
      <c r="HD10">
        <f>SUMPRODUCT(($G$4:$HB$4="ح")*($G10:$HB10=TRUE)*($G$47:$HB$47&gt;$HC$1-8))</f>
        <v>0</v>
      </c>
      <c r="HE10">
        <f>(COUNTIF($G10:$V10,TRUE)&gt;0)*($W10&lt;&gt;TRUE)+(COUNTIF($X10:$AM10,TRUE)&gt;0)*($AN10&lt;&gt;TRUE)+(COUNTIF($AO10:$BD10,TRUE)&gt;0)*($BE10&lt;&gt;TRUE)+(COUNTIF($BF10:$BU10,TRUE)&gt;0)*($BV10&lt;&gt;TRUE)+(COUNTIF($BW10:$CL10,TRUE)&gt;0)*($CM10&lt;&gt;TRUE)+(COUNTIF($CN10:$DC10,TRUE)&gt;0)*($DD10&lt;&gt;TRUE)+(COUNTIF($DE10:$DT10,TRUE)&gt;0)*($DU10&lt;&gt;TRUE)+(COUNTIF($DV10:$EK10,TRUE)&gt;0)*($EL10&lt;&gt;TRUE)+(COUNTIF($EM10:$FB10,TRUE)&gt;0)*($FC10&lt;&gt;TRUE)+(COUNTIF($FD10:$FS10,TRUE)&gt;0)*($FT10&lt;&gt;TRUE)+(COUNTIF($FU10:$GJ10,TRUE)&gt;0)*($GK10&lt;&gt;TRUE)+(COUNTIF($GL10:$HA10,TRUE)&gt;0)*($HB10&lt;&gt;TRUE)</f>
        <v>0</v>
      </c>
      <c r="HF10">
        <f>IF($HE10=0,0,13-MAX((COUNTIF($G10:$V10,TRUE)&gt;0)*($W10&lt;&gt;TRUE)*12,(COUNTIF($X10:$AM10,TRUE)&gt;0)*($AN10&lt;&gt;TRUE)*11,(COUNTIF($AO10:$BD10,TRUE)&gt;0)*($BE10&lt;&gt;TRUE)*10,(COUNTIF($BF10:$BU10,TRUE)&gt;0)*($BV10&lt;&gt;TRUE)*9,(COUNTIF($BW10:$CL10,TRUE)&gt;0)*($CM10&lt;&gt;TRUE)*8,(COUNTIF($CN10:$DC10,TRUE)&gt;0)*($DD10&lt;&gt;TRUE)*7,(COUNTIF($DE10:$DT10,TRUE)&gt;0)*($DU10&lt;&gt;TRUE)*6,(COUNTIF($DV10:$EK10,TRUE)&gt;0)*($EL10&lt;&gt;TRUE)*5,(COUNTIF($EM10:$FB10,TRUE)&gt;0)*($FC10&lt;&gt;TRUE)*4,(COUNTIF($FD10:$FS10,TRUE)&gt;0)*($FT10&lt;&gt;TRUE)*3,(COUNTIF($FU10:$GJ10,TRUE)&gt;0)*($GK10&lt;&gt;TRUE)*2,(COUNTIF($GL10:$HA10,TRUE)&gt;0)*($HB10&lt;&gt;TRUE)*1))</f>
        <v>0</v>
      </c>
    </row>
    <row r="11" ht="22.5" customHeight="1">
      <c r="A11" s="36" t="n">
        <v>7</v>
      </c>
      <c r="B11" s="97" t="n"/>
      <c r="C11" s="28" t="n"/>
      <c r="D11" s="98" t="str">
        <f>IF($B11="","",IF($HC11=97,"-",IF($HD11=0,"متوقف",SUMPRODUCT(($G$4:$HB$4="ح")*($G$20:$HB$20&gt;0)*($G11:$HB11&lt;&gt;TRUE)*($G$47:$HB$47&gt;$HC$1-8)*($G$47:$HB$47&gt;=$HC11)))))</f>
        <v/>
      </c>
      <c r="E11" s="98" t="str">
        <f>IF(OR($B11="",$HC11=97),"",SUMPRODUCT(($G$4:$HA$4="ح")*($G11:$HA11=TRUE)*($H11:$HB11&lt;&gt;TRUE)*($G$47:$HA$47&gt;$HC$1-8)))</f>
        <v/>
      </c>
      <c r="F11" s="99" t="str">
        <f>IF($B11="","",IF($HE11=0,IF($HC11=97,"-","تمام"),IF($HE11=1,IF(INDEX($G$1:$HB$1,1,17*($HF11-1)+1)="","شهر "&amp;$HF11,INDEX($G$1:$HB$1,1,17*($HF11-1)+1)),IF($HE11=2,"شهرين",$HE11&amp;" شهور"))))</f>
        <v/>
      </c>
      <c r="G11" s="100" t="n"/>
      <c r="H11" s="101" t="n"/>
      <c r="I11" s="100" t="n"/>
      <c r="J11" s="101" t="n"/>
      <c r="K11" s="100" t="n"/>
      <c r="L11" s="101" t="n"/>
      <c r="M11" s="100" t="n"/>
      <c r="N11" s="101" t="n"/>
      <c r="O11" s="100" t="n"/>
      <c r="P11" s="101" t="n"/>
      <c r="Q11" s="100" t="n"/>
      <c r="R11" s="101" t="n"/>
      <c r="S11" s="100" t="n"/>
      <c r="T11" s="101" t="n"/>
      <c r="U11" s="100" t="n"/>
      <c r="V11" s="101" t="n"/>
      <c r="W11" s="102" t="n"/>
      <c r="X11" s="103" t="n"/>
      <c r="Y11" s="104" t="n"/>
      <c r="Z11" s="103" t="n"/>
      <c r="AA11" s="104" t="n"/>
      <c r="AB11" s="103" t="n"/>
      <c r="AC11" s="104" t="n"/>
      <c r="AD11" s="103" t="n"/>
      <c r="AE11" s="104" t="n"/>
      <c r="AF11" s="103" t="n"/>
      <c r="AG11" s="104" t="n"/>
      <c r="AH11" s="103" t="n"/>
      <c r="AI11" s="104" t="n"/>
      <c r="AJ11" s="103" t="n"/>
      <c r="AK11" s="104" t="n"/>
      <c r="AL11" s="103" t="n"/>
      <c r="AM11" s="104" t="n"/>
      <c r="AN11" s="105" t="n"/>
      <c r="AO11" s="106" t="n"/>
      <c r="AP11" s="107" t="n"/>
      <c r="AQ11" s="106" t="n"/>
      <c r="AR11" s="107" t="n"/>
      <c r="AS11" s="106" t="n"/>
      <c r="AT11" s="107" t="n"/>
      <c r="AU11" s="106" t="n"/>
      <c r="AV11" s="107" t="n"/>
      <c r="AW11" s="106" t="n"/>
      <c r="AX11" s="107" t="n"/>
      <c r="AY11" s="106" t="n"/>
      <c r="AZ11" s="107" t="n"/>
      <c r="BA11" s="106" t="n"/>
      <c r="BB11" s="107" t="n"/>
      <c r="BC11" s="106" t="n"/>
      <c r="BD11" s="107" t="n"/>
      <c r="BE11" s="108" t="n"/>
      <c r="BF11" s="109" t="n"/>
      <c r="BG11" s="110" t="n"/>
      <c r="BH11" s="109" t="n"/>
      <c r="BI11" s="110" t="n"/>
      <c r="BJ11" s="109" t="n"/>
      <c r="BK11" s="110" t="n"/>
      <c r="BL11" s="109" t="n"/>
      <c r="BM11" s="110" t="n"/>
      <c r="BN11" s="109" t="n"/>
      <c r="BO11" s="110" t="n"/>
      <c r="BP11" s="109" t="n"/>
      <c r="BQ11" s="110" t="n"/>
      <c r="BR11" s="109" t="n"/>
      <c r="BS11" s="110" t="n"/>
      <c r="BT11" s="109" t="n"/>
      <c r="BU11" s="110" t="n"/>
      <c r="BV11" s="111" t="n"/>
      <c r="BW11" s="112" t="n"/>
      <c r="BX11" s="113" t="n"/>
      <c r="BY11" s="112" t="n"/>
      <c r="BZ11" s="113" t="n"/>
      <c r="CA11" s="112" t="n"/>
      <c r="CB11" s="113" t="n"/>
      <c r="CC11" s="112" t="n"/>
      <c r="CD11" s="113" t="n"/>
      <c r="CE11" s="112" t="n"/>
      <c r="CF11" s="113" t="n"/>
      <c r="CG11" s="112" t="n"/>
      <c r="CH11" s="113" t="n"/>
      <c r="CI11" s="112" t="n"/>
      <c r="CJ11" s="113" t="n"/>
      <c r="CK11" s="112" t="n"/>
      <c r="CL11" s="113" t="n"/>
      <c r="CM11" s="114" t="n"/>
      <c r="CN11" s="115" t="n"/>
      <c r="CO11" s="116" t="n"/>
      <c r="CP11" s="115" t="n"/>
      <c r="CQ11" s="116" t="n"/>
      <c r="CR11" s="115" t="n"/>
      <c r="CS11" s="116" t="n"/>
      <c r="CT11" s="115" t="n"/>
      <c r="CU11" s="116" t="n"/>
      <c r="CV11" s="115" t="n"/>
      <c r="CW11" s="116" t="n"/>
      <c r="CX11" s="115" t="n"/>
      <c r="CY11" s="116" t="n"/>
      <c r="CZ11" s="115" t="n"/>
      <c r="DA11" s="116" t="n"/>
      <c r="DB11" s="115" t="n"/>
      <c r="DC11" s="116" t="n"/>
      <c r="DD11" s="117" t="n"/>
      <c r="DE11" s="118" t="n"/>
      <c r="DF11" s="119" t="n"/>
      <c r="DG11" s="118" t="n"/>
      <c r="DH11" s="119" t="n"/>
      <c r="DI11" s="118" t="n"/>
      <c r="DJ11" s="119" t="n"/>
      <c r="DK11" s="118" t="n"/>
      <c r="DL11" s="119" t="n"/>
      <c r="DM11" s="118" t="n"/>
      <c r="DN11" s="119" t="n"/>
      <c r="DO11" s="118" t="n"/>
      <c r="DP11" s="119" t="n"/>
      <c r="DQ11" s="118" t="n"/>
      <c r="DR11" s="119" t="n"/>
      <c r="DS11" s="118" t="n"/>
      <c r="DT11" s="119" t="n"/>
      <c r="DU11" s="120" t="n"/>
      <c r="DV11" s="121" t="n"/>
      <c r="DW11" s="122" t="n"/>
      <c r="DX11" s="121" t="n"/>
      <c r="DY11" s="122" t="n"/>
      <c r="DZ11" s="121" t="n"/>
      <c r="EA11" s="122" t="n"/>
      <c r="EB11" s="121" t="n"/>
      <c r="EC11" s="122" t="n"/>
      <c r="ED11" s="121" t="n"/>
      <c r="EE11" s="122" t="n"/>
      <c r="EF11" s="121" t="n"/>
      <c r="EG11" s="122" t="n"/>
      <c r="EH11" s="121" t="n"/>
      <c r="EI11" s="122" t="n"/>
      <c r="EJ11" s="121" t="n"/>
      <c r="EK11" s="122" t="n"/>
      <c r="EL11" s="123" t="n"/>
      <c r="EM11" s="124" t="n"/>
      <c r="EN11" s="125" t="n"/>
      <c r="EO11" s="124" t="n"/>
      <c r="EP11" s="125" t="n"/>
      <c r="EQ11" s="124" t="n"/>
      <c r="ER11" s="125" t="n"/>
      <c r="ES11" s="124" t="n"/>
      <c r="ET11" s="125" t="n"/>
      <c r="EU11" s="124" t="n"/>
      <c r="EV11" s="125" t="n"/>
      <c r="EW11" s="124" t="n"/>
      <c r="EX11" s="125" t="n"/>
      <c r="EY11" s="124" t="n"/>
      <c r="EZ11" s="125" t="n"/>
      <c r="FA11" s="124" t="n"/>
      <c r="FB11" s="125" t="n"/>
      <c r="FC11" s="126" t="n"/>
      <c r="FD11" s="127" t="n"/>
      <c r="FE11" s="128" t="n"/>
      <c r="FF11" s="127" t="n"/>
      <c r="FG11" s="128" t="n"/>
      <c r="FH11" s="127" t="n"/>
      <c r="FI11" s="128" t="n"/>
      <c r="FJ11" s="127" t="n"/>
      <c r="FK11" s="128" t="n"/>
      <c r="FL11" s="127" t="n"/>
      <c r="FM11" s="128" t="n"/>
      <c r="FN11" s="127" t="n"/>
      <c r="FO11" s="128" t="n"/>
      <c r="FP11" s="127" t="n"/>
      <c r="FQ11" s="128" t="n"/>
      <c r="FR11" s="127" t="n"/>
      <c r="FS11" s="128" t="n"/>
      <c r="FT11" s="129" t="n"/>
      <c r="FU11" s="130" t="n"/>
      <c r="FV11" s="131" t="n"/>
      <c r="FW11" s="130" t="n"/>
      <c r="FX11" s="131" t="n"/>
      <c r="FY11" s="130" t="n"/>
      <c r="FZ11" s="131" t="n"/>
      <c r="GA11" s="130" t="n"/>
      <c r="GB11" s="131" t="n"/>
      <c r="GC11" s="130" t="n"/>
      <c r="GD11" s="131" t="n"/>
      <c r="GE11" s="130" t="n"/>
      <c r="GF11" s="131" t="n"/>
      <c r="GG11" s="130" t="n"/>
      <c r="GH11" s="131" t="n"/>
      <c r="GI11" s="130" t="n"/>
      <c r="GJ11" s="131" t="n"/>
      <c r="GK11" s="132" t="n"/>
      <c r="GL11" s="133" t="n"/>
      <c r="GM11" s="134" t="n"/>
      <c r="GN11" s="133" t="n"/>
      <c r="GO11" s="134" t="n"/>
      <c r="GP11" s="133" t="n"/>
      <c r="GQ11" s="134" t="n"/>
      <c r="GR11" s="133" t="n"/>
      <c r="GS11" s="134" t="n"/>
      <c r="GT11" s="133" t="n"/>
      <c r="GU11" s="134" t="n"/>
      <c r="GV11" s="133" t="n"/>
      <c r="GW11" s="134" t="n"/>
      <c r="GX11" s="133" t="n"/>
      <c r="GY11" s="134" t="n"/>
      <c r="GZ11" s="133" t="n"/>
      <c r="HA11" s="134" t="n"/>
      <c r="HB11" s="135" t="n"/>
      <c r="HC11">
        <f>97-SUMPRODUCT(MAX(($G$4:$HB$4="ح")*($G11:$HB11=TRUE)*(97-$G$47:$HB$47)))</f>
        <v>97</v>
      </c>
      <c r="HD11">
        <f>SUMPRODUCT(($G$4:$HB$4="ح")*($G11:$HB11=TRUE)*($G$47:$HB$47&gt;$HC$1-8))</f>
        <v>0</v>
      </c>
      <c r="HE11">
        <f>(COUNTIF($G11:$V11,TRUE)&gt;0)*($W11&lt;&gt;TRUE)+(COUNTIF($X11:$AM11,TRUE)&gt;0)*($AN11&lt;&gt;TRUE)+(COUNTIF($AO11:$BD11,TRUE)&gt;0)*($BE11&lt;&gt;TRUE)+(COUNTIF($BF11:$BU11,TRUE)&gt;0)*($BV11&lt;&gt;TRUE)+(COUNTIF($BW11:$CL11,TRUE)&gt;0)*($CM11&lt;&gt;TRUE)+(COUNTIF($CN11:$DC11,TRUE)&gt;0)*($DD11&lt;&gt;TRUE)+(COUNTIF($DE11:$DT11,TRUE)&gt;0)*($DU11&lt;&gt;TRUE)+(COUNTIF($DV11:$EK11,TRUE)&gt;0)*($EL11&lt;&gt;TRUE)+(COUNTIF($EM11:$FB11,TRUE)&gt;0)*($FC11&lt;&gt;TRUE)+(COUNTIF($FD11:$FS11,TRUE)&gt;0)*($FT11&lt;&gt;TRUE)+(COUNTIF($FU11:$GJ11,TRUE)&gt;0)*($GK11&lt;&gt;TRUE)+(COUNTIF($GL11:$HA11,TRUE)&gt;0)*($HB11&lt;&gt;TRUE)</f>
        <v>0</v>
      </c>
      <c r="HF11">
        <f>IF($HE11=0,0,13-MAX((COUNTIF($G11:$V11,TRUE)&gt;0)*($W11&lt;&gt;TRUE)*12,(COUNTIF($X11:$AM11,TRUE)&gt;0)*($AN11&lt;&gt;TRUE)*11,(COUNTIF($AO11:$BD11,TRUE)&gt;0)*($BE11&lt;&gt;TRUE)*10,(COUNTIF($BF11:$BU11,TRUE)&gt;0)*($BV11&lt;&gt;TRUE)*9,(COUNTIF($BW11:$CL11,TRUE)&gt;0)*($CM11&lt;&gt;TRUE)*8,(COUNTIF($CN11:$DC11,TRUE)&gt;0)*($DD11&lt;&gt;TRUE)*7,(COUNTIF($DE11:$DT11,TRUE)&gt;0)*($DU11&lt;&gt;TRUE)*6,(COUNTIF($DV11:$EK11,TRUE)&gt;0)*($EL11&lt;&gt;TRUE)*5,(COUNTIF($EM11:$FB11,TRUE)&gt;0)*($FC11&lt;&gt;TRUE)*4,(COUNTIF($FD11:$FS11,TRUE)&gt;0)*($FT11&lt;&gt;TRUE)*3,(COUNTIF($FU11:$GJ11,TRUE)&gt;0)*($GK11&lt;&gt;TRUE)*2,(COUNTIF($GL11:$HA11,TRUE)&gt;0)*($HB11&lt;&gt;TRUE)*1))</f>
        <v>0</v>
      </c>
    </row>
    <row r="12" ht="22.5" customHeight="1">
      <c r="A12" s="36" t="n">
        <v>8</v>
      </c>
      <c r="B12" s="97" t="n"/>
      <c r="C12" s="28" t="n"/>
      <c r="D12" s="98" t="str">
        <f>IF($B12="","",IF($HC12=97,"-",IF($HD12=0,"متوقف",SUMPRODUCT(($G$4:$HB$4="ح")*($G$20:$HB$20&gt;0)*($G12:$HB12&lt;&gt;TRUE)*($G$47:$HB$47&gt;$HC$1-8)*($G$47:$HB$47&gt;=$HC12)))))</f>
        <v/>
      </c>
      <c r="E12" s="98" t="str">
        <f>IF(OR($B12="",$HC12=97),"",SUMPRODUCT(($G$4:$HA$4="ح")*($G12:$HA12=TRUE)*($H12:$HB12&lt;&gt;TRUE)*($G$47:$HA$47&gt;$HC$1-8)))</f>
        <v/>
      </c>
      <c r="F12" s="99" t="str">
        <f>IF($B12="","",IF($HE12=0,IF($HC12=97,"-","تمام"),IF($HE12=1,IF(INDEX($G$1:$HB$1,1,17*($HF12-1)+1)="","شهر "&amp;$HF12,INDEX($G$1:$HB$1,1,17*($HF12-1)+1)),IF($HE12=2,"شهرين",$HE12&amp;" شهور"))))</f>
        <v/>
      </c>
      <c r="G12" s="100" t="n"/>
      <c r="H12" s="101" t="n"/>
      <c r="I12" s="100" t="n"/>
      <c r="J12" s="101" t="n"/>
      <c r="K12" s="100" t="n"/>
      <c r="L12" s="101" t="n"/>
      <c r="M12" s="100" t="n"/>
      <c r="N12" s="101" t="n"/>
      <c r="O12" s="100" t="n"/>
      <c r="P12" s="101" t="n"/>
      <c r="Q12" s="100" t="n"/>
      <c r="R12" s="101" t="n"/>
      <c r="S12" s="100" t="n"/>
      <c r="T12" s="101" t="n"/>
      <c r="U12" s="100" t="n"/>
      <c r="V12" s="101" t="n"/>
      <c r="W12" s="102" t="n"/>
      <c r="X12" s="103" t="n"/>
      <c r="Y12" s="104" t="n"/>
      <c r="Z12" s="103" t="n"/>
      <c r="AA12" s="104" t="n"/>
      <c r="AB12" s="103" t="n"/>
      <c r="AC12" s="104" t="n"/>
      <c r="AD12" s="103" t="n"/>
      <c r="AE12" s="104" t="n"/>
      <c r="AF12" s="103" t="n"/>
      <c r="AG12" s="104" t="n"/>
      <c r="AH12" s="103" t="n"/>
      <c r="AI12" s="104" t="n"/>
      <c r="AJ12" s="103" t="n"/>
      <c r="AK12" s="104" t="n"/>
      <c r="AL12" s="103" t="n"/>
      <c r="AM12" s="104" t="n"/>
      <c r="AN12" s="105" t="n"/>
      <c r="AO12" s="106" t="n"/>
      <c r="AP12" s="107" t="n"/>
      <c r="AQ12" s="106" t="n"/>
      <c r="AR12" s="107" t="n"/>
      <c r="AS12" s="106" t="n"/>
      <c r="AT12" s="107" t="n"/>
      <c r="AU12" s="106" t="n"/>
      <c r="AV12" s="107" t="n"/>
      <c r="AW12" s="106" t="n"/>
      <c r="AX12" s="107" t="n"/>
      <c r="AY12" s="106" t="n"/>
      <c r="AZ12" s="107" t="n"/>
      <c r="BA12" s="106" t="n"/>
      <c r="BB12" s="107" t="n"/>
      <c r="BC12" s="106" t="n"/>
      <c r="BD12" s="107" t="n"/>
      <c r="BE12" s="108" t="n"/>
      <c r="BF12" s="109" t="n"/>
      <c r="BG12" s="110" t="n"/>
      <c r="BH12" s="109" t="n"/>
      <c r="BI12" s="110" t="n"/>
      <c r="BJ12" s="109" t="n"/>
      <c r="BK12" s="110" t="n"/>
      <c r="BL12" s="109" t="n"/>
      <c r="BM12" s="110" t="n"/>
      <c r="BN12" s="109" t="n"/>
      <c r="BO12" s="110" t="n"/>
      <c r="BP12" s="109" t="n"/>
      <c r="BQ12" s="110" t="n"/>
      <c r="BR12" s="109" t="n"/>
      <c r="BS12" s="110" t="n"/>
      <c r="BT12" s="109" t="n"/>
      <c r="BU12" s="110" t="n"/>
      <c r="BV12" s="111" t="n"/>
      <c r="BW12" s="112" t="n"/>
      <c r="BX12" s="113" t="n"/>
      <c r="BY12" s="112" t="n"/>
      <c r="BZ12" s="113" t="n"/>
      <c r="CA12" s="112" t="n"/>
      <c r="CB12" s="113" t="n"/>
      <c r="CC12" s="112" t="n"/>
      <c r="CD12" s="113" t="n"/>
      <c r="CE12" s="112" t="n"/>
      <c r="CF12" s="113" t="n"/>
      <c r="CG12" s="112" t="n"/>
      <c r="CH12" s="113" t="n"/>
      <c r="CI12" s="112" t="n"/>
      <c r="CJ12" s="113" t="n"/>
      <c r="CK12" s="112" t="n"/>
      <c r="CL12" s="113" t="n"/>
      <c r="CM12" s="114" t="n"/>
      <c r="CN12" s="115" t="n"/>
      <c r="CO12" s="116" t="n"/>
      <c r="CP12" s="115" t="n"/>
      <c r="CQ12" s="116" t="n"/>
      <c r="CR12" s="115" t="n"/>
      <c r="CS12" s="116" t="n"/>
      <c r="CT12" s="115" t="n"/>
      <c r="CU12" s="116" t="n"/>
      <c r="CV12" s="115" t="n"/>
      <c r="CW12" s="116" t="n"/>
      <c r="CX12" s="115" t="n"/>
      <c r="CY12" s="116" t="n"/>
      <c r="CZ12" s="115" t="n"/>
      <c r="DA12" s="116" t="n"/>
      <c r="DB12" s="115" t="n"/>
      <c r="DC12" s="116" t="n"/>
      <c r="DD12" s="117" t="n"/>
      <c r="DE12" s="118" t="n"/>
      <c r="DF12" s="119" t="n"/>
      <c r="DG12" s="118" t="n"/>
      <c r="DH12" s="119" t="n"/>
      <c r="DI12" s="118" t="n"/>
      <c r="DJ12" s="119" t="n"/>
      <c r="DK12" s="118" t="n"/>
      <c r="DL12" s="119" t="n"/>
      <c r="DM12" s="118" t="n"/>
      <c r="DN12" s="119" t="n"/>
      <c r="DO12" s="118" t="n"/>
      <c r="DP12" s="119" t="n"/>
      <c r="DQ12" s="118" t="n"/>
      <c r="DR12" s="119" t="n"/>
      <c r="DS12" s="118" t="n"/>
      <c r="DT12" s="119" t="n"/>
      <c r="DU12" s="120" t="n"/>
      <c r="DV12" s="121" t="n"/>
      <c r="DW12" s="122" t="n"/>
      <c r="DX12" s="121" t="n"/>
      <c r="DY12" s="122" t="n"/>
      <c r="DZ12" s="121" t="n"/>
      <c r="EA12" s="122" t="n"/>
      <c r="EB12" s="121" t="n"/>
      <c r="EC12" s="122" t="n"/>
      <c r="ED12" s="121" t="n"/>
      <c r="EE12" s="122" t="n"/>
      <c r="EF12" s="121" t="n"/>
      <c r="EG12" s="122" t="n"/>
      <c r="EH12" s="121" t="n"/>
      <c r="EI12" s="122" t="n"/>
      <c r="EJ12" s="121" t="n"/>
      <c r="EK12" s="122" t="n"/>
      <c r="EL12" s="123" t="n"/>
      <c r="EM12" s="124" t="n"/>
      <c r="EN12" s="125" t="n"/>
      <c r="EO12" s="124" t="n"/>
      <c r="EP12" s="125" t="n"/>
      <c r="EQ12" s="124" t="n"/>
      <c r="ER12" s="125" t="n"/>
      <c r="ES12" s="124" t="n"/>
      <c r="ET12" s="125" t="n"/>
      <c r="EU12" s="124" t="n"/>
      <c r="EV12" s="125" t="n"/>
      <c r="EW12" s="124" t="n"/>
      <c r="EX12" s="125" t="n"/>
      <c r="EY12" s="124" t="n"/>
      <c r="EZ12" s="125" t="n"/>
      <c r="FA12" s="124" t="n"/>
      <c r="FB12" s="125" t="n"/>
      <c r="FC12" s="126" t="n"/>
      <c r="FD12" s="127" t="n"/>
      <c r="FE12" s="128" t="n"/>
      <c r="FF12" s="127" t="n"/>
      <c r="FG12" s="128" t="n"/>
      <c r="FH12" s="127" t="n"/>
      <c r="FI12" s="128" t="n"/>
      <c r="FJ12" s="127" t="n"/>
      <c r="FK12" s="128" t="n"/>
      <c r="FL12" s="127" t="n"/>
      <c r="FM12" s="128" t="n"/>
      <c r="FN12" s="127" t="n"/>
      <c r="FO12" s="128" t="n"/>
      <c r="FP12" s="127" t="n"/>
      <c r="FQ12" s="128" t="n"/>
      <c r="FR12" s="127" t="n"/>
      <c r="FS12" s="128" t="n"/>
      <c r="FT12" s="129" t="n"/>
      <c r="FU12" s="130" t="n"/>
      <c r="FV12" s="131" t="n"/>
      <c r="FW12" s="130" t="n"/>
      <c r="FX12" s="131" t="n"/>
      <c r="FY12" s="130" t="n"/>
      <c r="FZ12" s="131" t="n"/>
      <c r="GA12" s="130" t="n"/>
      <c r="GB12" s="131" t="n"/>
      <c r="GC12" s="130" t="n"/>
      <c r="GD12" s="131" t="n"/>
      <c r="GE12" s="130" t="n"/>
      <c r="GF12" s="131" t="n"/>
      <c r="GG12" s="130" t="n"/>
      <c r="GH12" s="131" t="n"/>
      <c r="GI12" s="130" t="n"/>
      <c r="GJ12" s="131" t="n"/>
      <c r="GK12" s="132" t="n"/>
      <c r="GL12" s="133" t="n"/>
      <c r="GM12" s="134" t="n"/>
      <c r="GN12" s="133" t="n"/>
      <c r="GO12" s="134" t="n"/>
      <c r="GP12" s="133" t="n"/>
      <c r="GQ12" s="134" t="n"/>
      <c r="GR12" s="133" t="n"/>
      <c r="GS12" s="134" t="n"/>
      <c r="GT12" s="133" t="n"/>
      <c r="GU12" s="134" t="n"/>
      <c r="GV12" s="133" t="n"/>
      <c r="GW12" s="134" t="n"/>
      <c r="GX12" s="133" t="n"/>
      <c r="GY12" s="134" t="n"/>
      <c r="GZ12" s="133" t="n"/>
      <c r="HA12" s="134" t="n"/>
      <c r="HB12" s="135" t="n"/>
      <c r="HC12">
        <f>97-SUMPRODUCT(MAX(($G$4:$HB$4="ح")*($G12:$HB12=TRUE)*(97-$G$47:$HB$47)))</f>
        <v>97</v>
      </c>
      <c r="HD12">
        <f>SUMPRODUCT(($G$4:$HB$4="ح")*($G12:$HB12=TRUE)*($G$47:$HB$47&gt;$HC$1-8))</f>
        <v>0</v>
      </c>
      <c r="HE12">
        <f>(COUNTIF($G12:$V12,TRUE)&gt;0)*($W12&lt;&gt;TRUE)+(COUNTIF($X12:$AM12,TRUE)&gt;0)*($AN12&lt;&gt;TRUE)+(COUNTIF($AO12:$BD12,TRUE)&gt;0)*($BE12&lt;&gt;TRUE)+(COUNTIF($BF12:$BU12,TRUE)&gt;0)*($BV12&lt;&gt;TRUE)+(COUNTIF($BW12:$CL12,TRUE)&gt;0)*($CM12&lt;&gt;TRUE)+(COUNTIF($CN12:$DC12,TRUE)&gt;0)*($DD12&lt;&gt;TRUE)+(COUNTIF($DE12:$DT12,TRUE)&gt;0)*($DU12&lt;&gt;TRUE)+(COUNTIF($DV12:$EK12,TRUE)&gt;0)*($EL12&lt;&gt;TRUE)+(COUNTIF($EM12:$FB12,TRUE)&gt;0)*($FC12&lt;&gt;TRUE)+(COUNTIF($FD12:$FS12,TRUE)&gt;0)*($FT12&lt;&gt;TRUE)+(COUNTIF($FU12:$GJ12,TRUE)&gt;0)*($GK12&lt;&gt;TRUE)+(COUNTIF($GL12:$HA12,TRUE)&gt;0)*($HB12&lt;&gt;TRUE)</f>
        <v>0</v>
      </c>
      <c r="HF12">
        <f>IF($HE12=0,0,13-MAX((COUNTIF($G12:$V12,TRUE)&gt;0)*($W12&lt;&gt;TRUE)*12,(COUNTIF($X12:$AM12,TRUE)&gt;0)*($AN12&lt;&gt;TRUE)*11,(COUNTIF($AO12:$BD12,TRUE)&gt;0)*($BE12&lt;&gt;TRUE)*10,(COUNTIF($BF12:$BU12,TRUE)&gt;0)*($BV12&lt;&gt;TRUE)*9,(COUNTIF($BW12:$CL12,TRUE)&gt;0)*($CM12&lt;&gt;TRUE)*8,(COUNTIF($CN12:$DC12,TRUE)&gt;0)*($DD12&lt;&gt;TRUE)*7,(COUNTIF($DE12:$DT12,TRUE)&gt;0)*($DU12&lt;&gt;TRUE)*6,(COUNTIF($DV12:$EK12,TRUE)&gt;0)*($EL12&lt;&gt;TRUE)*5,(COUNTIF($EM12:$FB12,TRUE)&gt;0)*($FC12&lt;&gt;TRUE)*4,(COUNTIF($FD12:$FS12,TRUE)&gt;0)*($FT12&lt;&gt;TRUE)*3,(COUNTIF($FU12:$GJ12,TRUE)&gt;0)*($GK12&lt;&gt;TRUE)*2,(COUNTIF($GL12:$HA12,TRUE)&gt;0)*($HB12&lt;&gt;TRUE)*1))</f>
        <v>0</v>
      </c>
    </row>
    <row r="13" ht="22.5" customHeight="1">
      <c r="A13" s="36" t="n">
        <v>9</v>
      </c>
      <c r="B13" s="97" t="n"/>
      <c r="C13" s="28" t="n"/>
      <c r="D13" s="98" t="str">
        <f>IF($B13="","",IF($HC13=97,"-",IF($HD13=0,"متوقف",SUMPRODUCT(($G$4:$HB$4="ح")*($G$20:$HB$20&gt;0)*($G13:$HB13&lt;&gt;TRUE)*($G$47:$HB$47&gt;$HC$1-8)*($G$47:$HB$47&gt;=$HC13)))))</f>
        <v/>
      </c>
      <c r="E13" s="98" t="str">
        <f>IF(OR($B13="",$HC13=97),"",SUMPRODUCT(($G$4:$HA$4="ح")*($G13:$HA13=TRUE)*($H13:$HB13&lt;&gt;TRUE)*($G$47:$HA$47&gt;$HC$1-8)))</f>
        <v/>
      </c>
      <c r="F13" s="99" t="str">
        <f>IF($B13="","",IF($HE13=0,IF($HC13=97,"-","تمام"),IF($HE13=1,IF(INDEX($G$1:$HB$1,1,17*($HF13-1)+1)="","شهر "&amp;$HF13,INDEX($G$1:$HB$1,1,17*($HF13-1)+1)),IF($HE13=2,"شهرين",$HE13&amp;" شهور"))))</f>
        <v/>
      </c>
      <c r="G13" s="100" t="n"/>
      <c r="H13" s="101" t="n"/>
      <c r="I13" s="100" t="n"/>
      <c r="J13" s="101" t="n"/>
      <c r="K13" s="100" t="n"/>
      <c r="L13" s="101" t="n"/>
      <c r="M13" s="100" t="n"/>
      <c r="N13" s="101" t="n"/>
      <c r="O13" s="100" t="n"/>
      <c r="P13" s="101" t="n"/>
      <c r="Q13" s="100" t="n"/>
      <c r="R13" s="101" t="n"/>
      <c r="S13" s="100" t="n"/>
      <c r="T13" s="101" t="n"/>
      <c r="U13" s="100" t="n"/>
      <c r="V13" s="101" t="n"/>
      <c r="W13" s="102" t="n"/>
      <c r="X13" s="103" t="n"/>
      <c r="Y13" s="104" t="n"/>
      <c r="Z13" s="103" t="n"/>
      <c r="AA13" s="104" t="n"/>
      <c r="AB13" s="103" t="n"/>
      <c r="AC13" s="104" t="n"/>
      <c r="AD13" s="103" t="n"/>
      <c r="AE13" s="104" t="n"/>
      <c r="AF13" s="103" t="n"/>
      <c r="AG13" s="104" t="n"/>
      <c r="AH13" s="103" t="n"/>
      <c r="AI13" s="104" t="n"/>
      <c r="AJ13" s="103" t="n"/>
      <c r="AK13" s="104" t="n"/>
      <c r="AL13" s="103" t="n"/>
      <c r="AM13" s="104" t="n"/>
      <c r="AN13" s="105" t="n"/>
      <c r="AO13" s="106" t="n"/>
      <c r="AP13" s="107" t="n"/>
      <c r="AQ13" s="106" t="n"/>
      <c r="AR13" s="107" t="n"/>
      <c r="AS13" s="106" t="n"/>
      <c r="AT13" s="107" t="n"/>
      <c r="AU13" s="106" t="n"/>
      <c r="AV13" s="107" t="n"/>
      <c r="AW13" s="106" t="n"/>
      <c r="AX13" s="107" t="n"/>
      <c r="AY13" s="106" t="n"/>
      <c r="AZ13" s="107" t="n"/>
      <c r="BA13" s="106" t="n"/>
      <c r="BB13" s="107" t="n"/>
      <c r="BC13" s="106" t="n"/>
      <c r="BD13" s="107" t="n"/>
      <c r="BE13" s="108" t="n"/>
      <c r="BF13" s="109" t="n"/>
      <c r="BG13" s="110" t="n"/>
      <c r="BH13" s="109" t="n"/>
      <c r="BI13" s="110" t="n"/>
      <c r="BJ13" s="109" t="n"/>
      <c r="BK13" s="110" t="n"/>
      <c r="BL13" s="109" t="n"/>
      <c r="BM13" s="110" t="n"/>
      <c r="BN13" s="109" t="n"/>
      <c r="BO13" s="110" t="n"/>
      <c r="BP13" s="109" t="n"/>
      <c r="BQ13" s="110" t="n"/>
      <c r="BR13" s="109" t="n"/>
      <c r="BS13" s="110" t="n"/>
      <c r="BT13" s="109" t="n"/>
      <c r="BU13" s="110" t="n"/>
      <c r="BV13" s="111" t="n"/>
      <c r="BW13" s="112" t="n"/>
      <c r="BX13" s="113" t="n"/>
      <c r="BY13" s="112" t="n"/>
      <c r="BZ13" s="113" t="n"/>
      <c r="CA13" s="112" t="n"/>
      <c r="CB13" s="113" t="n"/>
      <c r="CC13" s="112" t="n"/>
      <c r="CD13" s="113" t="n"/>
      <c r="CE13" s="112" t="n"/>
      <c r="CF13" s="113" t="n"/>
      <c r="CG13" s="112" t="n"/>
      <c r="CH13" s="113" t="n"/>
      <c r="CI13" s="112" t="n"/>
      <c r="CJ13" s="113" t="n"/>
      <c r="CK13" s="112" t="n"/>
      <c r="CL13" s="113" t="n"/>
      <c r="CM13" s="114" t="n"/>
      <c r="CN13" s="115" t="n"/>
      <c r="CO13" s="116" t="n"/>
      <c r="CP13" s="115" t="n"/>
      <c r="CQ13" s="116" t="n"/>
      <c r="CR13" s="115" t="n"/>
      <c r="CS13" s="116" t="n"/>
      <c r="CT13" s="115" t="n"/>
      <c r="CU13" s="116" t="n"/>
      <c r="CV13" s="115" t="n"/>
      <c r="CW13" s="116" t="n"/>
      <c r="CX13" s="115" t="n"/>
      <c r="CY13" s="116" t="n"/>
      <c r="CZ13" s="115" t="n"/>
      <c r="DA13" s="116" t="n"/>
      <c r="DB13" s="115" t="n"/>
      <c r="DC13" s="116" t="n"/>
      <c r="DD13" s="117" t="n"/>
      <c r="DE13" s="118" t="n"/>
      <c r="DF13" s="119" t="n"/>
      <c r="DG13" s="118" t="n"/>
      <c r="DH13" s="119" t="n"/>
      <c r="DI13" s="118" t="n"/>
      <c r="DJ13" s="119" t="n"/>
      <c r="DK13" s="118" t="n"/>
      <c r="DL13" s="119" t="n"/>
      <c r="DM13" s="118" t="n"/>
      <c r="DN13" s="119" t="n"/>
      <c r="DO13" s="118" t="n"/>
      <c r="DP13" s="119" t="n"/>
      <c r="DQ13" s="118" t="n"/>
      <c r="DR13" s="119" t="n"/>
      <c r="DS13" s="118" t="n"/>
      <c r="DT13" s="119" t="n"/>
      <c r="DU13" s="120" t="n"/>
      <c r="DV13" s="121" t="n"/>
      <c r="DW13" s="122" t="n"/>
      <c r="DX13" s="121" t="n"/>
      <c r="DY13" s="122" t="n"/>
      <c r="DZ13" s="121" t="n"/>
      <c r="EA13" s="122" t="n"/>
      <c r="EB13" s="121" t="n"/>
      <c r="EC13" s="122" t="n"/>
      <c r="ED13" s="121" t="n"/>
      <c r="EE13" s="122" t="n"/>
      <c r="EF13" s="121" t="n"/>
      <c r="EG13" s="122" t="n"/>
      <c r="EH13" s="121" t="n"/>
      <c r="EI13" s="122" t="n"/>
      <c r="EJ13" s="121" t="n"/>
      <c r="EK13" s="122" t="n"/>
      <c r="EL13" s="123" t="n"/>
      <c r="EM13" s="124" t="n"/>
      <c r="EN13" s="125" t="n"/>
      <c r="EO13" s="124" t="n"/>
      <c r="EP13" s="125" t="n"/>
      <c r="EQ13" s="124" t="n"/>
      <c r="ER13" s="125" t="n"/>
      <c r="ES13" s="124" t="n"/>
      <c r="ET13" s="125" t="n"/>
      <c r="EU13" s="124" t="n"/>
      <c r="EV13" s="125" t="n"/>
      <c r="EW13" s="124" t="n"/>
      <c r="EX13" s="125" t="n"/>
      <c r="EY13" s="124" t="n"/>
      <c r="EZ13" s="125" t="n"/>
      <c r="FA13" s="124" t="n"/>
      <c r="FB13" s="125" t="n"/>
      <c r="FC13" s="126" t="n"/>
      <c r="FD13" s="127" t="n"/>
      <c r="FE13" s="128" t="n"/>
      <c r="FF13" s="127" t="n"/>
      <c r="FG13" s="128" t="n"/>
      <c r="FH13" s="127" t="n"/>
      <c r="FI13" s="128" t="n"/>
      <c r="FJ13" s="127" t="n"/>
      <c r="FK13" s="128" t="n"/>
      <c r="FL13" s="127" t="n"/>
      <c r="FM13" s="128" t="n"/>
      <c r="FN13" s="127" t="n"/>
      <c r="FO13" s="128" t="n"/>
      <c r="FP13" s="127" t="n"/>
      <c r="FQ13" s="128" t="n"/>
      <c r="FR13" s="127" t="n"/>
      <c r="FS13" s="128" t="n"/>
      <c r="FT13" s="129" t="n"/>
      <c r="FU13" s="130" t="n"/>
      <c r="FV13" s="131" t="n"/>
      <c r="FW13" s="130" t="n"/>
      <c r="FX13" s="131" t="n"/>
      <c r="FY13" s="130" t="n"/>
      <c r="FZ13" s="131" t="n"/>
      <c r="GA13" s="130" t="n"/>
      <c r="GB13" s="131" t="n"/>
      <c r="GC13" s="130" t="n"/>
      <c r="GD13" s="131" t="n"/>
      <c r="GE13" s="130" t="n"/>
      <c r="GF13" s="131" t="n"/>
      <c r="GG13" s="130" t="n"/>
      <c r="GH13" s="131" t="n"/>
      <c r="GI13" s="130" t="n"/>
      <c r="GJ13" s="131" t="n"/>
      <c r="GK13" s="132" t="n"/>
      <c r="GL13" s="133" t="n"/>
      <c r="GM13" s="134" t="n"/>
      <c r="GN13" s="133" t="n"/>
      <c r="GO13" s="134" t="n"/>
      <c r="GP13" s="133" t="n"/>
      <c r="GQ13" s="134" t="n"/>
      <c r="GR13" s="133" t="n"/>
      <c r="GS13" s="134" t="n"/>
      <c r="GT13" s="133" t="n"/>
      <c r="GU13" s="134" t="n"/>
      <c r="GV13" s="133" t="n"/>
      <c r="GW13" s="134" t="n"/>
      <c r="GX13" s="133" t="n"/>
      <c r="GY13" s="134" t="n"/>
      <c r="GZ13" s="133" t="n"/>
      <c r="HA13" s="134" t="n"/>
      <c r="HB13" s="135" t="n"/>
      <c r="HC13">
        <f>97-SUMPRODUCT(MAX(($G$4:$HB$4="ح")*($G13:$HB13=TRUE)*(97-$G$47:$HB$47)))</f>
        <v>97</v>
      </c>
      <c r="HD13">
        <f>SUMPRODUCT(($G$4:$HB$4="ح")*($G13:$HB13=TRUE)*($G$47:$HB$47&gt;$HC$1-8))</f>
        <v>0</v>
      </c>
      <c r="HE13">
        <f>(COUNTIF($G13:$V13,TRUE)&gt;0)*($W13&lt;&gt;TRUE)+(COUNTIF($X13:$AM13,TRUE)&gt;0)*($AN13&lt;&gt;TRUE)+(COUNTIF($AO13:$BD13,TRUE)&gt;0)*($BE13&lt;&gt;TRUE)+(COUNTIF($BF13:$BU13,TRUE)&gt;0)*($BV13&lt;&gt;TRUE)+(COUNTIF($BW13:$CL13,TRUE)&gt;0)*($CM13&lt;&gt;TRUE)+(COUNTIF($CN13:$DC13,TRUE)&gt;0)*($DD13&lt;&gt;TRUE)+(COUNTIF($DE13:$DT13,TRUE)&gt;0)*($DU13&lt;&gt;TRUE)+(COUNTIF($DV13:$EK13,TRUE)&gt;0)*($EL13&lt;&gt;TRUE)+(COUNTIF($EM13:$FB13,TRUE)&gt;0)*($FC13&lt;&gt;TRUE)+(COUNTIF($FD13:$FS13,TRUE)&gt;0)*($FT13&lt;&gt;TRUE)+(COUNTIF($FU13:$GJ13,TRUE)&gt;0)*($GK13&lt;&gt;TRUE)+(COUNTIF($GL13:$HA13,TRUE)&gt;0)*($HB13&lt;&gt;TRUE)</f>
        <v>0</v>
      </c>
      <c r="HF13">
        <f>IF($HE13=0,0,13-MAX((COUNTIF($G13:$V13,TRUE)&gt;0)*($W13&lt;&gt;TRUE)*12,(COUNTIF($X13:$AM13,TRUE)&gt;0)*($AN13&lt;&gt;TRUE)*11,(COUNTIF($AO13:$BD13,TRUE)&gt;0)*($BE13&lt;&gt;TRUE)*10,(COUNTIF($BF13:$BU13,TRUE)&gt;0)*($BV13&lt;&gt;TRUE)*9,(COUNTIF($BW13:$CL13,TRUE)&gt;0)*($CM13&lt;&gt;TRUE)*8,(COUNTIF($CN13:$DC13,TRUE)&gt;0)*($DD13&lt;&gt;TRUE)*7,(COUNTIF($DE13:$DT13,TRUE)&gt;0)*($DU13&lt;&gt;TRUE)*6,(COUNTIF($DV13:$EK13,TRUE)&gt;0)*($EL13&lt;&gt;TRUE)*5,(COUNTIF($EM13:$FB13,TRUE)&gt;0)*($FC13&lt;&gt;TRUE)*4,(COUNTIF($FD13:$FS13,TRUE)&gt;0)*($FT13&lt;&gt;TRUE)*3,(COUNTIF($FU13:$GJ13,TRUE)&gt;0)*($GK13&lt;&gt;TRUE)*2,(COUNTIF($GL13:$HA13,TRUE)&gt;0)*($HB13&lt;&gt;TRUE)*1))</f>
        <v>0</v>
      </c>
    </row>
    <row r="14" ht="22.5" customHeight="1">
      <c r="A14" s="36" t="n">
        <v>10</v>
      </c>
      <c r="B14" s="97" t="n"/>
      <c r="C14" s="28" t="n"/>
      <c r="D14" s="98" t="str">
        <f>IF($B14="","",IF($HC14=97,"-",IF($HD14=0,"متوقف",SUMPRODUCT(($G$4:$HB$4="ح")*($G$20:$HB$20&gt;0)*($G14:$HB14&lt;&gt;TRUE)*($G$47:$HB$47&gt;$HC$1-8)*($G$47:$HB$47&gt;=$HC14)))))</f>
        <v/>
      </c>
      <c r="E14" s="98" t="str">
        <f>IF(OR($B14="",$HC14=97),"",SUMPRODUCT(($G$4:$HA$4="ح")*($G14:$HA14=TRUE)*($H14:$HB14&lt;&gt;TRUE)*($G$47:$HA$47&gt;$HC$1-8)))</f>
        <v/>
      </c>
      <c r="F14" s="99" t="str">
        <f>IF($B14="","",IF($HE14=0,IF($HC14=97,"-","تمام"),IF($HE14=1,IF(INDEX($G$1:$HB$1,1,17*($HF14-1)+1)="","شهر "&amp;$HF14,INDEX($G$1:$HB$1,1,17*($HF14-1)+1)),IF($HE14=2,"شهرين",$HE14&amp;" شهور"))))</f>
        <v/>
      </c>
      <c r="G14" s="100" t="n"/>
      <c r="H14" s="101" t="n"/>
      <c r="I14" s="100" t="n"/>
      <c r="J14" s="101" t="n"/>
      <c r="K14" s="100" t="n"/>
      <c r="L14" s="101" t="n"/>
      <c r="M14" s="100" t="n"/>
      <c r="N14" s="101" t="n"/>
      <c r="O14" s="100" t="n"/>
      <c r="P14" s="101" t="n"/>
      <c r="Q14" s="100" t="n"/>
      <c r="R14" s="101" t="n"/>
      <c r="S14" s="100" t="n"/>
      <c r="T14" s="101" t="n"/>
      <c r="U14" s="100" t="n"/>
      <c r="V14" s="101" t="n"/>
      <c r="W14" s="102" t="n"/>
      <c r="X14" s="103" t="n"/>
      <c r="Y14" s="104" t="n"/>
      <c r="Z14" s="103" t="n"/>
      <c r="AA14" s="104" t="n"/>
      <c r="AB14" s="103" t="n"/>
      <c r="AC14" s="104" t="n"/>
      <c r="AD14" s="103" t="n"/>
      <c r="AE14" s="104" t="n"/>
      <c r="AF14" s="103" t="n"/>
      <c r="AG14" s="104" t="n"/>
      <c r="AH14" s="103" t="n"/>
      <c r="AI14" s="104" t="n"/>
      <c r="AJ14" s="103" t="n"/>
      <c r="AK14" s="104" t="n"/>
      <c r="AL14" s="103" t="n"/>
      <c r="AM14" s="104" t="n"/>
      <c r="AN14" s="105" t="n"/>
      <c r="AO14" s="106" t="n"/>
      <c r="AP14" s="107" t="n"/>
      <c r="AQ14" s="106" t="n"/>
      <c r="AR14" s="107" t="n"/>
      <c r="AS14" s="106" t="n"/>
      <c r="AT14" s="107" t="n"/>
      <c r="AU14" s="106" t="n"/>
      <c r="AV14" s="107" t="n"/>
      <c r="AW14" s="106" t="n"/>
      <c r="AX14" s="107" t="n"/>
      <c r="AY14" s="106" t="n"/>
      <c r="AZ14" s="107" t="n"/>
      <c r="BA14" s="106" t="n"/>
      <c r="BB14" s="107" t="n"/>
      <c r="BC14" s="106" t="n"/>
      <c r="BD14" s="107" t="n"/>
      <c r="BE14" s="108" t="n"/>
      <c r="BF14" s="109" t="n"/>
      <c r="BG14" s="110" t="n"/>
      <c r="BH14" s="109" t="n"/>
      <c r="BI14" s="110" t="n"/>
      <c r="BJ14" s="109" t="n"/>
      <c r="BK14" s="110" t="n"/>
      <c r="BL14" s="109" t="n"/>
      <c r="BM14" s="110" t="n"/>
      <c r="BN14" s="109" t="n"/>
      <c r="BO14" s="110" t="n"/>
      <c r="BP14" s="109" t="n"/>
      <c r="BQ14" s="110" t="n"/>
      <c r="BR14" s="109" t="n"/>
      <c r="BS14" s="110" t="n"/>
      <c r="BT14" s="109" t="n"/>
      <c r="BU14" s="110" t="n"/>
      <c r="BV14" s="111" t="n"/>
      <c r="BW14" s="112" t="n"/>
      <c r="BX14" s="113" t="n"/>
      <c r="BY14" s="112" t="n"/>
      <c r="BZ14" s="113" t="n"/>
      <c r="CA14" s="112" t="n"/>
      <c r="CB14" s="113" t="n"/>
      <c r="CC14" s="112" t="n"/>
      <c r="CD14" s="113" t="n"/>
      <c r="CE14" s="112" t="n"/>
      <c r="CF14" s="113" t="n"/>
      <c r="CG14" s="112" t="n"/>
      <c r="CH14" s="113" t="n"/>
      <c r="CI14" s="112" t="n"/>
      <c r="CJ14" s="113" t="n"/>
      <c r="CK14" s="112" t="n"/>
      <c r="CL14" s="113" t="n"/>
      <c r="CM14" s="114" t="n"/>
      <c r="CN14" s="115" t="n"/>
      <c r="CO14" s="116" t="n"/>
      <c r="CP14" s="115" t="n"/>
      <c r="CQ14" s="116" t="n"/>
      <c r="CR14" s="115" t="n"/>
      <c r="CS14" s="116" t="n"/>
      <c r="CT14" s="115" t="n"/>
      <c r="CU14" s="116" t="n"/>
      <c r="CV14" s="115" t="n"/>
      <c r="CW14" s="116" t="n"/>
      <c r="CX14" s="115" t="n"/>
      <c r="CY14" s="116" t="n"/>
      <c r="CZ14" s="115" t="n"/>
      <c r="DA14" s="116" t="n"/>
      <c r="DB14" s="115" t="n"/>
      <c r="DC14" s="116" t="n"/>
      <c r="DD14" s="117" t="n"/>
      <c r="DE14" s="118" t="n"/>
      <c r="DF14" s="119" t="n"/>
      <c r="DG14" s="118" t="n"/>
      <c r="DH14" s="119" t="n"/>
      <c r="DI14" s="118" t="n"/>
      <c r="DJ14" s="119" t="n"/>
      <c r="DK14" s="118" t="n"/>
      <c r="DL14" s="119" t="n"/>
      <c r="DM14" s="118" t="n"/>
      <c r="DN14" s="119" t="n"/>
      <c r="DO14" s="118" t="n"/>
      <c r="DP14" s="119" t="n"/>
      <c r="DQ14" s="118" t="n"/>
      <c r="DR14" s="119" t="n"/>
      <c r="DS14" s="118" t="n"/>
      <c r="DT14" s="119" t="n"/>
      <c r="DU14" s="120" t="n"/>
      <c r="DV14" s="121" t="n"/>
      <c r="DW14" s="122" t="n"/>
      <c r="DX14" s="121" t="n"/>
      <c r="DY14" s="122" t="n"/>
      <c r="DZ14" s="121" t="n"/>
      <c r="EA14" s="122" t="n"/>
      <c r="EB14" s="121" t="n"/>
      <c r="EC14" s="122" t="n"/>
      <c r="ED14" s="121" t="n"/>
      <c r="EE14" s="122" t="n"/>
      <c r="EF14" s="121" t="n"/>
      <c r="EG14" s="122" t="n"/>
      <c r="EH14" s="121" t="n"/>
      <c r="EI14" s="122" t="n"/>
      <c r="EJ14" s="121" t="n"/>
      <c r="EK14" s="122" t="n"/>
      <c r="EL14" s="123" t="n"/>
      <c r="EM14" s="124" t="n"/>
      <c r="EN14" s="125" t="n"/>
      <c r="EO14" s="124" t="n"/>
      <c r="EP14" s="125" t="n"/>
      <c r="EQ14" s="124" t="n"/>
      <c r="ER14" s="125" t="n"/>
      <c r="ES14" s="124" t="n"/>
      <c r="ET14" s="125" t="n"/>
      <c r="EU14" s="124" t="n"/>
      <c r="EV14" s="125" t="n"/>
      <c r="EW14" s="124" t="n"/>
      <c r="EX14" s="125" t="n"/>
      <c r="EY14" s="124" t="n"/>
      <c r="EZ14" s="125" t="n"/>
      <c r="FA14" s="124" t="n"/>
      <c r="FB14" s="125" t="n"/>
      <c r="FC14" s="126" t="n"/>
      <c r="FD14" s="127" t="n"/>
      <c r="FE14" s="128" t="n"/>
      <c r="FF14" s="127" t="n"/>
      <c r="FG14" s="128" t="n"/>
      <c r="FH14" s="127" t="n"/>
      <c r="FI14" s="128" t="n"/>
      <c r="FJ14" s="127" t="n"/>
      <c r="FK14" s="128" t="n"/>
      <c r="FL14" s="127" t="n"/>
      <c r="FM14" s="128" t="n"/>
      <c r="FN14" s="127" t="n"/>
      <c r="FO14" s="128" t="n"/>
      <c r="FP14" s="127" t="n"/>
      <c r="FQ14" s="128" t="n"/>
      <c r="FR14" s="127" t="n"/>
      <c r="FS14" s="128" t="n"/>
      <c r="FT14" s="129" t="n"/>
      <c r="FU14" s="130" t="n"/>
      <c r="FV14" s="131" t="n"/>
      <c r="FW14" s="130" t="n"/>
      <c r="FX14" s="131" t="n"/>
      <c r="FY14" s="130" t="n"/>
      <c r="FZ14" s="131" t="n"/>
      <c r="GA14" s="130" t="n"/>
      <c r="GB14" s="131" t="n"/>
      <c r="GC14" s="130" t="n"/>
      <c r="GD14" s="131" t="n"/>
      <c r="GE14" s="130" t="n"/>
      <c r="GF14" s="131" t="n"/>
      <c r="GG14" s="130" t="n"/>
      <c r="GH14" s="131" t="n"/>
      <c r="GI14" s="130" t="n"/>
      <c r="GJ14" s="131" t="n"/>
      <c r="GK14" s="132" t="n"/>
      <c r="GL14" s="133" t="n"/>
      <c r="GM14" s="134" t="n"/>
      <c r="GN14" s="133" t="n"/>
      <c r="GO14" s="134" t="n"/>
      <c r="GP14" s="133" t="n"/>
      <c r="GQ14" s="134" t="n"/>
      <c r="GR14" s="133" t="n"/>
      <c r="GS14" s="134" t="n"/>
      <c r="GT14" s="133" t="n"/>
      <c r="GU14" s="134" t="n"/>
      <c r="GV14" s="133" t="n"/>
      <c r="GW14" s="134" t="n"/>
      <c r="GX14" s="133" t="n"/>
      <c r="GY14" s="134" t="n"/>
      <c r="GZ14" s="133" t="n"/>
      <c r="HA14" s="134" t="n"/>
      <c r="HB14" s="135" t="n"/>
      <c r="HC14">
        <f>97-SUMPRODUCT(MAX(($G$4:$HB$4="ح")*($G14:$HB14=TRUE)*(97-$G$47:$HB$47)))</f>
        <v>97</v>
      </c>
      <c r="HD14">
        <f>SUMPRODUCT(($G$4:$HB$4="ح")*($G14:$HB14=TRUE)*($G$47:$HB$47&gt;$HC$1-8))</f>
        <v>0</v>
      </c>
      <c r="HE14">
        <f>(COUNTIF($G14:$V14,TRUE)&gt;0)*($W14&lt;&gt;TRUE)+(COUNTIF($X14:$AM14,TRUE)&gt;0)*($AN14&lt;&gt;TRUE)+(COUNTIF($AO14:$BD14,TRUE)&gt;0)*($BE14&lt;&gt;TRUE)+(COUNTIF($BF14:$BU14,TRUE)&gt;0)*($BV14&lt;&gt;TRUE)+(COUNTIF($BW14:$CL14,TRUE)&gt;0)*($CM14&lt;&gt;TRUE)+(COUNTIF($CN14:$DC14,TRUE)&gt;0)*($DD14&lt;&gt;TRUE)+(COUNTIF($DE14:$DT14,TRUE)&gt;0)*($DU14&lt;&gt;TRUE)+(COUNTIF($DV14:$EK14,TRUE)&gt;0)*($EL14&lt;&gt;TRUE)+(COUNTIF($EM14:$FB14,TRUE)&gt;0)*($FC14&lt;&gt;TRUE)+(COUNTIF($FD14:$FS14,TRUE)&gt;0)*($FT14&lt;&gt;TRUE)+(COUNTIF($FU14:$GJ14,TRUE)&gt;0)*($GK14&lt;&gt;TRUE)+(COUNTIF($GL14:$HA14,TRUE)&gt;0)*($HB14&lt;&gt;TRUE)</f>
        <v>0</v>
      </c>
      <c r="HF14">
        <f>IF($HE14=0,0,13-MAX((COUNTIF($G14:$V14,TRUE)&gt;0)*($W14&lt;&gt;TRUE)*12,(COUNTIF($X14:$AM14,TRUE)&gt;0)*($AN14&lt;&gt;TRUE)*11,(COUNTIF($AO14:$BD14,TRUE)&gt;0)*($BE14&lt;&gt;TRUE)*10,(COUNTIF($BF14:$BU14,TRUE)&gt;0)*($BV14&lt;&gt;TRUE)*9,(COUNTIF($BW14:$CL14,TRUE)&gt;0)*($CM14&lt;&gt;TRUE)*8,(COUNTIF($CN14:$DC14,TRUE)&gt;0)*($DD14&lt;&gt;TRUE)*7,(COUNTIF($DE14:$DT14,TRUE)&gt;0)*($DU14&lt;&gt;TRUE)*6,(COUNTIF($DV14:$EK14,TRUE)&gt;0)*($EL14&lt;&gt;TRUE)*5,(COUNTIF($EM14:$FB14,TRUE)&gt;0)*($FC14&lt;&gt;TRUE)*4,(COUNTIF($FD14:$FS14,TRUE)&gt;0)*($FT14&lt;&gt;TRUE)*3,(COUNTIF($FU14:$GJ14,TRUE)&gt;0)*($GK14&lt;&gt;TRUE)*2,(COUNTIF($GL14:$HA14,TRUE)&gt;0)*($HB14&lt;&gt;TRUE)*1))</f>
        <v>0</v>
      </c>
    </row>
    <row r="15" ht="22.5" customHeight="1">
      <c r="A15" s="36" t="n">
        <v>11</v>
      </c>
      <c r="B15" s="97" t="n"/>
      <c r="C15" s="28" t="n"/>
      <c r="D15" s="98" t="str">
        <f>IF($B15="","",IF($HC15=97,"-",IF($HD15=0,"متوقف",SUMPRODUCT(($G$4:$HB$4="ح")*($G$20:$HB$20&gt;0)*($G15:$HB15&lt;&gt;TRUE)*($G$47:$HB$47&gt;$HC$1-8)*($G$47:$HB$47&gt;=$HC15)))))</f>
        <v/>
      </c>
      <c r="E15" s="98" t="str">
        <f>IF(OR($B15="",$HC15=97),"",SUMPRODUCT(($G$4:$HA$4="ح")*($G15:$HA15=TRUE)*($H15:$HB15&lt;&gt;TRUE)*($G$47:$HA$47&gt;$HC$1-8)))</f>
        <v/>
      </c>
      <c r="F15" s="99" t="str">
        <f>IF($B15="","",IF($HE15=0,IF($HC15=97,"-","تمام"),IF($HE15=1,IF(INDEX($G$1:$HB$1,1,17*($HF15-1)+1)="","شهر "&amp;$HF15,INDEX($G$1:$HB$1,1,17*($HF15-1)+1)),IF($HE15=2,"شهرين",$HE15&amp;" شهور"))))</f>
        <v/>
      </c>
      <c r="G15" s="100" t="n"/>
      <c r="H15" s="101" t="n"/>
      <c r="I15" s="100" t="n"/>
      <c r="J15" s="101" t="n"/>
      <c r="K15" s="100" t="n"/>
      <c r="L15" s="101" t="n"/>
      <c r="M15" s="100" t="n"/>
      <c r="N15" s="101" t="n"/>
      <c r="O15" s="100" t="n"/>
      <c r="P15" s="101" t="n"/>
      <c r="Q15" s="100" t="n"/>
      <c r="R15" s="101" t="n"/>
      <c r="S15" s="100" t="n"/>
      <c r="T15" s="101" t="n"/>
      <c r="U15" s="100" t="n"/>
      <c r="V15" s="101" t="n"/>
      <c r="W15" s="102" t="n"/>
      <c r="X15" s="103" t="n"/>
      <c r="Y15" s="104" t="n"/>
      <c r="Z15" s="103" t="n"/>
      <c r="AA15" s="104" t="n"/>
      <c r="AB15" s="103" t="n"/>
      <c r="AC15" s="104" t="n"/>
      <c r="AD15" s="103" t="n"/>
      <c r="AE15" s="104" t="n"/>
      <c r="AF15" s="103" t="n"/>
      <c r="AG15" s="104" t="n"/>
      <c r="AH15" s="103" t="n"/>
      <c r="AI15" s="104" t="n"/>
      <c r="AJ15" s="103" t="n"/>
      <c r="AK15" s="104" t="n"/>
      <c r="AL15" s="103" t="n"/>
      <c r="AM15" s="104" t="n"/>
      <c r="AN15" s="105" t="n"/>
      <c r="AO15" s="106" t="n"/>
      <c r="AP15" s="107" t="n"/>
      <c r="AQ15" s="106" t="n"/>
      <c r="AR15" s="107" t="n"/>
      <c r="AS15" s="106" t="n"/>
      <c r="AT15" s="107" t="n"/>
      <c r="AU15" s="106" t="n"/>
      <c r="AV15" s="107" t="n"/>
      <c r="AW15" s="106" t="n"/>
      <c r="AX15" s="107" t="n"/>
      <c r="AY15" s="106" t="n"/>
      <c r="AZ15" s="107" t="n"/>
      <c r="BA15" s="106" t="n"/>
      <c r="BB15" s="107" t="n"/>
      <c r="BC15" s="106" t="n"/>
      <c r="BD15" s="107" t="n"/>
      <c r="BE15" s="108" t="n"/>
      <c r="BF15" s="109" t="n"/>
      <c r="BG15" s="110" t="n"/>
      <c r="BH15" s="109" t="n"/>
      <c r="BI15" s="110" t="n"/>
      <c r="BJ15" s="109" t="n"/>
      <c r="BK15" s="110" t="n"/>
      <c r="BL15" s="109" t="n"/>
      <c r="BM15" s="110" t="n"/>
      <c r="BN15" s="109" t="n"/>
      <c r="BO15" s="110" t="n"/>
      <c r="BP15" s="109" t="n"/>
      <c r="BQ15" s="110" t="n"/>
      <c r="BR15" s="109" t="n"/>
      <c r="BS15" s="110" t="n"/>
      <c r="BT15" s="109" t="n"/>
      <c r="BU15" s="110" t="n"/>
      <c r="BV15" s="111" t="n"/>
      <c r="BW15" s="112" t="n"/>
      <c r="BX15" s="113" t="n"/>
      <c r="BY15" s="112" t="n"/>
      <c r="BZ15" s="113" t="n"/>
      <c r="CA15" s="112" t="n"/>
      <c r="CB15" s="113" t="n"/>
      <c r="CC15" s="112" t="n"/>
      <c r="CD15" s="113" t="n"/>
      <c r="CE15" s="112" t="n"/>
      <c r="CF15" s="113" t="n"/>
      <c r="CG15" s="112" t="n"/>
      <c r="CH15" s="113" t="n"/>
      <c r="CI15" s="112" t="n"/>
      <c r="CJ15" s="113" t="n"/>
      <c r="CK15" s="112" t="n"/>
      <c r="CL15" s="113" t="n"/>
      <c r="CM15" s="114" t="n"/>
      <c r="CN15" s="115" t="n"/>
      <c r="CO15" s="116" t="n"/>
      <c r="CP15" s="115" t="n"/>
      <c r="CQ15" s="116" t="n"/>
      <c r="CR15" s="115" t="n"/>
      <c r="CS15" s="116" t="n"/>
      <c r="CT15" s="115" t="n"/>
      <c r="CU15" s="116" t="n"/>
      <c r="CV15" s="115" t="n"/>
      <c r="CW15" s="116" t="n"/>
      <c r="CX15" s="115" t="n"/>
      <c r="CY15" s="116" t="n"/>
      <c r="CZ15" s="115" t="n"/>
      <c r="DA15" s="116" t="n"/>
      <c r="DB15" s="115" t="n"/>
      <c r="DC15" s="116" t="n"/>
      <c r="DD15" s="117" t="n"/>
      <c r="DE15" s="118" t="n"/>
      <c r="DF15" s="119" t="n"/>
      <c r="DG15" s="118" t="n"/>
      <c r="DH15" s="119" t="n"/>
      <c r="DI15" s="118" t="n"/>
      <c r="DJ15" s="119" t="n"/>
      <c r="DK15" s="118" t="n"/>
      <c r="DL15" s="119" t="n"/>
      <c r="DM15" s="118" t="n"/>
      <c r="DN15" s="119" t="n"/>
      <c r="DO15" s="118" t="n"/>
      <c r="DP15" s="119" t="n"/>
      <c r="DQ15" s="118" t="n"/>
      <c r="DR15" s="119" t="n"/>
      <c r="DS15" s="118" t="n"/>
      <c r="DT15" s="119" t="n"/>
      <c r="DU15" s="120" t="n"/>
      <c r="DV15" s="121" t="n"/>
      <c r="DW15" s="122" t="n"/>
      <c r="DX15" s="121" t="n"/>
      <c r="DY15" s="122" t="n"/>
      <c r="DZ15" s="121" t="n"/>
      <c r="EA15" s="122" t="n"/>
      <c r="EB15" s="121" t="n"/>
      <c r="EC15" s="122" t="n"/>
      <c r="ED15" s="121" t="n"/>
      <c r="EE15" s="122" t="n"/>
      <c r="EF15" s="121" t="n"/>
      <c r="EG15" s="122" t="n"/>
      <c r="EH15" s="121" t="n"/>
      <c r="EI15" s="122" t="n"/>
      <c r="EJ15" s="121" t="n"/>
      <c r="EK15" s="122" t="n"/>
      <c r="EL15" s="123" t="n"/>
      <c r="EM15" s="124" t="n"/>
      <c r="EN15" s="125" t="n"/>
      <c r="EO15" s="124" t="n"/>
      <c r="EP15" s="125" t="n"/>
      <c r="EQ15" s="124" t="n"/>
      <c r="ER15" s="125" t="n"/>
      <c r="ES15" s="124" t="n"/>
      <c r="ET15" s="125" t="n"/>
      <c r="EU15" s="124" t="n"/>
      <c r="EV15" s="125" t="n"/>
      <c r="EW15" s="124" t="n"/>
      <c r="EX15" s="125" t="n"/>
      <c r="EY15" s="124" t="n"/>
      <c r="EZ15" s="125" t="n"/>
      <c r="FA15" s="124" t="n"/>
      <c r="FB15" s="125" t="n"/>
      <c r="FC15" s="126" t="n"/>
      <c r="FD15" s="127" t="n"/>
      <c r="FE15" s="128" t="n"/>
      <c r="FF15" s="127" t="n"/>
      <c r="FG15" s="128" t="n"/>
      <c r="FH15" s="127" t="n"/>
      <c r="FI15" s="128" t="n"/>
      <c r="FJ15" s="127" t="n"/>
      <c r="FK15" s="128" t="n"/>
      <c r="FL15" s="127" t="n"/>
      <c r="FM15" s="128" t="n"/>
      <c r="FN15" s="127" t="n"/>
      <c r="FO15" s="128" t="n"/>
      <c r="FP15" s="127" t="n"/>
      <c r="FQ15" s="128" t="n"/>
      <c r="FR15" s="127" t="n"/>
      <c r="FS15" s="128" t="n"/>
      <c r="FT15" s="129" t="n"/>
      <c r="FU15" s="130" t="n"/>
      <c r="FV15" s="131" t="n"/>
      <c r="FW15" s="130" t="n"/>
      <c r="FX15" s="131" t="n"/>
      <c r="FY15" s="130" t="n"/>
      <c r="FZ15" s="131" t="n"/>
      <c r="GA15" s="130" t="n"/>
      <c r="GB15" s="131" t="n"/>
      <c r="GC15" s="130" t="n"/>
      <c r="GD15" s="131" t="n"/>
      <c r="GE15" s="130" t="n"/>
      <c r="GF15" s="131" t="n"/>
      <c r="GG15" s="130" t="n"/>
      <c r="GH15" s="131" t="n"/>
      <c r="GI15" s="130" t="n"/>
      <c r="GJ15" s="131" t="n"/>
      <c r="GK15" s="132" t="n"/>
      <c r="GL15" s="133" t="n"/>
      <c r="GM15" s="134" t="n"/>
      <c r="GN15" s="133" t="n"/>
      <c r="GO15" s="134" t="n"/>
      <c r="GP15" s="133" t="n"/>
      <c r="GQ15" s="134" t="n"/>
      <c r="GR15" s="133" t="n"/>
      <c r="GS15" s="134" t="n"/>
      <c r="GT15" s="133" t="n"/>
      <c r="GU15" s="134" t="n"/>
      <c r="GV15" s="133" t="n"/>
      <c r="GW15" s="134" t="n"/>
      <c r="GX15" s="133" t="n"/>
      <c r="GY15" s="134" t="n"/>
      <c r="GZ15" s="133" t="n"/>
      <c r="HA15" s="134" t="n"/>
      <c r="HB15" s="135" t="n"/>
      <c r="HC15">
        <f>97-SUMPRODUCT(MAX(($G$4:$HB$4="ح")*($G15:$HB15=TRUE)*(97-$G$47:$HB$47)))</f>
        <v>97</v>
      </c>
      <c r="HD15">
        <f>SUMPRODUCT(($G$4:$HB$4="ح")*($G15:$HB15=TRUE)*($G$47:$HB$47&gt;$HC$1-8))</f>
        <v>0</v>
      </c>
      <c r="HE15">
        <f>(COUNTIF($G15:$V15,TRUE)&gt;0)*($W15&lt;&gt;TRUE)+(COUNTIF($X15:$AM15,TRUE)&gt;0)*($AN15&lt;&gt;TRUE)+(COUNTIF($AO15:$BD15,TRUE)&gt;0)*($BE15&lt;&gt;TRUE)+(COUNTIF($BF15:$BU15,TRUE)&gt;0)*($BV15&lt;&gt;TRUE)+(COUNTIF($BW15:$CL15,TRUE)&gt;0)*($CM15&lt;&gt;TRUE)+(COUNTIF($CN15:$DC15,TRUE)&gt;0)*($DD15&lt;&gt;TRUE)+(COUNTIF($DE15:$DT15,TRUE)&gt;0)*($DU15&lt;&gt;TRUE)+(COUNTIF($DV15:$EK15,TRUE)&gt;0)*($EL15&lt;&gt;TRUE)+(COUNTIF($EM15:$FB15,TRUE)&gt;0)*($FC15&lt;&gt;TRUE)+(COUNTIF($FD15:$FS15,TRUE)&gt;0)*($FT15&lt;&gt;TRUE)+(COUNTIF($FU15:$GJ15,TRUE)&gt;0)*($GK15&lt;&gt;TRUE)+(COUNTIF($GL15:$HA15,TRUE)&gt;0)*($HB15&lt;&gt;TRUE)</f>
        <v>0</v>
      </c>
      <c r="HF15">
        <f>IF($HE15=0,0,13-MAX((COUNTIF($G15:$V15,TRUE)&gt;0)*($W15&lt;&gt;TRUE)*12,(COUNTIF($X15:$AM15,TRUE)&gt;0)*($AN15&lt;&gt;TRUE)*11,(COUNTIF($AO15:$BD15,TRUE)&gt;0)*($BE15&lt;&gt;TRUE)*10,(COUNTIF($BF15:$BU15,TRUE)&gt;0)*($BV15&lt;&gt;TRUE)*9,(COUNTIF($BW15:$CL15,TRUE)&gt;0)*($CM15&lt;&gt;TRUE)*8,(COUNTIF($CN15:$DC15,TRUE)&gt;0)*($DD15&lt;&gt;TRUE)*7,(COUNTIF($DE15:$DT15,TRUE)&gt;0)*($DU15&lt;&gt;TRUE)*6,(COUNTIF($DV15:$EK15,TRUE)&gt;0)*($EL15&lt;&gt;TRUE)*5,(COUNTIF($EM15:$FB15,TRUE)&gt;0)*($FC15&lt;&gt;TRUE)*4,(COUNTIF($FD15:$FS15,TRUE)&gt;0)*($FT15&lt;&gt;TRUE)*3,(COUNTIF($FU15:$GJ15,TRUE)&gt;0)*($GK15&lt;&gt;TRUE)*2,(COUNTIF($GL15:$HA15,TRUE)&gt;0)*($HB15&lt;&gt;TRUE)*1))</f>
        <v>0</v>
      </c>
    </row>
    <row r="16" ht="22.5" customHeight="1">
      <c r="A16" s="36" t="n">
        <v>12</v>
      </c>
      <c r="B16" s="97" t="n"/>
      <c r="C16" s="28" t="n"/>
      <c r="D16" s="98" t="str">
        <f>IF($B16="","",IF($HC16=97,"-",IF($HD16=0,"متوقف",SUMPRODUCT(($G$4:$HB$4="ح")*($G$20:$HB$20&gt;0)*($G16:$HB16&lt;&gt;TRUE)*($G$47:$HB$47&gt;$HC$1-8)*($G$47:$HB$47&gt;=$HC16)))))</f>
        <v/>
      </c>
      <c r="E16" s="98" t="str">
        <f>IF(OR($B16="",$HC16=97),"",SUMPRODUCT(($G$4:$HA$4="ح")*($G16:$HA16=TRUE)*($H16:$HB16&lt;&gt;TRUE)*($G$47:$HA$47&gt;$HC$1-8)))</f>
        <v/>
      </c>
      <c r="F16" s="99" t="str">
        <f>IF($B16="","",IF($HE16=0,IF($HC16=97,"-","تمام"),IF($HE16=1,IF(INDEX($G$1:$HB$1,1,17*($HF16-1)+1)="","شهر "&amp;$HF16,INDEX($G$1:$HB$1,1,17*($HF16-1)+1)),IF($HE16=2,"شهرين",$HE16&amp;" شهور"))))</f>
        <v/>
      </c>
      <c r="G16" s="100" t="n"/>
      <c r="H16" s="101" t="n"/>
      <c r="I16" s="100" t="n"/>
      <c r="J16" s="101" t="n"/>
      <c r="K16" s="100" t="n"/>
      <c r="L16" s="101" t="n"/>
      <c r="M16" s="100" t="n"/>
      <c r="N16" s="101" t="n"/>
      <c r="O16" s="100" t="n"/>
      <c r="P16" s="101" t="n"/>
      <c r="Q16" s="100" t="n"/>
      <c r="R16" s="101" t="n"/>
      <c r="S16" s="100" t="n"/>
      <c r="T16" s="101" t="n"/>
      <c r="U16" s="100" t="n"/>
      <c r="V16" s="101" t="n"/>
      <c r="W16" s="102" t="n"/>
      <c r="X16" s="103" t="n"/>
      <c r="Y16" s="104" t="n"/>
      <c r="Z16" s="103" t="n"/>
      <c r="AA16" s="104" t="n"/>
      <c r="AB16" s="103" t="n"/>
      <c r="AC16" s="104" t="n"/>
      <c r="AD16" s="103" t="n"/>
      <c r="AE16" s="104" t="n"/>
      <c r="AF16" s="103" t="n"/>
      <c r="AG16" s="104" t="n"/>
      <c r="AH16" s="103" t="n"/>
      <c r="AI16" s="104" t="n"/>
      <c r="AJ16" s="103" t="n"/>
      <c r="AK16" s="104" t="n"/>
      <c r="AL16" s="103" t="n"/>
      <c r="AM16" s="104" t="n"/>
      <c r="AN16" s="105" t="n"/>
      <c r="AO16" s="106" t="n"/>
      <c r="AP16" s="107" t="n"/>
      <c r="AQ16" s="106" t="n"/>
      <c r="AR16" s="107" t="n"/>
      <c r="AS16" s="106" t="n"/>
      <c r="AT16" s="107" t="n"/>
      <c r="AU16" s="106" t="n"/>
      <c r="AV16" s="107" t="n"/>
      <c r="AW16" s="106" t="n"/>
      <c r="AX16" s="107" t="n"/>
      <c r="AY16" s="106" t="n"/>
      <c r="AZ16" s="107" t="n"/>
      <c r="BA16" s="106" t="n"/>
      <c r="BB16" s="107" t="n"/>
      <c r="BC16" s="106" t="n"/>
      <c r="BD16" s="107" t="n"/>
      <c r="BE16" s="108" t="n"/>
      <c r="BF16" s="109" t="n"/>
      <c r="BG16" s="110" t="n"/>
      <c r="BH16" s="109" t="n"/>
      <c r="BI16" s="110" t="n"/>
      <c r="BJ16" s="109" t="n"/>
      <c r="BK16" s="110" t="n"/>
      <c r="BL16" s="109" t="n"/>
      <c r="BM16" s="110" t="n"/>
      <c r="BN16" s="109" t="n"/>
      <c r="BO16" s="110" t="n"/>
      <c r="BP16" s="109" t="n"/>
      <c r="BQ16" s="110" t="n"/>
      <c r="BR16" s="109" t="n"/>
      <c r="BS16" s="110" t="n"/>
      <c r="BT16" s="109" t="n"/>
      <c r="BU16" s="110" t="n"/>
      <c r="BV16" s="111" t="n"/>
      <c r="BW16" s="112" t="n"/>
      <c r="BX16" s="113" t="n"/>
      <c r="BY16" s="112" t="n"/>
      <c r="BZ16" s="113" t="n"/>
      <c r="CA16" s="112" t="n"/>
      <c r="CB16" s="113" t="n"/>
      <c r="CC16" s="112" t="n"/>
      <c r="CD16" s="113" t="n"/>
      <c r="CE16" s="112" t="n"/>
      <c r="CF16" s="113" t="n"/>
      <c r="CG16" s="112" t="n"/>
      <c r="CH16" s="113" t="n"/>
      <c r="CI16" s="112" t="n"/>
      <c r="CJ16" s="113" t="n"/>
      <c r="CK16" s="112" t="n"/>
      <c r="CL16" s="113" t="n"/>
      <c r="CM16" s="114" t="n"/>
      <c r="CN16" s="115" t="n"/>
      <c r="CO16" s="116" t="n"/>
      <c r="CP16" s="115" t="n"/>
      <c r="CQ16" s="116" t="n"/>
      <c r="CR16" s="115" t="n"/>
      <c r="CS16" s="116" t="n"/>
      <c r="CT16" s="115" t="n"/>
      <c r="CU16" s="116" t="n"/>
      <c r="CV16" s="115" t="n"/>
      <c r="CW16" s="116" t="n"/>
      <c r="CX16" s="115" t="n"/>
      <c r="CY16" s="116" t="n"/>
      <c r="CZ16" s="115" t="n"/>
      <c r="DA16" s="116" t="n"/>
      <c r="DB16" s="115" t="n"/>
      <c r="DC16" s="116" t="n"/>
      <c r="DD16" s="117" t="n"/>
      <c r="DE16" s="118" t="n"/>
      <c r="DF16" s="119" t="n"/>
      <c r="DG16" s="118" t="n"/>
      <c r="DH16" s="119" t="n"/>
      <c r="DI16" s="118" t="n"/>
      <c r="DJ16" s="119" t="n"/>
      <c r="DK16" s="118" t="n"/>
      <c r="DL16" s="119" t="n"/>
      <c r="DM16" s="118" t="n"/>
      <c r="DN16" s="119" t="n"/>
      <c r="DO16" s="118" t="n"/>
      <c r="DP16" s="119" t="n"/>
      <c r="DQ16" s="118" t="n"/>
      <c r="DR16" s="119" t="n"/>
      <c r="DS16" s="118" t="n"/>
      <c r="DT16" s="119" t="n"/>
      <c r="DU16" s="120" t="n"/>
      <c r="DV16" s="121" t="n"/>
      <c r="DW16" s="122" t="n"/>
      <c r="DX16" s="121" t="n"/>
      <c r="DY16" s="122" t="n"/>
      <c r="DZ16" s="121" t="n"/>
      <c r="EA16" s="122" t="n"/>
      <c r="EB16" s="121" t="n"/>
      <c r="EC16" s="122" t="n"/>
      <c r="ED16" s="121" t="n"/>
      <c r="EE16" s="122" t="n"/>
      <c r="EF16" s="121" t="n"/>
      <c r="EG16" s="122" t="n"/>
      <c r="EH16" s="121" t="n"/>
      <c r="EI16" s="122" t="n"/>
      <c r="EJ16" s="121" t="n"/>
      <c r="EK16" s="122" t="n"/>
      <c r="EL16" s="123" t="n"/>
      <c r="EM16" s="124" t="n"/>
      <c r="EN16" s="125" t="n"/>
      <c r="EO16" s="124" t="n"/>
      <c r="EP16" s="125" t="n"/>
      <c r="EQ16" s="124" t="n"/>
      <c r="ER16" s="125" t="n"/>
      <c r="ES16" s="124" t="n"/>
      <c r="ET16" s="125" t="n"/>
      <c r="EU16" s="124" t="n"/>
      <c r="EV16" s="125" t="n"/>
      <c r="EW16" s="124" t="n"/>
      <c r="EX16" s="125" t="n"/>
      <c r="EY16" s="124" t="n"/>
      <c r="EZ16" s="125" t="n"/>
      <c r="FA16" s="124" t="n"/>
      <c r="FB16" s="125" t="n"/>
      <c r="FC16" s="126" t="n"/>
      <c r="FD16" s="127" t="n"/>
      <c r="FE16" s="128" t="n"/>
      <c r="FF16" s="127" t="n"/>
      <c r="FG16" s="128" t="n"/>
      <c r="FH16" s="127" t="n"/>
      <c r="FI16" s="128" t="n"/>
      <c r="FJ16" s="127" t="n"/>
      <c r="FK16" s="128" t="n"/>
      <c r="FL16" s="127" t="n"/>
      <c r="FM16" s="128" t="n"/>
      <c r="FN16" s="127" t="n"/>
      <c r="FO16" s="128" t="n"/>
      <c r="FP16" s="127" t="n"/>
      <c r="FQ16" s="128" t="n"/>
      <c r="FR16" s="127" t="n"/>
      <c r="FS16" s="128" t="n"/>
      <c r="FT16" s="129" t="n"/>
      <c r="FU16" s="130" t="n"/>
      <c r="FV16" s="131" t="n"/>
      <c r="FW16" s="130" t="n"/>
      <c r="FX16" s="131" t="n"/>
      <c r="FY16" s="130" t="n"/>
      <c r="FZ16" s="131" t="n"/>
      <c r="GA16" s="130" t="n"/>
      <c r="GB16" s="131" t="n"/>
      <c r="GC16" s="130" t="n"/>
      <c r="GD16" s="131" t="n"/>
      <c r="GE16" s="130" t="n"/>
      <c r="GF16" s="131" t="n"/>
      <c r="GG16" s="130" t="n"/>
      <c r="GH16" s="131" t="n"/>
      <c r="GI16" s="130" t="n"/>
      <c r="GJ16" s="131" t="n"/>
      <c r="GK16" s="132" t="n"/>
      <c r="GL16" s="133" t="n"/>
      <c r="GM16" s="134" t="n"/>
      <c r="GN16" s="133" t="n"/>
      <c r="GO16" s="134" t="n"/>
      <c r="GP16" s="133" t="n"/>
      <c r="GQ16" s="134" t="n"/>
      <c r="GR16" s="133" t="n"/>
      <c r="GS16" s="134" t="n"/>
      <c r="GT16" s="133" t="n"/>
      <c r="GU16" s="134" t="n"/>
      <c r="GV16" s="133" t="n"/>
      <c r="GW16" s="134" t="n"/>
      <c r="GX16" s="133" t="n"/>
      <c r="GY16" s="134" t="n"/>
      <c r="GZ16" s="133" t="n"/>
      <c r="HA16" s="134" t="n"/>
      <c r="HB16" s="135" t="n"/>
      <c r="HC16">
        <f>97-SUMPRODUCT(MAX(($G$4:$HB$4="ح")*($G16:$HB16=TRUE)*(97-$G$47:$HB$47)))</f>
        <v>97</v>
      </c>
      <c r="HD16">
        <f>SUMPRODUCT(($G$4:$HB$4="ح")*($G16:$HB16=TRUE)*($G$47:$HB$47&gt;$HC$1-8))</f>
        <v>0</v>
      </c>
      <c r="HE16">
        <f>(COUNTIF($G16:$V16,TRUE)&gt;0)*($W16&lt;&gt;TRUE)+(COUNTIF($X16:$AM16,TRUE)&gt;0)*($AN16&lt;&gt;TRUE)+(COUNTIF($AO16:$BD16,TRUE)&gt;0)*($BE16&lt;&gt;TRUE)+(COUNTIF($BF16:$BU16,TRUE)&gt;0)*($BV16&lt;&gt;TRUE)+(COUNTIF($BW16:$CL16,TRUE)&gt;0)*($CM16&lt;&gt;TRUE)+(COUNTIF($CN16:$DC16,TRUE)&gt;0)*($DD16&lt;&gt;TRUE)+(COUNTIF($DE16:$DT16,TRUE)&gt;0)*($DU16&lt;&gt;TRUE)+(COUNTIF($DV16:$EK16,TRUE)&gt;0)*($EL16&lt;&gt;TRUE)+(COUNTIF($EM16:$FB16,TRUE)&gt;0)*($FC16&lt;&gt;TRUE)+(COUNTIF($FD16:$FS16,TRUE)&gt;0)*($FT16&lt;&gt;TRUE)+(COUNTIF($FU16:$GJ16,TRUE)&gt;0)*($GK16&lt;&gt;TRUE)+(COUNTIF($GL16:$HA16,TRUE)&gt;0)*($HB16&lt;&gt;TRUE)</f>
        <v>0</v>
      </c>
      <c r="HF16">
        <f>IF($HE16=0,0,13-MAX((COUNTIF($G16:$V16,TRUE)&gt;0)*($W16&lt;&gt;TRUE)*12,(COUNTIF($X16:$AM16,TRUE)&gt;0)*($AN16&lt;&gt;TRUE)*11,(COUNTIF($AO16:$BD16,TRUE)&gt;0)*($BE16&lt;&gt;TRUE)*10,(COUNTIF($BF16:$BU16,TRUE)&gt;0)*($BV16&lt;&gt;TRUE)*9,(COUNTIF($BW16:$CL16,TRUE)&gt;0)*($CM16&lt;&gt;TRUE)*8,(COUNTIF($CN16:$DC16,TRUE)&gt;0)*($DD16&lt;&gt;TRUE)*7,(COUNTIF($DE16:$DT16,TRUE)&gt;0)*($DU16&lt;&gt;TRUE)*6,(COUNTIF($DV16:$EK16,TRUE)&gt;0)*($EL16&lt;&gt;TRUE)*5,(COUNTIF($EM16:$FB16,TRUE)&gt;0)*($FC16&lt;&gt;TRUE)*4,(COUNTIF($FD16:$FS16,TRUE)&gt;0)*($FT16&lt;&gt;TRUE)*3,(COUNTIF($FU16:$GJ16,TRUE)&gt;0)*($GK16&lt;&gt;TRUE)*2,(COUNTIF($GL16:$HA16,TRUE)&gt;0)*($HB16&lt;&gt;TRUE)*1))</f>
        <v>0</v>
      </c>
    </row>
    <row r="17" ht="22.5" customHeight="1">
      <c r="A17" s="36" t="n">
        <v>13</v>
      </c>
      <c r="B17" s="97" t="n"/>
      <c r="C17" s="28" t="n"/>
      <c r="D17" s="98" t="str">
        <f>IF($B17="","",IF($HC17=97,"-",IF($HD17=0,"متوقف",SUMPRODUCT(($G$4:$HB$4="ح")*($G$20:$HB$20&gt;0)*($G17:$HB17&lt;&gt;TRUE)*($G$47:$HB$47&gt;$HC$1-8)*($G$47:$HB$47&gt;=$HC17)))))</f>
        <v/>
      </c>
      <c r="E17" s="98" t="str">
        <f>IF(OR($B17="",$HC17=97),"",SUMPRODUCT(($G$4:$HA$4="ح")*($G17:$HA17=TRUE)*($H17:$HB17&lt;&gt;TRUE)*($G$47:$HA$47&gt;$HC$1-8)))</f>
        <v/>
      </c>
      <c r="F17" s="99" t="str">
        <f>IF($B17="","",IF($HE17=0,IF($HC17=97,"-","تمام"),IF($HE17=1,IF(INDEX($G$1:$HB$1,1,17*($HF17-1)+1)="","شهر "&amp;$HF17,INDEX($G$1:$HB$1,1,17*($HF17-1)+1)),IF($HE17=2,"شهرين",$HE17&amp;" شهور"))))</f>
        <v/>
      </c>
      <c r="G17" s="100" t="n"/>
      <c r="H17" s="101" t="n"/>
      <c r="I17" s="100" t="n"/>
      <c r="J17" s="101" t="n"/>
      <c r="K17" s="100" t="n"/>
      <c r="L17" s="101" t="n"/>
      <c r="M17" s="100" t="n"/>
      <c r="N17" s="101" t="n"/>
      <c r="O17" s="100" t="n"/>
      <c r="P17" s="101" t="n"/>
      <c r="Q17" s="100" t="n"/>
      <c r="R17" s="101" t="n"/>
      <c r="S17" s="100" t="n"/>
      <c r="T17" s="101" t="n"/>
      <c r="U17" s="100" t="n"/>
      <c r="V17" s="101" t="n"/>
      <c r="W17" s="102" t="n"/>
      <c r="X17" s="103" t="n"/>
      <c r="Y17" s="104" t="n"/>
      <c r="Z17" s="103" t="n"/>
      <c r="AA17" s="104" t="n"/>
      <c r="AB17" s="103" t="n"/>
      <c r="AC17" s="104" t="n"/>
      <c r="AD17" s="103" t="n"/>
      <c r="AE17" s="104" t="n"/>
      <c r="AF17" s="103" t="n"/>
      <c r="AG17" s="104" t="n"/>
      <c r="AH17" s="103" t="n"/>
      <c r="AI17" s="104" t="n"/>
      <c r="AJ17" s="103" t="n"/>
      <c r="AK17" s="104" t="n"/>
      <c r="AL17" s="103" t="n"/>
      <c r="AM17" s="104" t="n"/>
      <c r="AN17" s="105" t="n"/>
      <c r="AO17" s="106" t="n"/>
      <c r="AP17" s="107" t="n"/>
      <c r="AQ17" s="106" t="n"/>
      <c r="AR17" s="107" t="n"/>
      <c r="AS17" s="106" t="n"/>
      <c r="AT17" s="107" t="n"/>
      <c r="AU17" s="106" t="n"/>
      <c r="AV17" s="107" t="n"/>
      <c r="AW17" s="106" t="n"/>
      <c r="AX17" s="107" t="n"/>
      <c r="AY17" s="106" t="n"/>
      <c r="AZ17" s="107" t="n"/>
      <c r="BA17" s="106" t="n"/>
      <c r="BB17" s="107" t="n"/>
      <c r="BC17" s="106" t="n"/>
      <c r="BD17" s="107" t="n"/>
      <c r="BE17" s="108" t="n"/>
      <c r="BF17" s="109" t="n"/>
      <c r="BG17" s="110" t="n"/>
      <c r="BH17" s="109" t="n"/>
      <c r="BI17" s="110" t="n"/>
      <c r="BJ17" s="109" t="n"/>
      <c r="BK17" s="110" t="n"/>
      <c r="BL17" s="109" t="n"/>
      <c r="BM17" s="110" t="n"/>
      <c r="BN17" s="109" t="n"/>
      <c r="BO17" s="110" t="n"/>
      <c r="BP17" s="109" t="n"/>
      <c r="BQ17" s="110" t="n"/>
      <c r="BR17" s="109" t="n"/>
      <c r="BS17" s="110" t="n"/>
      <c r="BT17" s="109" t="n"/>
      <c r="BU17" s="110" t="n"/>
      <c r="BV17" s="111" t="n"/>
      <c r="BW17" s="112" t="n"/>
      <c r="BX17" s="113" t="n"/>
      <c r="BY17" s="112" t="n"/>
      <c r="BZ17" s="113" t="n"/>
      <c r="CA17" s="112" t="n"/>
      <c r="CB17" s="113" t="n"/>
      <c r="CC17" s="112" t="n"/>
      <c r="CD17" s="113" t="n"/>
      <c r="CE17" s="112" t="n"/>
      <c r="CF17" s="113" t="n"/>
      <c r="CG17" s="112" t="n"/>
      <c r="CH17" s="113" t="n"/>
      <c r="CI17" s="112" t="n"/>
      <c r="CJ17" s="113" t="n"/>
      <c r="CK17" s="112" t="n"/>
      <c r="CL17" s="113" t="n"/>
      <c r="CM17" s="114" t="n"/>
      <c r="CN17" s="115" t="n"/>
      <c r="CO17" s="116" t="n"/>
      <c r="CP17" s="115" t="n"/>
      <c r="CQ17" s="116" t="n"/>
      <c r="CR17" s="115" t="n"/>
      <c r="CS17" s="116" t="n"/>
      <c r="CT17" s="115" t="n"/>
      <c r="CU17" s="116" t="n"/>
      <c r="CV17" s="115" t="n"/>
      <c r="CW17" s="116" t="n"/>
      <c r="CX17" s="115" t="n"/>
      <c r="CY17" s="116" t="n"/>
      <c r="CZ17" s="115" t="n"/>
      <c r="DA17" s="116" t="n"/>
      <c r="DB17" s="115" t="n"/>
      <c r="DC17" s="116" t="n"/>
      <c r="DD17" s="117" t="n"/>
      <c r="DE17" s="118" t="n"/>
      <c r="DF17" s="119" t="n"/>
      <c r="DG17" s="118" t="n"/>
      <c r="DH17" s="119" t="n"/>
      <c r="DI17" s="118" t="n"/>
      <c r="DJ17" s="119" t="n"/>
      <c r="DK17" s="118" t="n"/>
      <c r="DL17" s="119" t="n"/>
      <c r="DM17" s="118" t="n"/>
      <c r="DN17" s="119" t="n"/>
      <c r="DO17" s="118" t="n"/>
      <c r="DP17" s="119" t="n"/>
      <c r="DQ17" s="118" t="n"/>
      <c r="DR17" s="119" t="n"/>
      <c r="DS17" s="118" t="n"/>
      <c r="DT17" s="119" t="n"/>
      <c r="DU17" s="120" t="n"/>
      <c r="DV17" s="121" t="n"/>
      <c r="DW17" s="122" t="n"/>
      <c r="DX17" s="121" t="n"/>
      <c r="DY17" s="122" t="n"/>
      <c r="DZ17" s="121" t="n"/>
      <c r="EA17" s="122" t="n"/>
      <c r="EB17" s="121" t="n"/>
      <c r="EC17" s="122" t="n"/>
      <c r="ED17" s="121" t="n"/>
      <c r="EE17" s="122" t="n"/>
      <c r="EF17" s="121" t="n"/>
      <c r="EG17" s="122" t="n"/>
      <c r="EH17" s="121" t="n"/>
      <c r="EI17" s="122" t="n"/>
      <c r="EJ17" s="121" t="n"/>
      <c r="EK17" s="122" t="n"/>
      <c r="EL17" s="123" t="n"/>
      <c r="EM17" s="124" t="n"/>
      <c r="EN17" s="125" t="n"/>
      <c r="EO17" s="124" t="n"/>
      <c r="EP17" s="125" t="n"/>
      <c r="EQ17" s="124" t="n"/>
      <c r="ER17" s="125" t="n"/>
      <c r="ES17" s="124" t="n"/>
      <c r="ET17" s="125" t="n"/>
      <c r="EU17" s="124" t="n"/>
      <c r="EV17" s="125" t="n"/>
      <c r="EW17" s="124" t="n"/>
      <c r="EX17" s="125" t="n"/>
      <c r="EY17" s="124" t="n"/>
      <c r="EZ17" s="125" t="n"/>
      <c r="FA17" s="124" t="n"/>
      <c r="FB17" s="125" t="n"/>
      <c r="FC17" s="126" t="n"/>
      <c r="FD17" s="127" t="n"/>
      <c r="FE17" s="128" t="n"/>
      <c r="FF17" s="127" t="n"/>
      <c r="FG17" s="128" t="n"/>
      <c r="FH17" s="127" t="n"/>
      <c r="FI17" s="128" t="n"/>
      <c r="FJ17" s="127" t="n"/>
      <c r="FK17" s="128" t="n"/>
      <c r="FL17" s="127" t="n"/>
      <c r="FM17" s="128" t="n"/>
      <c r="FN17" s="127" t="n"/>
      <c r="FO17" s="128" t="n"/>
      <c r="FP17" s="127" t="n"/>
      <c r="FQ17" s="128" t="n"/>
      <c r="FR17" s="127" t="n"/>
      <c r="FS17" s="128" t="n"/>
      <c r="FT17" s="129" t="n"/>
      <c r="FU17" s="130" t="n"/>
      <c r="FV17" s="131" t="n"/>
      <c r="FW17" s="130" t="n"/>
      <c r="FX17" s="131" t="n"/>
      <c r="FY17" s="130" t="n"/>
      <c r="FZ17" s="131" t="n"/>
      <c r="GA17" s="130" t="n"/>
      <c r="GB17" s="131" t="n"/>
      <c r="GC17" s="130" t="n"/>
      <c r="GD17" s="131" t="n"/>
      <c r="GE17" s="130" t="n"/>
      <c r="GF17" s="131" t="n"/>
      <c r="GG17" s="130" t="n"/>
      <c r="GH17" s="131" t="n"/>
      <c r="GI17" s="130" t="n"/>
      <c r="GJ17" s="131" t="n"/>
      <c r="GK17" s="132" t="n"/>
      <c r="GL17" s="133" t="n"/>
      <c r="GM17" s="134" t="n"/>
      <c r="GN17" s="133" t="n"/>
      <c r="GO17" s="134" t="n"/>
      <c r="GP17" s="133" t="n"/>
      <c r="GQ17" s="134" t="n"/>
      <c r="GR17" s="133" t="n"/>
      <c r="GS17" s="134" t="n"/>
      <c r="GT17" s="133" t="n"/>
      <c r="GU17" s="134" t="n"/>
      <c r="GV17" s="133" t="n"/>
      <c r="GW17" s="134" t="n"/>
      <c r="GX17" s="133" t="n"/>
      <c r="GY17" s="134" t="n"/>
      <c r="GZ17" s="133" t="n"/>
      <c r="HA17" s="134" t="n"/>
      <c r="HB17" s="135" t="n"/>
      <c r="HC17">
        <f>97-SUMPRODUCT(MAX(($G$4:$HB$4="ح")*($G17:$HB17=TRUE)*(97-$G$47:$HB$47)))</f>
        <v>97</v>
      </c>
      <c r="HD17">
        <f>SUMPRODUCT(($G$4:$HB$4="ح")*($G17:$HB17=TRUE)*($G$47:$HB$47&gt;$HC$1-8))</f>
        <v>0</v>
      </c>
      <c r="HE17">
        <f>(COUNTIF($G17:$V17,TRUE)&gt;0)*($W17&lt;&gt;TRUE)+(COUNTIF($X17:$AM17,TRUE)&gt;0)*($AN17&lt;&gt;TRUE)+(COUNTIF($AO17:$BD17,TRUE)&gt;0)*($BE17&lt;&gt;TRUE)+(COUNTIF($BF17:$BU17,TRUE)&gt;0)*($BV17&lt;&gt;TRUE)+(COUNTIF($BW17:$CL17,TRUE)&gt;0)*($CM17&lt;&gt;TRUE)+(COUNTIF($CN17:$DC17,TRUE)&gt;0)*($DD17&lt;&gt;TRUE)+(COUNTIF($DE17:$DT17,TRUE)&gt;0)*($DU17&lt;&gt;TRUE)+(COUNTIF($DV17:$EK17,TRUE)&gt;0)*($EL17&lt;&gt;TRUE)+(COUNTIF($EM17:$FB17,TRUE)&gt;0)*($FC17&lt;&gt;TRUE)+(COUNTIF($FD17:$FS17,TRUE)&gt;0)*($FT17&lt;&gt;TRUE)+(COUNTIF($FU17:$GJ17,TRUE)&gt;0)*($GK17&lt;&gt;TRUE)+(COUNTIF($GL17:$HA17,TRUE)&gt;0)*($HB17&lt;&gt;TRUE)</f>
        <v>0</v>
      </c>
      <c r="HF17">
        <f>IF($HE17=0,0,13-MAX((COUNTIF($G17:$V17,TRUE)&gt;0)*($W17&lt;&gt;TRUE)*12,(COUNTIF($X17:$AM17,TRUE)&gt;0)*($AN17&lt;&gt;TRUE)*11,(COUNTIF($AO17:$BD17,TRUE)&gt;0)*($BE17&lt;&gt;TRUE)*10,(COUNTIF($BF17:$BU17,TRUE)&gt;0)*($BV17&lt;&gt;TRUE)*9,(COUNTIF($BW17:$CL17,TRUE)&gt;0)*($CM17&lt;&gt;TRUE)*8,(COUNTIF($CN17:$DC17,TRUE)&gt;0)*($DD17&lt;&gt;TRUE)*7,(COUNTIF($DE17:$DT17,TRUE)&gt;0)*($DU17&lt;&gt;TRUE)*6,(COUNTIF($DV17:$EK17,TRUE)&gt;0)*($EL17&lt;&gt;TRUE)*5,(COUNTIF($EM17:$FB17,TRUE)&gt;0)*($FC17&lt;&gt;TRUE)*4,(COUNTIF($FD17:$FS17,TRUE)&gt;0)*($FT17&lt;&gt;TRUE)*3,(COUNTIF($FU17:$GJ17,TRUE)&gt;0)*($GK17&lt;&gt;TRUE)*2,(COUNTIF($GL17:$HA17,TRUE)&gt;0)*($HB17&lt;&gt;TRUE)*1))</f>
        <v>0</v>
      </c>
    </row>
    <row r="18" ht="22.5" customHeight="1">
      <c r="A18" s="36" t="n">
        <v>14</v>
      </c>
      <c r="B18" s="97" t="n"/>
      <c r="C18" s="28" t="n"/>
      <c r="D18" s="98" t="str">
        <f>IF($B18="","",IF($HC18=97,"-",IF($HD18=0,"متوقف",SUMPRODUCT(($G$4:$HB$4="ح")*($G$20:$HB$20&gt;0)*($G18:$HB18&lt;&gt;TRUE)*($G$47:$HB$47&gt;$HC$1-8)*($G$47:$HB$47&gt;=$HC18)))))</f>
        <v/>
      </c>
      <c r="E18" s="98" t="str">
        <f>IF(OR($B18="",$HC18=97),"",SUMPRODUCT(($G$4:$HA$4="ح")*($G18:$HA18=TRUE)*($H18:$HB18&lt;&gt;TRUE)*($G$47:$HA$47&gt;$HC$1-8)))</f>
        <v/>
      </c>
      <c r="F18" s="99" t="str">
        <f>IF($B18="","",IF($HE18=0,IF($HC18=97,"-","تمام"),IF($HE18=1,IF(INDEX($G$1:$HB$1,1,17*($HF18-1)+1)="","شهر "&amp;$HF18,INDEX($G$1:$HB$1,1,17*($HF18-1)+1)),IF($HE18=2,"شهرين",$HE18&amp;" شهور"))))</f>
        <v/>
      </c>
      <c r="G18" s="100" t="n"/>
      <c r="H18" s="101" t="n"/>
      <c r="I18" s="100" t="n"/>
      <c r="J18" s="101" t="n"/>
      <c r="K18" s="100" t="n"/>
      <c r="L18" s="101" t="n"/>
      <c r="M18" s="100" t="n"/>
      <c r="N18" s="101" t="n"/>
      <c r="O18" s="100" t="n"/>
      <c r="P18" s="101" t="n"/>
      <c r="Q18" s="100" t="n"/>
      <c r="R18" s="101" t="n"/>
      <c r="S18" s="100" t="n"/>
      <c r="T18" s="101" t="n"/>
      <c r="U18" s="100" t="n"/>
      <c r="V18" s="101" t="n"/>
      <c r="W18" s="102" t="n"/>
      <c r="X18" s="103" t="n"/>
      <c r="Y18" s="104" t="n"/>
      <c r="Z18" s="103" t="n"/>
      <c r="AA18" s="104" t="n"/>
      <c r="AB18" s="103" t="n"/>
      <c r="AC18" s="104" t="n"/>
      <c r="AD18" s="103" t="n"/>
      <c r="AE18" s="104" t="n"/>
      <c r="AF18" s="103" t="n"/>
      <c r="AG18" s="104" t="n"/>
      <c r="AH18" s="103" t="n"/>
      <c r="AI18" s="104" t="n"/>
      <c r="AJ18" s="103" t="n"/>
      <c r="AK18" s="104" t="n"/>
      <c r="AL18" s="103" t="n"/>
      <c r="AM18" s="104" t="n"/>
      <c r="AN18" s="105" t="n"/>
      <c r="AO18" s="106" t="n"/>
      <c r="AP18" s="107" t="n"/>
      <c r="AQ18" s="106" t="n"/>
      <c r="AR18" s="107" t="n"/>
      <c r="AS18" s="106" t="n"/>
      <c r="AT18" s="107" t="n"/>
      <c r="AU18" s="106" t="n"/>
      <c r="AV18" s="107" t="n"/>
      <c r="AW18" s="106" t="n"/>
      <c r="AX18" s="107" t="n"/>
      <c r="AY18" s="106" t="n"/>
      <c r="AZ18" s="107" t="n"/>
      <c r="BA18" s="106" t="n"/>
      <c r="BB18" s="107" t="n"/>
      <c r="BC18" s="106" t="n"/>
      <c r="BD18" s="107" t="n"/>
      <c r="BE18" s="108" t="n"/>
      <c r="BF18" s="109" t="n"/>
      <c r="BG18" s="110" t="n"/>
      <c r="BH18" s="109" t="n"/>
      <c r="BI18" s="110" t="n"/>
      <c r="BJ18" s="109" t="n"/>
      <c r="BK18" s="110" t="n"/>
      <c r="BL18" s="109" t="n"/>
      <c r="BM18" s="110" t="n"/>
      <c r="BN18" s="109" t="n"/>
      <c r="BO18" s="110" t="n"/>
      <c r="BP18" s="109" t="n"/>
      <c r="BQ18" s="110" t="n"/>
      <c r="BR18" s="109" t="n"/>
      <c r="BS18" s="110" t="n"/>
      <c r="BT18" s="109" t="n"/>
      <c r="BU18" s="110" t="n"/>
      <c r="BV18" s="111" t="n"/>
      <c r="BW18" s="112" t="n"/>
      <c r="BX18" s="113" t="n"/>
      <c r="BY18" s="112" t="n"/>
      <c r="BZ18" s="113" t="n"/>
      <c r="CA18" s="112" t="n"/>
      <c r="CB18" s="113" t="n"/>
      <c r="CC18" s="112" t="n"/>
      <c r="CD18" s="113" t="n"/>
      <c r="CE18" s="112" t="n"/>
      <c r="CF18" s="113" t="n"/>
      <c r="CG18" s="112" t="n"/>
      <c r="CH18" s="113" t="n"/>
      <c r="CI18" s="112" t="n"/>
      <c r="CJ18" s="113" t="n"/>
      <c r="CK18" s="112" t="n"/>
      <c r="CL18" s="113" t="n"/>
      <c r="CM18" s="114" t="n"/>
      <c r="CN18" s="115" t="n"/>
      <c r="CO18" s="116" t="n"/>
      <c r="CP18" s="115" t="n"/>
      <c r="CQ18" s="116" t="n"/>
      <c r="CR18" s="115" t="n"/>
      <c r="CS18" s="116" t="n"/>
      <c r="CT18" s="115" t="n"/>
      <c r="CU18" s="116" t="n"/>
      <c r="CV18" s="115" t="n"/>
      <c r="CW18" s="116" t="n"/>
      <c r="CX18" s="115" t="n"/>
      <c r="CY18" s="116" t="n"/>
      <c r="CZ18" s="115" t="n"/>
      <c r="DA18" s="116" t="n"/>
      <c r="DB18" s="115" t="n"/>
      <c r="DC18" s="116" t="n"/>
      <c r="DD18" s="117" t="n"/>
      <c r="DE18" s="118" t="n"/>
      <c r="DF18" s="119" t="n"/>
      <c r="DG18" s="118" t="n"/>
      <c r="DH18" s="119" t="n"/>
      <c r="DI18" s="118" t="n"/>
      <c r="DJ18" s="119" t="n"/>
      <c r="DK18" s="118" t="n"/>
      <c r="DL18" s="119" t="n"/>
      <c r="DM18" s="118" t="n"/>
      <c r="DN18" s="119" t="n"/>
      <c r="DO18" s="118" t="n"/>
      <c r="DP18" s="119" t="n"/>
      <c r="DQ18" s="118" t="n"/>
      <c r="DR18" s="119" t="n"/>
      <c r="DS18" s="118" t="n"/>
      <c r="DT18" s="119" t="n"/>
      <c r="DU18" s="120" t="n"/>
      <c r="DV18" s="121" t="n"/>
      <c r="DW18" s="122" t="n"/>
      <c r="DX18" s="121" t="n"/>
      <c r="DY18" s="122" t="n"/>
      <c r="DZ18" s="121" t="n"/>
      <c r="EA18" s="122" t="n"/>
      <c r="EB18" s="121" t="n"/>
      <c r="EC18" s="122" t="n"/>
      <c r="ED18" s="121" t="n"/>
      <c r="EE18" s="122" t="n"/>
      <c r="EF18" s="121" t="n"/>
      <c r="EG18" s="122" t="n"/>
      <c r="EH18" s="121" t="n"/>
      <c r="EI18" s="122" t="n"/>
      <c r="EJ18" s="121" t="n"/>
      <c r="EK18" s="122" t="n"/>
      <c r="EL18" s="123" t="n"/>
      <c r="EM18" s="124" t="n"/>
      <c r="EN18" s="125" t="n"/>
      <c r="EO18" s="124" t="n"/>
      <c r="EP18" s="125" t="n"/>
      <c r="EQ18" s="124" t="n"/>
      <c r="ER18" s="125" t="n"/>
      <c r="ES18" s="124" t="n"/>
      <c r="ET18" s="125" t="n"/>
      <c r="EU18" s="124" t="n"/>
      <c r="EV18" s="125" t="n"/>
      <c r="EW18" s="124" t="n"/>
      <c r="EX18" s="125" t="n"/>
      <c r="EY18" s="124" t="n"/>
      <c r="EZ18" s="125" t="n"/>
      <c r="FA18" s="124" t="n"/>
      <c r="FB18" s="125" t="n"/>
      <c r="FC18" s="126" t="n"/>
      <c r="FD18" s="127" t="n"/>
      <c r="FE18" s="128" t="n"/>
      <c r="FF18" s="127" t="n"/>
      <c r="FG18" s="128" t="n"/>
      <c r="FH18" s="127" t="n"/>
      <c r="FI18" s="128" t="n"/>
      <c r="FJ18" s="127" t="n"/>
      <c r="FK18" s="128" t="n"/>
      <c r="FL18" s="127" t="n"/>
      <c r="FM18" s="128" t="n"/>
      <c r="FN18" s="127" t="n"/>
      <c r="FO18" s="128" t="n"/>
      <c r="FP18" s="127" t="n"/>
      <c r="FQ18" s="128" t="n"/>
      <c r="FR18" s="127" t="n"/>
      <c r="FS18" s="128" t="n"/>
      <c r="FT18" s="129" t="n"/>
      <c r="FU18" s="130" t="n"/>
      <c r="FV18" s="131" t="n"/>
      <c r="FW18" s="130" t="n"/>
      <c r="FX18" s="131" t="n"/>
      <c r="FY18" s="130" t="n"/>
      <c r="FZ18" s="131" t="n"/>
      <c r="GA18" s="130" t="n"/>
      <c r="GB18" s="131" t="n"/>
      <c r="GC18" s="130" t="n"/>
      <c r="GD18" s="131" t="n"/>
      <c r="GE18" s="130" t="n"/>
      <c r="GF18" s="131" t="n"/>
      <c r="GG18" s="130" t="n"/>
      <c r="GH18" s="131" t="n"/>
      <c r="GI18" s="130" t="n"/>
      <c r="GJ18" s="131" t="n"/>
      <c r="GK18" s="132" t="n"/>
      <c r="GL18" s="133" t="n"/>
      <c r="GM18" s="134" t="n"/>
      <c r="GN18" s="133" t="n"/>
      <c r="GO18" s="134" t="n"/>
      <c r="GP18" s="133" t="n"/>
      <c r="GQ18" s="134" t="n"/>
      <c r="GR18" s="133" t="n"/>
      <c r="GS18" s="134" t="n"/>
      <c r="GT18" s="133" t="n"/>
      <c r="GU18" s="134" t="n"/>
      <c r="GV18" s="133" t="n"/>
      <c r="GW18" s="134" t="n"/>
      <c r="GX18" s="133" t="n"/>
      <c r="GY18" s="134" t="n"/>
      <c r="GZ18" s="133" t="n"/>
      <c r="HA18" s="134" t="n"/>
      <c r="HB18" s="135" t="n"/>
      <c r="HC18">
        <f>97-SUMPRODUCT(MAX(($G$4:$HB$4="ح")*($G18:$HB18=TRUE)*(97-$G$47:$HB$47)))</f>
        <v>97</v>
      </c>
      <c r="HD18">
        <f>SUMPRODUCT(($G$4:$HB$4="ح")*($G18:$HB18=TRUE)*($G$47:$HB$47&gt;$HC$1-8))</f>
        <v>0</v>
      </c>
      <c r="HE18">
        <f>(COUNTIF($G18:$V18,TRUE)&gt;0)*($W18&lt;&gt;TRUE)+(COUNTIF($X18:$AM18,TRUE)&gt;0)*($AN18&lt;&gt;TRUE)+(COUNTIF($AO18:$BD18,TRUE)&gt;0)*($BE18&lt;&gt;TRUE)+(COUNTIF($BF18:$BU18,TRUE)&gt;0)*($BV18&lt;&gt;TRUE)+(COUNTIF($BW18:$CL18,TRUE)&gt;0)*($CM18&lt;&gt;TRUE)+(COUNTIF($CN18:$DC18,TRUE)&gt;0)*($DD18&lt;&gt;TRUE)+(COUNTIF($DE18:$DT18,TRUE)&gt;0)*($DU18&lt;&gt;TRUE)+(COUNTIF($DV18:$EK18,TRUE)&gt;0)*($EL18&lt;&gt;TRUE)+(COUNTIF($EM18:$FB18,TRUE)&gt;0)*($FC18&lt;&gt;TRUE)+(COUNTIF($FD18:$FS18,TRUE)&gt;0)*($FT18&lt;&gt;TRUE)+(COUNTIF($FU18:$GJ18,TRUE)&gt;0)*($GK18&lt;&gt;TRUE)+(COUNTIF($GL18:$HA18,TRUE)&gt;0)*($HB18&lt;&gt;TRUE)</f>
        <v>0</v>
      </c>
      <c r="HF18">
        <f>IF($HE18=0,0,13-MAX((COUNTIF($G18:$V18,TRUE)&gt;0)*($W18&lt;&gt;TRUE)*12,(COUNTIF($X18:$AM18,TRUE)&gt;0)*($AN18&lt;&gt;TRUE)*11,(COUNTIF($AO18:$BD18,TRUE)&gt;0)*($BE18&lt;&gt;TRUE)*10,(COUNTIF($BF18:$BU18,TRUE)&gt;0)*($BV18&lt;&gt;TRUE)*9,(COUNTIF($BW18:$CL18,TRUE)&gt;0)*($CM18&lt;&gt;TRUE)*8,(COUNTIF($CN18:$DC18,TRUE)&gt;0)*($DD18&lt;&gt;TRUE)*7,(COUNTIF($DE18:$DT18,TRUE)&gt;0)*($DU18&lt;&gt;TRUE)*6,(COUNTIF($DV18:$EK18,TRUE)&gt;0)*($EL18&lt;&gt;TRUE)*5,(COUNTIF($EM18:$FB18,TRUE)&gt;0)*($FC18&lt;&gt;TRUE)*4,(COUNTIF($FD18:$FS18,TRUE)&gt;0)*($FT18&lt;&gt;TRUE)*3,(COUNTIF($FU18:$GJ18,TRUE)&gt;0)*($GK18&lt;&gt;TRUE)*2,(COUNTIF($GL18:$HA18,TRUE)&gt;0)*($HB18&lt;&gt;TRUE)*1))</f>
        <v>0</v>
      </c>
    </row>
    <row r="19" ht="22.5" customHeight="1">
      <c r="A19" s="36" t="n">
        <v>15</v>
      </c>
      <c r="B19" s="97" t="n"/>
      <c r="C19" s="28" t="n"/>
      <c r="D19" s="98" t="str">
        <f>IF($B19="","",IF($HC19=97,"-",IF($HD19=0,"متوقف",SUMPRODUCT(($G$4:$HB$4="ح")*($G$20:$HB$20&gt;0)*($G19:$HB19&lt;&gt;TRUE)*($G$47:$HB$47&gt;$HC$1-8)*($G$47:$HB$47&gt;=$HC19)))))</f>
        <v/>
      </c>
      <c r="E19" s="98" t="str">
        <f>IF(OR($B19="",$HC19=97),"",SUMPRODUCT(($G$4:$HA$4="ح")*($G19:$HA19=TRUE)*($H19:$HB19&lt;&gt;TRUE)*($G$47:$HA$47&gt;$HC$1-8)))</f>
        <v/>
      </c>
      <c r="F19" s="99" t="str">
        <f>IF($B19="","",IF($HE19=0,IF($HC19=97,"-","تمام"),IF($HE19=1,IF(INDEX($G$1:$HB$1,1,17*($HF19-1)+1)="","شهر "&amp;$HF19,INDEX($G$1:$HB$1,1,17*($HF19-1)+1)),IF($HE19=2,"شهرين",$HE19&amp;" شهور"))))</f>
        <v/>
      </c>
      <c r="G19" s="100" t="n"/>
      <c r="H19" s="101" t="n"/>
      <c r="I19" s="100" t="n"/>
      <c r="J19" s="101" t="n"/>
      <c r="K19" s="100" t="n"/>
      <c r="L19" s="101" t="n"/>
      <c r="M19" s="100" t="n"/>
      <c r="N19" s="101" t="n"/>
      <c r="O19" s="100" t="n"/>
      <c r="P19" s="101" t="n"/>
      <c r="Q19" s="100" t="n"/>
      <c r="R19" s="101" t="n"/>
      <c r="S19" s="100" t="n"/>
      <c r="T19" s="101" t="n"/>
      <c r="U19" s="100" t="n"/>
      <c r="V19" s="101" t="n"/>
      <c r="W19" s="102" t="n"/>
      <c r="X19" s="103" t="n"/>
      <c r="Y19" s="104" t="n"/>
      <c r="Z19" s="103" t="n"/>
      <c r="AA19" s="104" t="n"/>
      <c r="AB19" s="103" t="n"/>
      <c r="AC19" s="104" t="n"/>
      <c r="AD19" s="103" t="n"/>
      <c r="AE19" s="104" t="n"/>
      <c r="AF19" s="103" t="n"/>
      <c r="AG19" s="104" t="n"/>
      <c r="AH19" s="103" t="n"/>
      <c r="AI19" s="104" t="n"/>
      <c r="AJ19" s="103" t="n"/>
      <c r="AK19" s="104" t="n"/>
      <c r="AL19" s="103" t="n"/>
      <c r="AM19" s="104" t="n"/>
      <c r="AN19" s="105" t="n"/>
      <c r="AO19" s="106" t="n"/>
      <c r="AP19" s="107" t="n"/>
      <c r="AQ19" s="106" t="n"/>
      <c r="AR19" s="107" t="n"/>
      <c r="AS19" s="106" t="n"/>
      <c r="AT19" s="107" t="n"/>
      <c r="AU19" s="106" t="n"/>
      <c r="AV19" s="107" t="n"/>
      <c r="AW19" s="106" t="n"/>
      <c r="AX19" s="107" t="n"/>
      <c r="AY19" s="106" t="n"/>
      <c r="AZ19" s="107" t="n"/>
      <c r="BA19" s="106" t="n"/>
      <c r="BB19" s="107" t="n"/>
      <c r="BC19" s="106" t="n"/>
      <c r="BD19" s="107" t="n"/>
      <c r="BE19" s="108" t="n"/>
      <c r="BF19" s="109" t="n"/>
      <c r="BG19" s="110" t="n"/>
      <c r="BH19" s="109" t="n"/>
      <c r="BI19" s="110" t="n"/>
      <c r="BJ19" s="109" t="n"/>
      <c r="BK19" s="110" t="n"/>
      <c r="BL19" s="109" t="n"/>
      <c r="BM19" s="110" t="n"/>
      <c r="BN19" s="109" t="n"/>
      <c r="BO19" s="110" t="n"/>
      <c r="BP19" s="109" t="n"/>
      <c r="BQ19" s="110" t="n"/>
      <c r="BR19" s="109" t="n"/>
      <c r="BS19" s="110" t="n"/>
      <c r="BT19" s="109" t="n"/>
      <c r="BU19" s="110" t="n"/>
      <c r="BV19" s="111" t="n"/>
      <c r="BW19" s="112" t="n"/>
      <c r="BX19" s="113" t="n"/>
      <c r="BY19" s="112" t="n"/>
      <c r="BZ19" s="113" t="n"/>
      <c r="CA19" s="112" t="n"/>
      <c r="CB19" s="113" t="n"/>
      <c r="CC19" s="112" t="n"/>
      <c r="CD19" s="113" t="n"/>
      <c r="CE19" s="112" t="n"/>
      <c r="CF19" s="113" t="n"/>
      <c r="CG19" s="112" t="n"/>
      <c r="CH19" s="113" t="n"/>
      <c r="CI19" s="112" t="n"/>
      <c r="CJ19" s="113" t="n"/>
      <c r="CK19" s="112" t="n"/>
      <c r="CL19" s="113" t="n"/>
      <c r="CM19" s="114" t="n"/>
      <c r="CN19" s="115" t="n"/>
      <c r="CO19" s="116" t="n"/>
      <c r="CP19" s="115" t="n"/>
      <c r="CQ19" s="116" t="n"/>
      <c r="CR19" s="115" t="n"/>
      <c r="CS19" s="116" t="n"/>
      <c r="CT19" s="115" t="n"/>
      <c r="CU19" s="116" t="n"/>
      <c r="CV19" s="115" t="n"/>
      <c r="CW19" s="116" t="n"/>
      <c r="CX19" s="115" t="n"/>
      <c r="CY19" s="116" t="n"/>
      <c r="CZ19" s="115" t="n"/>
      <c r="DA19" s="116" t="n"/>
      <c r="DB19" s="115" t="n"/>
      <c r="DC19" s="116" t="n"/>
      <c r="DD19" s="117" t="n"/>
      <c r="DE19" s="118" t="n"/>
      <c r="DF19" s="119" t="n"/>
      <c r="DG19" s="118" t="n"/>
      <c r="DH19" s="119" t="n"/>
      <c r="DI19" s="118" t="n"/>
      <c r="DJ19" s="119" t="n"/>
      <c r="DK19" s="118" t="n"/>
      <c r="DL19" s="119" t="n"/>
      <c r="DM19" s="118" t="n"/>
      <c r="DN19" s="119" t="n"/>
      <c r="DO19" s="118" t="n"/>
      <c r="DP19" s="119" t="n"/>
      <c r="DQ19" s="118" t="n"/>
      <c r="DR19" s="119" t="n"/>
      <c r="DS19" s="118" t="n"/>
      <c r="DT19" s="119" t="n"/>
      <c r="DU19" s="120" t="n"/>
      <c r="DV19" s="121" t="n"/>
      <c r="DW19" s="122" t="n"/>
      <c r="DX19" s="121" t="n"/>
      <c r="DY19" s="122" t="n"/>
      <c r="DZ19" s="121" t="n"/>
      <c r="EA19" s="122" t="n"/>
      <c r="EB19" s="121" t="n"/>
      <c r="EC19" s="122" t="n"/>
      <c r="ED19" s="121" t="n"/>
      <c r="EE19" s="122" t="n"/>
      <c r="EF19" s="121" t="n"/>
      <c r="EG19" s="122" t="n"/>
      <c r="EH19" s="121" t="n"/>
      <c r="EI19" s="122" t="n"/>
      <c r="EJ19" s="121" t="n"/>
      <c r="EK19" s="122" t="n"/>
      <c r="EL19" s="123" t="n"/>
      <c r="EM19" s="124" t="n"/>
      <c r="EN19" s="125" t="n"/>
      <c r="EO19" s="124" t="n"/>
      <c r="EP19" s="125" t="n"/>
      <c r="EQ19" s="124" t="n"/>
      <c r="ER19" s="125" t="n"/>
      <c r="ES19" s="124" t="n"/>
      <c r="ET19" s="125" t="n"/>
      <c r="EU19" s="124" t="n"/>
      <c r="EV19" s="125" t="n"/>
      <c r="EW19" s="124" t="n"/>
      <c r="EX19" s="125" t="n"/>
      <c r="EY19" s="124" t="n"/>
      <c r="EZ19" s="125" t="n"/>
      <c r="FA19" s="124" t="n"/>
      <c r="FB19" s="125" t="n"/>
      <c r="FC19" s="126" t="n"/>
      <c r="FD19" s="127" t="n"/>
      <c r="FE19" s="128" t="n"/>
      <c r="FF19" s="127" t="n"/>
      <c r="FG19" s="128" t="n"/>
      <c r="FH19" s="127" t="n"/>
      <c r="FI19" s="128" t="n"/>
      <c r="FJ19" s="127" t="n"/>
      <c r="FK19" s="128" t="n"/>
      <c r="FL19" s="127" t="n"/>
      <c r="FM19" s="128" t="n"/>
      <c r="FN19" s="127" t="n"/>
      <c r="FO19" s="128" t="n"/>
      <c r="FP19" s="127" t="n"/>
      <c r="FQ19" s="128" t="n"/>
      <c r="FR19" s="127" t="n"/>
      <c r="FS19" s="128" t="n"/>
      <c r="FT19" s="129" t="n"/>
      <c r="FU19" s="130" t="n"/>
      <c r="FV19" s="131" t="n"/>
      <c r="FW19" s="130" t="n"/>
      <c r="FX19" s="131" t="n"/>
      <c r="FY19" s="130" t="n"/>
      <c r="FZ19" s="131" t="n"/>
      <c r="GA19" s="130" t="n"/>
      <c r="GB19" s="131" t="n"/>
      <c r="GC19" s="130" t="n"/>
      <c r="GD19" s="131" t="n"/>
      <c r="GE19" s="130" t="n"/>
      <c r="GF19" s="131" t="n"/>
      <c r="GG19" s="130" t="n"/>
      <c r="GH19" s="131" t="n"/>
      <c r="GI19" s="130" t="n"/>
      <c r="GJ19" s="131" t="n"/>
      <c r="GK19" s="132" t="n"/>
      <c r="GL19" s="133" t="n"/>
      <c r="GM19" s="134" t="n"/>
      <c r="GN19" s="133" t="n"/>
      <c r="GO19" s="134" t="n"/>
      <c r="GP19" s="133" t="n"/>
      <c r="GQ19" s="134" t="n"/>
      <c r="GR19" s="133" t="n"/>
      <c r="GS19" s="134" t="n"/>
      <c r="GT19" s="133" t="n"/>
      <c r="GU19" s="134" t="n"/>
      <c r="GV19" s="133" t="n"/>
      <c r="GW19" s="134" t="n"/>
      <c r="GX19" s="133" t="n"/>
      <c r="GY19" s="134" t="n"/>
      <c r="GZ19" s="133" t="n"/>
      <c r="HA19" s="134" t="n"/>
      <c r="HB19" s="135" t="n"/>
      <c r="HC19">
        <f>97-SUMPRODUCT(MAX(($G$4:$HB$4="ح")*($G19:$HB19=TRUE)*(97-$G$47:$HB$47)))</f>
        <v>97</v>
      </c>
      <c r="HD19">
        <f>SUMPRODUCT(($G$4:$HB$4="ح")*($G19:$HB19=TRUE)*($G$47:$HB$47&gt;$HC$1-8))</f>
        <v>0</v>
      </c>
      <c r="HE19">
        <f>(COUNTIF($G19:$V19,TRUE)&gt;0)*($W19&lt;&gt;TRUE)+(COUNTIF($X19:$AM19,TRUE)&gt;0)*($AN19&lt;&gt;TRUE)+(COUNTIF($AO19:$BD19,TRUE)&gt;0)*($BE19&lt;&gt;TRUE)+(COUNTIF($BF19:$BU19,TRUE)&gt;0)*($BV19&lt;&gt;TRUE)+(COUNTIF($BW19:$CL19,TRUE)&gt;0)*($CM19&lt;&gt;TRUE)+(COUNTIF($CN19:$DC19,TRUE)&gt;0)*($DD19&lt;&gt;TRUE)+(COUNTIF($DE19:$DT19,TRUE)&gt;0)*($DU19&lt;&gt;TRUE)+(COUNTIF($DV19:$EK19,TRUE)&gt;0)*($EL19&lt;&gt;TRUE)+(COUNTIF($EM19:$FB19,TRUE)&gt;0)*($FC19&lt;&gt;TRUE)+(COUNTIF($FD19:$FS19,TRUE)&gt;0)*($FT19&lt;&gt;TRUE)+(COUNTIF($FU19:$GJ19,TRUE)&gt;0)*($GK19&lt;&gt;TRUE)+(COUNTIF($GL19:$HA19,TRUE)&gt;0)*($HB19&lt;&gt;TRUE)</f>
        <v>0</v>
      </c>
      <c r="HF19">
        <f>IF($HE19=0,0,13-MAX((COUNTIF($G19:$V19,TRUE)&gt;0)*($W19&lt;&gt;TRUE)*12,(COUNTIF($X19:$AM19,TRUE)&gt;0)*($AN19&lt;&gt;TRUE)*11,(COUNTIF($AO19:$BD19,TRUE)&gt;0)*($BE19&lt;&gt;TRUE)*10,(COUNTIF($BF19:$BU19,TRUE)&gt;0)*($BV19&lt;&gt;TRUE)*9,(COUNTIF($BW19:$CL19,TRUE)&gt;0)*($CM19&lt;&gt;TRUE)*8,(COUNTIF($CN19:$DC19,TRUE)&gt;0)*($DD19&lt;&gt;TRUE)*7,(COUNTIF($DE19:$DT19,TRUE)&gt;0)*($DU19&lt;&gt;TRUE)*6,(COUNTIF($DV19:$EK19,TRUE)&gt;0)*($EL19&lt;&gt;TRUE)*5,(COUNTIF($EM19:$FB19,TRUE)&gt;0)*($FC19&lt;&gt;TRUE)*4,(COUNTIF($FD19:$FS19,TRUE)&gt;0)*($FT19&lt;&gt;TRUE)*3,(COUNTIF($FU19:$GJ19,TRUE)&gt;0)*($GK19&lt;&gt;TRUE)*2,(COUNTIF($GL19:$HA19,TRUE)&gt;0)*($HB19&lt;&gt;TRUE)*1))</f>
        <v>0</v>
      </c>
    </row>
    <row r="20" ht="16.5" customHeight="1">
      <c r="A20" s="36" t="inlineStr">
        <is>
          <t>العدد</t>
        </is>
      </c>
      <c r="B20" s="4" t="n"/>
      <c r="C20" s="136" t="n"/>
      <c r="D20" s="13" t="n"/>
      <c r="E20" s="13" t="n"/>
      <c r="F20" s="4" t="n"/>
      <c r="G20" s="137">
        <f>COUNTIF(G5:G19,TRUE)</f>
        <v>0</v>
      </c>
      <c r="H20" s="137">
        <f>COUNTIF(H5:H19,TRUE)</f>
        <v>0</v>
      </c>
      <c r="I20" s="137">
        <f>COUNTIF(I5:I19,TRUE)</f>
        <v>0</v>
      </c>
      <c r="J20" s="137">
        <f>COUNTIF(J5:J19,TRUE)</f>
        <v>0</v>
      </c>
      <c r="K20" s="137">
        <f>COUNTIF(K5:K19,TRUE)</f>
        <v>0</v>
      </c>
      <c r="L20" s="137">
        <f>COUNTIF(L5:L19,TRUE)</f>
        <v>0</v>
      </c>
      <c r="M20" s="137">
        <f>COUNTIF(M5:M19,TRUE)</f>
        <v>0</v>
      </c>
      <c r="N20" s="137">
        <f>COUNTIF(N5:N19,TRUE)</f>
        <v>0</v>
      </c>
      <c r="O20" s="137">
        <f>COUNTIF(O5:O19,TRUE)</f>
        <v>0</v>
      </c>
      <c r="P20" s="137">
        <f>COUNTIF(P5:P19,TRUE)</f>
        <v>0</v>
      </c>
      <c r="Q20" s="137">
        <f>COUNTIF(Q5:Q19,TRUE)</f>
        <v>0</v>
      </c>
      <c r="R20" s="137">
        <f>COUNTIF(R5:R19,TRUE)</f>
        <v>0</v>
      </c>
      <c r="S20" s="137">
        <f>COUNTIF(S5:S19,TRUE)</f>
        <v>0</v>
      </c>
      <c r="T20" s="137">
        <f>COUNTIF(T5:T19,TRUE)</f>
        <v>0</v>
      </c>
      <c r="U20" s="137">
        <f>COUNTIF(U5:U19,TRUE)</f>
        <v>0</v>
      </c>
      <c r="V20" s="137">
        <f>COUNTIF(V5:V19,TRUE)</f>
        <v>0</v>
      </c>
      <c r="W20" s="137">
        <f>COUNTIF(W5:W19,TRUE)</f>
        <v>0</v>
      </c>
      <c r="X20" s="137">
        <f>COUNTIF(X5:X19,TRUE)</f>
        <v>0</v>
      </c>
      <c r="Y20" s="137">
        <f>COUNTIF(Y5:Y19,TRUE)</f>
        <v>0</v>
      </c>
      <c r="Z20" s="137">
        <f>COUNTIF(Z5:Z19,TRUE)</f>
        <v>0</v>
      </c>
      <c r="AA20" s="137">
        <f>COUNTIF(AA5:AA19,TRUE)</f>
        <v>0</v>
      </c>
      <c r="AB20" s="137">
        <f>COUNTIF(AB5:AB19,TRUE)</f>
        <v>0</v>
      </c>
      <c r="AC20" s="137">
        <f>COUNTIF(AC5:AC19,TRUE)</f>
        <v>0</v>
      </c>
      <c r="AD20" s="137">
        <f>COUNTIF(AD5:AD19,TRUE)</f>
        <v>0</v>
      </c>
      <c r="AE20" s="137">
        <f>COUNTIF(AE5:AE19,TRUE)</f>
        <v>0</v>
      </c>
      <c r="AF20" s="137">
        <f>COUNTIF(AF5:AF19,TRUE)</f>
        <v>0</v>
      </c>
      <c r="AG20" s="137">
        <f>COUNTIF(AG5:AG19,TRUE)</f>
        <v>0</v>
      </c>
      <c r="AH20" s="137">
        <f>COUNTIF(AH5:AH19,TRUE)</f>
        <v>0</v>
      </c>
      <c r="AI20" s="137">
        <f>COUNTIF(AI5:AI19,TRUE)</f>
        <v>0</v>
      </c>
      <c r="AJ20" s="137">
        <f>COUNTIF(AJ5:AJ19,TRUE)</f>
        <v>0</v>
      </c>
      <c r="AK20" s="137">
        <f>COUNTIF(AK5:AK19,TRUE)</f>
        <v>0</v>
      </c>
      <c r="AL20" s="137">
        <f>COUNTIF(AL5:AL19,TRUE)</f>
        <v>0</v>
      </c>
      <c r="AM20" s="137">
        <f>COUNTIF(AM5:AM19,TRUE)</f>
        <v>0</v>
      </c>
      <c r="AN20" s="137">
        <f>COUNTIF(AN5:AN19,TRUE)</f>
        <v>0</v>
      </c>
      <c r="AO20" s="137">
        <f>COUNTIF(AO5:AO19,TRUE)</f>
        <v>0</v>
      </c>
      <c r="AP20" s="137">
        <f>COUNTIF(AP5:AP19,TRUE)</f>
        <v>0</v>
      </c>
      <c r="AQ20" s="137">
        <f>COUNTIF(AQ5:AQ19,TRUE)</f>
        <v>0</v>
      </c>
      <c r="AR20" s="137">
        <f>COUNTIF(AR5:AR19,TRUE)</f>
        <v>0</v>
      </c>
      <c r="AS20" s="137">
        <f>COUNTIF(AS5:AS19,TRUE)</f>
        <v>0</v>
      </c>
      <c r="AT20" s="137">
        <f>COUNTIF(AT5:AT19,TRUE)</f>
        <v>0</v>
      </c>
      <c r="AU20" s="137">
        <f>COUNTIF(AU5:AU19,TRUE)</f>
        <v>0</v>
      </c>
      <c r="AV20" s="137">
        <f>COUNTIF(AV5:AV19,TRUE)</f>
        <v>0</v>
      </c>
      <c r="AW20" s="137">
        <f>COUNTIF(AW5:AW19,TRUE)</f>
        <v>0</v>
      </c>
      <c r="AX20" s="137">
        <f>COUNTIF(AX5:AX19,TRUE)</f>
        <v>0</v>
      </c>
      <c r="AY20" s="137">
        <f>COUNTIF(AY5:AY19,TRUE)</f>
        <v>0</v>
      </c>
      <c r="AZ20" s="137">
        <f>COUNTIF(AZ5:AZ19,TRUE)</f>
        <v>0</v>
      </c>
      <c r="BA20" s="137">
        <f>COUNTIF(BA5:BA19,TRUE)</f>
        <v>0</v>
      </c>
      <c r="BB20" s="137">
        <f>COUNTIF(BB5:BB19,TRUE)</f>
        <v>0</v>
      </c>
      <c r="BC20" s="137">
        <f>COUNTIF(BC5:BC19,TRUE)</f>
        <v>0</v>
      </c>
      <c r="BD20" s="137">
        <f>COUNTIF(BD5:BD19,TRUE)</f>
        <v>0</v>
      </c>
      <c r="BE20" s="137">
        <f>COUNTIF(BE5:BE19,TRUE)</f>
        <v>0</v>
      </c>
      <c r="BF20" s="137">
        <f>COUNTIF(BF5:BF19,TRUE)</f>
        <v>0</v>
      </c>
      <c r="BG20" s="137">
        <f>COUNTIF(BG5:BG19,TRUE)</f>
        <v>0</v>
      </c>
      <c r="BH20" s="137">
        <f>COUNTIF(BH5:BH19,TRUE)</f>
        <v>0</v>
      </c>
      <c r="BI20" s="137">
        <f>COUNTIF(BI5:BI19,TRUE)</f>
        <v>0</v>
      </c>
      <c r="BJ20" s="137">
        <f>COUNTIF(BJ5:BJ19,TRUE)</f>
        <v>0</v>
      </c>
      <c r="BK20" s="137">
        <f>COUNTIF(BK5:BK19,TRUE)</f>
        <v>0</v>
      </c>
      <c r="BL20" s="137">
        <f>COUNTIF(BL5:BL19,TRUE)</f>
        <v>0</v>
      </c>
      <c r="BM20" s="137">
        <f>COUNTIF(BM5:BM19,TRUE)</f>
        <v>0</v>
      </c>
      <c r="BN20" s="137">
        <f>COUNTIF(BN5:BN19,TRUE)</f>
        <v>0</v>
      </c>
      <c r="BO20" s="137">
        <f>COUNTIF(BO5:BO19,TRUE)</f>
        <v>0</v>
      </c>
      <c r="BP20" s="137">
        <f>COUNTIF(BP5:BP19,TRUE)</f>
        <v>0</v>
      </c>
      <c r="BQ20" s="137">
        <f>COUNTIF(BQ5:BQ19,TRUE)</f>
        <v>0</v>
      </c>
      <c r="BR20" s="137">
        <f>COUNTIF(BR5:BR19,TRUE)</f>
        <v>0</v>
      </c>
      <c r="BS20" s="137">
        <f>COUNTIF(BS5:BS19,TRUE)</f>
        <v>0</v>
      </c>
      <c r="BT20" s="137">
        <f>COUNTIF(BT5:BT19,TRUE)</f>
        <v>0</v>
      </c>
      <c r="BU20" s="137">
        <f>COUNTIF(BU5:BU19,TRUE)</f>
        <v>0</v>
      </c>
      <c r="BV20" s="137">
        <f>COUNTIF(BV5:BV19,TRUE)</f>
        <v>0</v>
      </c>
      <c r="BW20" s="137">
        <f>COUNTIF(BW5:BW19,TRUE)</f>
        <v>0</v>
      </c>
      <c r="BX20" s="137">
        <f>COUNTIF(BX5:BX19,TRUE)</f>
        <v>0</v>
      </c>
      <c r="BY20" s="137">
        <f>COUNTIF(BY5:BY19,TRUE)</f>
        <v>0</v>
      </c>
      <c r="BZ20" s="137">
        <f>COUNTIF(BZ5:BZ19,TRUE)</f>
        <v>0</v>
      </c>
      <c r="CA20" s="137">
        <f>COUNTIF(CA5:CA19,TRUE)</f>
        <v>0</v>
      </c>
      <c r="CB20" s="137">
        <f>COUNTIF(CB5:CB19,TRUE)</f>
        <v>0</v>
      </c>
      <c r="CC20" s="137">
        <f>COUNTIF(CC5:CC19,TRUE)</f>
        <v>0</v>
      </c>
      <c r="CD20" s="137">
        <f>COUNTIF(CD5:CD19,TRUE)</f>
        <v>0</v>
      </c>
      <c r="CE20" s="137">
        <f>COUNTIF(CE5:CE19,TRUE)</f>
        <v>0</v>
      </c>
      <c r="CF20" s="137">
        <f>COUNTIF(CF5:CF19,TRUE)</f>
        <v>0</v>
      </c>
      <c r="CG20" s="137">
        <f>COUNTIF(CG5:CG19,TRUE)</f>
        <v>0</v>
      </c>
      <c r="CH20" s="137">
        <f>COUNTIF(CH5:CH19,TRUE)</f>
        <v>0</v>
      </c>
      <c r="CI20" s="137">
        <f>COUNTIF(CI5:CI19,TRUE)</f>
        <v>0</v>
      </c>
      <c r="CJ20" s="137">
        <f>COUNTIF(CJ5:CJ19,TRUE)</f>
        <v>0</v>
      </c>
      <c r="CK20" s="137">
        <f>COUNTIF(CK5:CK19,TRUE)</f>
        <v>0</v>
      </c>
      <c r="CL20" s="137">
        <f>COUNTIF(CL5:CL19,TRUE)</f>
        <v>0</v>
      </c>
      <c r="CM20" s="137">
        <f>COUNTIF(CM5:CM19,TRUE)</f>
        <v>0</v>
      </c>
      <c r="CN20" s="137">
        <f>COUNTIF(CN5:CN19,TRUE)</f>
        <v>0</v>
      </c>
      <c r="CO20" s="137">
        <f>COUNTIF(CO5:CO19,TRUE)</f>
        <v>0</v>
      </c>
      <c r="CP20" s="137">
        <f>COUNTIF(CP5:CP19,TRUE)</f>
        <v>0</v>
      </c>
      <c r="CQ20" s="137">
        <f>COUNTIF(CQ5:CQ19,TRUE)</f>
        <v>0</v>
      </c>
      <c r="CR20" s="137">
        <f>COUNTIF(CR5:CR19,TRUE)</f>
        <v>0</v>
      </c>
      <c r="CS20" s="137">
        <f>COUNTIF(CS5:CS19,TRUE)</f>
        <v>0</v>
      </c>
      <c r="CT20" s="137">
        <f>COUNTIF(CT5:CT19,TRUE)</f>
        <v>0</v>
      </c>
      <c r="CU20" s="137">
        <f>COUNTIF(CU5:CU19,TRUE)</f>
        <v>0</v>
      </c>
      <c r="CV20" s="137">
        <f>COUNTIF(CV5:CV19,TRUE)</f>
        <v>0</v>
      </c>
      <c r="CW20" s="137">
        <f>COUNTIF(CW5:CW19,TRUE)</f>
        <v>0</v>
      </c>
      <c r="CX20" s="137">
        <f>COUNTIF(CX5:CX19,TRUE)</f>
        <v>0</v>
      </c>
      <c r="CY20" s="137">
        <f>COUNTIF(CY5:CY19,TRUE)</f>
        <v>0</v>
      </c>
      <c r="CZ20" s="137">
        <f>COUNTIF(CZ5:CZ19,TRUE)</f>
        <v>0</v>
      </c>
      <c r="DA20" s="137">
        <f>COUNTIF(DA5:DA19,TRUE)</f>
        <v>0</v>
      </c>
      <c r="DB20" s="137">
        <f>COUNTIF(DB5:DB19,TRUE)</f>
        <v>0</v>
      </c>
      <c r="DC20" s="137">
        <f>COUNTIF(DC5:DC19,TRUE)</f>
        <v>0</v>
      </c>
      <c r="DD20" s="137">
        <f>COUNTIF(DD5:DD19,TRUE)</f>
        <v>0</v>
      </c>
      <c r="DE20" s="137">
        <f>COUNTIF(DE5:DE19,TRUE)</f>
        <v>0</v>
      </c>
      <c r="DF20" s="137">
        <f>COUNTIF(DF5:DF19,TRUE)</f>
        <v>0</v>
      </c>
      <c r="DG20" s="137">
        <f>COUNTIF(DG5:DG19,TRUE)</f>
        <v>0</v>
      </c>
      <c r="DH20" s="137">
        <f>COUNTIF(DH5:DH19,TRUE)</f>
        <v>0</v>
      </c>
      <c r="DI20" s="137">
        <f>COUNTIF(DI5:DI19,TRUE)</f>
        <v>0</v>
      </c>
      <c r="DJ20" s="137">
        <f>COUNTIF(DJ5:DJ19,TRUE)</f>
        <v>0</v>
      </c>
      <c r="DK20" s="137">
        <f>COUNTIF(DK5:DK19,TRUE)</f>
        <v>0</v>
      </c>
      <c r="DL20" s="137">
        <f>COUNTIF(DL5:DL19,TRUE)</f>
        <v>0</v>
      </c>
      <c r="DM20" s="137">
        <f>COUNTIF(DM5:DM19,TRUE)</f>
        <v>0</v>
      </c>
      <c r="DN20" s="137">
        <f>COUNTIF(DN5:DN19,TRUE)</f>
        <v>0</v>
      </c>
      <c r="DO20" s="137">
        <f>COUNTIF(DO5:DO19,TRUE)</f>
        <v>0</v>
      </c>
      <c r="DP20" s="137">
        <f>COUNTIF(DP5:DP19,TRUE)</f>
        <v>0</v>
      </c>
      <c r="DQ20" s="137">
        <f>COUNTIF(DQ5:DQ19,TRUE)</f>
        <v>0</v>
      </c>
      <c r="DR20" s="137">
        <f>COUNTIF(DR5:DR19,TRUE)</f>
        <v>0</v>
      </c>
      <c r="DS20" s="137">
        <f>COUNTIF(DS5:DS19,TRUE)</f>
        <v>0</v>
      </c>
      <c r="DT20" s="137">
        <f>COUNTIF(DT5:DT19,TRUE)</f>
        <v>0</v>
      </c>
      <c r="DU20" s="137">
        <f>COUNTIF(DU5:DU19,TRUE)</f>
        <v>0</v>
      </c>
      <c r="DV20" s="137">
        <f>COUNTIF(DV5:DV19,TRUE)</f>
        <v>0</v>
      </c>
      <c r="DW20" s="137">
        <f>COUNTIF(DW5:DW19,TRUE)</f>
        <v>0</v>
      </c>
      <c r="DX20" s="137">
        <f>COUNTIF(DX5:DX19,TRUE)</f>
        <v>0</v>
      </c>
      <c r="DY20" s="137">
        <f>COUNTIF(DY5:DY19,TRUE)</f>
        <v>0</v>
      </c>
      <c r="DZ20" s="137">
        <f>COUNTIF(DZ5:DZ19,TRUE)</f>
        <v>0</v>
      </c>
      <c r="EA20" s="137">
        <f>COUNTIF(EA5:EA19,TRUE)</f>
        <v>0</v>
      </c>
      <c r="EB20" s="137">
        <f>COUNTIF(EB5:EB19,TRUE)</f>
        <v>0</v>
      </c>
      <c r="EC20" s="137">
        <f>COUNTIF(EC5:EC19,TRUE)</f>
        <v>0</v>
      </c>
      <c r="ED20" s="137">
        <f>COUNTIF(ED5:ED19,TRUE)</f>
        <v>0</v>
      </c>
      <c r="EE20" s="137">
        <f>COUNTIF(EE5:EE19,TRUE)</f>
        <v>0</v>
      </c>
      <c r="EF20" s="137">
        <f>COUNTIF(EF5:EF19,TRUE)</f>
        <v>0</v>
      </c>
      <c r="EG20" s="137">
        <f>COUNTIF(EG5:EG19,TRUE)</f>
        <v>0</v>
      </c>
      <c r="EH20" s="137">
        <f>COUNTIF(EH5:EH19,TRUE)</f>
        <v>0</v>
      </c>
      <c r="EI20" s="137">
        <f>COUNTIF(EI5:EI19,TRUE)</f>
        <v>0</v>
      </c>
      <c r="EJ20" s="137">
        <f>COUNTIF(EJ5:EJ19,TRUE)</f>
        <v>0</v>
      </c>
      <c r="EK20" s="137">
        <f>COUNTIF(EK5:EK19,TRUE)</f>
        <v>0</v>
      </c>
      <c r="EL20" s="137">
        <f>COUNTIF(EL5:EL19,TRUE)</f>
        <v>0</v>
      </c>
      <c r="EM20" s="137">
        <f>COUNTIF(EM5:EM19,TRUE)</f>
        <v>0</v>
      </c>
      <c r="EN20" s="137">
        <f>COUNTIF(EN5:EN19,TRUE)</f>
        <v>0</v>
      </c>
      <c r="EO20" s="137">
        <f>COUNTIF(EO5:EO19,TRUE)</f>
        <v>0</v>
      </c>
      <c r="EP20" s="137">
        <f>COUNTIF(EP5:EP19,TRUE)</f>
        <v>0</v>
      </c>
      <c r="EQ20" s="137">
        <f>COUNTIF(EQ5:EQ19,TRUE)</f>
        <v>0</v>
      </c>
      <c r="ER20" s="137">
        <f>COUNTIF(ER5:ER19,TRUE)</f>
        <v>0</v>
      </c>
      <c r="ES20" s="137">
        <f>COUNTIF(ES5:ES19,TRUE)</f>
        <v>0</v>
      </c>
      <c r="ET20" s="137">
        <f>COUNTIF(ET5:ET19,TRUE)</f>
        <v>0</v>
      </c>
      <c r="EU20" s="137">
        <f>COUNTIF(EU5:EU19,TRUE)</f>
        <v>0</v>
      </c>
      <c r="EV20" s="137">
        <f>COUNTIF(EV5:EV19,TRUE)</f>
        <v>0</v>
      </c>
      <c r="EW20" s="137">
        <f>COUNTIF(EW5:EW19,TRUE)</f>
        <v>0</v>
      </c>
      <c r="EX20" s="137">
        <f>COUNTIF(EX5:EX19,TRUE)</f>
        <v>0</v>
      </c>
      <c r="EY20" s="137">
        <f>COUNTIF(EY5:EY19,TRUE)</f>
        <v>0</v>
      </c>
      <c r="EZ20" s="137">
        <f>COUNTIF(EZ5:EZ19,TRUE)</f>
        <v>0</v>
      </c>
      <c r="FA20" s="137">
        <f>COUNTIF(FA5:FA19,TRUE)</f>
        <v>0</v>
      </c>
      <c r="FB20" s="137">
        <f>COUNTIF(FB5:FB19,TRUE)</f>
        <v>0</v>
      </c>
      <c r="FC20" s="137">
        <f>COUNTIF(FC5:FC19,TRUE)</f>
        <v>0</v>
      </c>
      <c r="FD20" s="137">
        <f>COUNTIF(FD5:FD19,TRUE)</f>
        <v>0</v>
      </c>
      <c r="FE20" s="137">
        <f>COUNTIF(FE5:FE19,TRUE)</f>
        <v>0</v>
      </c>
      <c r="FF20" s="137">
        <f>COUNTIF(FF5:FF19,TRUE)</f>
        <v>0</v>
      </c>
      <c r="FG20" s="137">
        <f>COUNTIF(FG5:FG19,TRUE)</f>
        <v>0</v>
      </c>
      <c r="FH20" s="137">
        <f>COUNTIF(FH5:FH19,TRUE)</f>
        <v>0</v>
      </c>
      <c r="FI20" s="137">
        <f>COUNTIF(FI5:FI19,TRUE)</f>
        <v>0</v>
      </c>
      <c r="FJ20" s="137">
        <f>COUNTIF(FJ5:FJ19,TRUE)</f>
        <v>0</v>
      </c>
      <c r="FK20" s="137">
        <f>COUNTIF(FK5:FK19,TRUE)</f>
        <v>0</v>
      </c>
      <c r="FL20" s="137">
        <f>COUNTIF(FL5:FL19,TRUE)</f>
        <v>0</v>
      </c>
      <c r="FM20" s="137">
        <f>COUNTIF(FM5:FM19,TRUE)</f>
        <v>0</v>
      </c>
      <c r="FN20" s="137">
        <f>COUNTIF(FN5:FN19,TRUE)</f>
        <v>0</v>
      </c>
      <c r="FO20" s="137">
        <f>COUNTIF(FO5:FO19,TRUE)</f>
        <v>0</v>
      </c>
      <c r="FP20" s="137">
        <f>COUNTIF(FP5:FP19,TRUE)</f>
        <v>0</v>
      </c>
      <c r="FQ20" s="137">
        <f>COUNTIF(FQ5:FQ19,TRUE)</f>
        <v>0</v>
      </c>
      <c r="FR20" s="137">
        <f>COUNTIF(FR5:FR19,TRUE)</f>
        <v>0</v>
      </c>
      <c r="FS20" s="137">
        <f>COUNTIF(FS5:FS19,TRUE)</f>
        <v>0</v>
      </c>
      <c r="FT20" s="137">
        <f>COUNTIF(FT5:FT19,TRUE)</f>
        <v>0</v>
      </c>
      <c r="FU20" s="137">
        <f>COUNTIF(FU5:FU19,TRUE)</f>
        <v>0</v>
      </c>
      <c r="FV20" s="137">
        <f>COUNTIF(FV5:FV19,TRUE)</f>
        <v>0</v>
      </c>
      <c r="FW20" s="137">
        <f>COUNTIF(FW5:FW19,TRUE)</f>
        <v>0</v>
      </c>
      <c r="FX20" s="137">
        <f>COUNTIF(FX5:FX19,TRUE)</f>
        <v>0</v>
      </c>
      <c r="FY20" s="137">
        <f>COUNTIF(FY5:FY19,TRUE)</f>
        <v>0</v>
      </c>
      <c r="FZ20" s="137">
        <f>COUNTIF(FZ5:FZ19,TRUE)</f>
        <v>0</v>
      </c>
      <c r="GA20" s="137">
        <f>COUNTIF(GA5:GA19,TRUE)</f>
        <v>0</v>
      </c>
      <c r="GB20" s="137">
        <f>COUNTIF(GB5:GB19,TRUE)</f>
        <v>0</v>
      </c>
      <c r="GC20" s="137">
        <f>COUNTIF(GC5:GC19,TRUE)</f>
        <v>0</v>
      </c>
      <c r="GD20" s="137">
        <f>COUNTIF(GD5:GD19,TRUE)</f>
        <v>0</v>
      </c>
      <c r="GE20" s="137">
        <f>COUNTIF(GE5:GE19,TRUE)</f>
        <v>0</v>
      </c>
      <c r="GF20" s="137">
        <f>COUNTIF(GF5:GF19,TRUE)</f>
        <v>0</v>
      </c>
      <c r="GG20" s="137">
        <f>COUNTIF(GG5:GG19,TRUE)</f>
        <v>0</v>
      </c>
      <c r="GH20" s="137">
        <f>COUNTIF(GH5:GH19,TRUE)</f>
        <v>0</v>
      </c>
      <c r="GI20" s="137">
        <f>COUNTIF(GI5:GI19,TRUE)</f>
        <v>0</v>
      </c>
      <c r="GJ20" s="137">
        <f>COUNTIF(GJ5:GJ19,TRUE)</f>
        <v>0</v>
      </c>
      <c r="GK20" s="137">
        <f>COUNTIF(GK5:GK19,TRUE)</f>
        <v>0</v>
      </c>
      <c r="GL20" s="137">
        <f>COUNTIF(GL5:GL19,TRUE)</f>
        <v>0</v>
      </c>
      <c r="GM20" s="137">
        <f>COUNTIF(GM5:GM19,TRUE)</f>
        <v>0</v>
      </c>
      <c r="GN20" s="137">
        <f>COUNTIF(GN5:GN19,TRUE)</f>
        <v>0</v>
      </c>
      <c r="GO20" s="137">
        <f>COUNTIF(GO5:GO19,TRUE)</f>
        <v>0</v>
      </c>
      <c r="GP20" s="137">
        <f>COUNTIF(GP5:GP19,TRUE)</f>
        <v>0</v>
      </c>
      <c r="GQ20" s="137">
        <f>COUNTIF(GQ5:GQ19,TRUE)</f>
        <v>0</v>
      </c>
      <c r="GR20" s="137">
        <f>COUNTIF(GR5:GR19,TRUE)</f>
        <v>0</v>
      </c>
      <c r="GS20" s="137">
        <f>COUNTIF(GS5:GS19,TRUE)</f>
        <v>0</v>
      </c>
      <c r="GT20" s="137">
        <f>COUNTIF(GT5:GT19,TRUE)</f>
        <v>0</v>
      </c>
      <c r="GU20" s="137">
        <f>COUNTIF(GU5:GU19,TRUE)</f>
        <v>0</v>
      </c>
      <c r="GV20" s="137">
        <f>COUNTIF(GV5:GV19,TRUE)</f>
        <v>0</v>
      </c>
      <c r="GW20" s="137">
        <f>COUNTIF(GW5:GW19,TRUE)</f>
        <v>0</v>
      </c>
      <c r="GX20" s="137">
        <f>COUNTIF(GX5:GX19,TRUE)</f>
        <v>0</v>
      </c>
      <c r="GY20" s="137">
        <f>COUNTIF(GY5:GY19,TRUE)</f>
        <v>0</v>
      </c>
      <c r="GZ20" s="137">
        <f>COUNTIF(GZ5:GZ19,TRUE)</f>
        <v>0</v>
      </c>
      <c r="HA20" s="137">
        <f>COUNTIF(HA5:HA19,TRUE)</f>
        <v>0</v>
      </c>
      <c r="HB20" s="137">
        <f>COUNTIF(HB5:HB19,TRUE)</f>
        <v>0</v>
      </c>
    </row>
    <row r="21" ht="7.5" customHeight="1"/>
    <row r="22" ht="15" customHeight="1">
      <c r="A22" s="138" t="inlineStr">
        <is>
          <t>الحصة الجاية: هنعمل إيه؟</t>
        </is>
      </c>
      <c r="B22" s="4" t="n"/>
      <c r="C22" s="138" t="inlineStr">
        <is>
          <t>ميعادها حسب صفحة المواعيد</t>
        </is>
      </c>
      <c r="D22" s="13" t="n"/>
      <c r="E22" s="13" t="n"/>
      <c r="F22" s="4" t="n"/>
    </row>
    <row r="23" ht="42" customHeight="1">
      <c r="A23" s="139" t="n"/>
      <c r="B23" s="4" t="n"/>
      <c r="C23" s="140" t="str">
        <f>IF($HF$4="","مفيش ميعاد للمجموعة دي في صفحة المواعيد",$HF$4)</f>
        <v>مفيش ميعاد للمجموعة دي في صفحة المواعيد</v>
      </c>
      <c r="D23" s="13" t="n"/>
      <c r="E23" s="13" t="n"/>
      <c r="F23" s="4" t="n"/>
    </row>
    <row r="24" ht="15" customHeight="1">
      <c r="A24" s="138" t="inlineStr">
        <is>
          <t>ميعاد مختلف؟ (اختياري)</t>
        </is>
      </c>
      <c r="B24" s="4" t="n"/>
      <c r="C24" s="141" t="inlineStr">
        <is>
          <t>لو الحصة اتأجلت أو في حصة إضافية، اكتبي ميعادها في الخانة البيضا</t>
        </is>
      </c>
      <c r="D24" s="42" t="n"/>
      <c r="E24" s="42" t="n"/>
      <c r="F24" s="43" t="n"/>
    </row>
    <row r="25" ht="22.5" customHeight="1">
      <c r="A25" s="139" t="n"/>
      <c r="B25" s="4" t="n"/>
      <c r="C25" s="71" t="n"/>
      <c r="D25" s="73" t="n"/>
      <c r="E25" s="73" t="n"/>
      <c r="F25" s="72" t="n"/>
    </row>
    <row r="26" ht="10.5" customHeight="1"/>
    <row r="27" ht="21" customHeight="1">
      <c r="A27" s="76" t="inlineStr">
        <is>
          <t>الدرجات · نوع الامتحان</t>
        </is>
      </c>
      <c r="B27" s="4" t="n"/>
      <c r="C27" s="142" t="inlineStr">
        <is>
          <t>النسبة والترتيب على:</t>
        </is>
      </c>
      <c r="D27" s="13" t="n"/>
      <c r="E27" s="4" t="n"/>
      <c r="F27" s="15" t="inlineStr">
        <is>
          <t>الكل</t>
        </is>
      </c>
      <c r="G27" s="143" t="n"/>
      <c r="H27" s="4" t="n"/>
      <c r="I27" s="143" t="n"/>
      <c r="J27" s="4" t="n"/>
      <c r="K27" s="143" t="n"/>
      <c r="L27" s="4" t="n"/>
      <c r="M27" s="143" t="n"/>
      <c r="N27" s="4" t="n"/>
      <c r="O27" s="143" t="n"/>
      <c r="P27" s="4" t="n"/>
      <c r="Q27" s="143" t="n"/>
      <c r="R27" s="4" t="n"/>
      <c r="S27" s="143" t="n"/>
      <c r="T27" s="4" t="n"/>
      <c r="U27" s="143" t="n"/>
      <c r="V27" s="4" t="n"/>
      <c r="W27" s="144" t="inlineStr">
        <is>
          <t>ملاحظات
(سبب الغياب)</t>
        </is>
      </c>
      <c r="X27" s="143" t="n"/>
      <c r="Y27" s="4" t="n"/>
      <c r="Z27" s="143" t="n"/>
      <c r="AA27" s="4" t="n"/>
      <c r="AB27" s="143" t="n"/>
      <c r="AC27" s="4" t="n"/>
      <c r="AD27" s="143" t="n"/>
      <c r="AE27" s="4" t="n"/>
      <c r="AF27" s="143" t="n"/>
      <c r="AG27" s="4" t="n"/>
      <c r="AH27" s="143" t="n"/>
      <c r="AI27" s="4" t="n"/>
      <c r="AJ27" s="143" t="n"/>
      <c r="AK27" s="4" t="n"/>
      <c r="AL27" s="143" t="n"/>
      <c r="AM27" s="4" t="n"/>
      <c r="AN27" s="145" t="inlineStr">
        <is>
          <t>ملاحظات
(سبب الغياب)</t>
        </is>
      </c>
      <c r="AO27" s="143" t="n"/>
      <c r="AP27" s="4" t="n"/>
      <c r="AQ27" s="143" t="n"/>
      <c r="AR27" s="4" t="n"/>
      <c r="AS27" s="143" t="n"/>
      <c r="AT27" s="4" t="n"/>
      <c r="AU27" s="143" t="n"/>
      <c r="AV27" s="4" t="n"/>
      <c r="AW27" s="143" t="n"/>
      <c r="AX27" s="4" t="n"/>
      <c r="AY27" s="143" t="n"/>
      <c r="AZ27" s="4" t="n"/>
      <c r="BA27" s="143" t="n"/>
      <c r="BB27" s="4" t="n"/>
      <c r="BC27" s="143" t="n"/>
      <c r="BD27" s="4" t="n"/>
      <c r="BE27" s="146" t="inlineStr">
        <is>
          <t>ملاحظات
(سبب الغياب)</t>
        </is>
      </c>
      <c r="BF27" s="143" t="n"/>
      <c r="BG27" s="4" t="n"/>
      <c r="BH27" s="143" t="n"/>
      <c r="BI27" s="4" t="n"/>
      <c r="BJ27" s="143" t="n"/>
      <c r="BK27" s="4" t="n"/>
      <c r="BL27" s="143" t="n"/>
      <c r="BM27" s="4" t="n"/>
      <c r="BN27" s="143" t="n"/>
      <c r="BO27" s="4" t="n"/>
      <c r="BP27" s="143" t="n"/>
      <c r="BQ27" s="4" t="n"/>
      <c r="BR27" s="143" t="n"/>
      <c r="BS27" s="4" t="n"/>
      <c r="BT27" s="143" t="n"/>
      <c r="BU27" s="4" t="n"/>
      <c r="BV27" s="147" t="inlineStr">
        <is>
          <t>ملاحظات
(سبب الغياب)</t>
        </is>
      </c>
      <c r="BW27" s="143" t="n"/>
      <c r="BX27" s="4" t="n"/>
      <c r="BY27" s="143" t="n"/>
      <c r="BZ27" s="4" t="n"/>
      <c r="CA27" s="143" t="n"/>
      <c r="CB27" s="4" t="n"/>
      <c r="CC27" s="143" t="n"/>
      <c r="CD27" s="4" t="n"/>
      <c r="CE27" s="143" t="n"/>
      <c r="CF27" s="4" t="n"/>
      <c r="CG27" s="143" t="n"/>
      <c r="CH27" s="4" t="n"/>
      <c r="CI27" s="143" t="n"/>
      <c r="CJ27" s="4" t="n"/>
      <c r="CK27" s="143" t="n"/>
      <c r="CL27" s="4" t="n"/>
      <c r="CM27" s="148" t="inlineStr">
        <is>
          <t>ملاحظات
(سبب الغياب)</t>
        </is>
      </c>
      <c r="CN27" s="143" t="n"/>
      <c r="CO27" s="4" t="n"/>
      <c r="CP27" s="143" t="n"/>
      <c r="CQ27" s="4" t="n"/>
      <c r="CR27" s="143" t="n"/>
      <c r="CS27" s="4" t="n"/>
      <c r="CT27" s="143" t="n"/>
      <c r="CU27" s="4" t="n"/>
      <c r="CV27" s="143" t="n"/>
      <c r="CW27" s="4" t="n"/>
      <c r="CX27" s="143" t="n"/>
      <c r="CY27" s="4" t="n"/>
      <c r="CZ27" s="143" t="n"/>
      <c r="DA27" s="4" t="n"/>
      <c r="DB27" s="143" t="n"/>
      <c r="DC27" s="4" t="n"/>
      <c r="DD27" s="149" t="inlineStr">
        <is>
          <t>ملاحظات
(سبب الغياب)</t>
        </is>
      </c>
      <c r="DE27" s="143" t="n"/>
      <c r="DF27" s="4" t="n"/>
      <c r="DG27" s="143" t="n"/>
      <c r="DH27" s="4" t="n"/>
      <c r="DI27" s="143" t="n"/>
      <c r="DJ27" s="4" t="n"/>
      <c r="DK27" s="143" t="n"/>
      <c r="DL27" s="4" t="n"/>
      <c r="DM27" s="143" t="n"/>
      <c r="DN27" s="4" t="n"/>
      <c r="DO27" s="143" t="n"/>
      <c r="DP27" s="4" t="n"/>
      <c r="DQ27" s="143" t="n"/>
      <c r="DR27" s="4" t="n"/>
      <c r="DS27" s="143" t="n"/>
      <c r="DT27" s="4" t="n"/>
      <c r="DU27" s="150" t="inlineStr">
        <is>
          <t>ملاحظات
(سبب الغياب)</t>
        </is>
      </c>
      <c r="DV27" s="143" t="n"/>
      <c r="DW27" s="4" t="n"/>
      <c r="DX27" s="143" t="n"/>
      <c r="DY27" s="4" t="n"/>
      <c r="DZ27" s="143" t="n"/>
      <c r="EA27" s="4" t="n"/>
      <c r="EB27" s="143" t="n"/>
      <c r="EC27" s="4" t="n"/>
      <c r="ED27" s="143" t="n"/>
      <c r="EE27" s="4" t="n"/>
      <c r="EF27" s="143" t="n"/>
      <c r="EG27" s="4" t="n"/>
      <c r="EH27" s="143" t="n"/>
      <c r="EI27" s="4" t="n"/>
      <c r="EJ27" s="143" t="n"/>
      <c r="EK27" s="4" t="n"/>
      <c r="EL27" s="151" t="inlineStr">
        <is>
          <t>ملاحظات
(سبب الغياب)</t>
        </is>
      </c>
      <c r="EM27" s="143" t="n"/>
      <c r="EN27" s="4" t="n"/>
      <c r="EO27" s="143" t="n"/>
      <c r="EP27" s="4" t="n"/>
      <c r="EQ27" s="143" t="n"/>
      <c r="ER27" s="4" t="n"/>
      <c r="ES27" s="143" t="n"/>
      <c r="ET27" s="4" t="n"/>
      <c r="EU27" s="143" t="n"/>
      <c r="EV27" s="4" t="n"/>
      <c r="EW27" s="143" t="n"/>
      <c r="EX27" s="4" t="n"/>
      <c r="EY27" s="143" t="n"/>
      <c r="EZ27" s="4" t="n"/>
      <c r="FA27" s="143" t="n"/>
      <c r="FB27" s="4" t="n"/>
      <c r="FC27" s="152" t="inlineStr">
        <is>
          <t>ملاحظات
(سبب الغياب)</t>
        </is>
      </c>
      <c r="FD27" s="143" t="n"/>
      <c r="FE27" s="4" t="n"/>
      <c r="FF27" s="143" t="n"/>
      <c r="FG27" s="4" t="n"/>
      <c r="FH27" s="143" t="n"/>
      <c r="FI27" s="4" t="n"/>
      <c r="FJ27" s="143" t="n"/>
      <c r="FK27" s="4" t="n"/>
      <c r="FL27" s="143" t="n"/>
      <c r="FM27" s="4" t="n"/>
      <c r="FN27" s="143" t="n"/>
      <c r="FO27" s="4" t="n"/>
      <c r="FP27" s="143" t="n"/>
      <c r="FQ27" s="4" t="n"/>
      <c r="FR27" s="143" t="n"/>
      <c r="FS27" s="4" t="n"/>
      <c r="FT27" s="153" t="inlineStr">
        <is>
          <t>ملاحظات
(سبب الغياب)</t>
        </is>
      </c>
      <c r="FU27" s="143" t="n"/>
      <c r="FV27" s="4" t="n"/>
      <c r="FW27" s="143" t="n"/>
      <c r="FX27" s="4" t="n"/>
      <c r="FY27" s="143" t="n"/>
      <c r="FZ27" s="4" t="n"/>
      <c r="GA27" s="143" t="n"/>
      <c r="GB27" s="4" t="n"/>
      <c r="GC27" s="143" t="n"/>
      <c r="GD27" s="4" t="n"/>
      <c r="GE27" s="143" t="n"/>
      <c r="GF27" s="4" t="n"/>
      <c r="GG27" s="143" t="n"/>
      <c r="GH27" s="4" t="n"/>
      <c r="GI27" s="143" t="n"/>
      <c r="GJ27" s="4" t="n"/>
      <c r="GK27" s="154" t="inlineStr">
        <is>
          <t>ملاحظات
(سبب الغياب)</t>
        </is>
      </c>
      <c r="GL27" s="143" t="n"/>
      <c r="GM27" s="4" t="n"/>
      <c r="GN27" s="143" t="n"/>
      <c r="GO27" s="4" t="n"/>
      <c r="GP27" s="143" t="n"/>
      <c r="GQ27" s="4" t="n"/>
      <c r="GR27" s="143" t="n"/>
      <c r="GS27" s="4" t="n"/>
      <c r="GT27" s="143" t="n"/>
      <c r="GU27" s="4" t="n"/>
      <c r="GV27" s="143" t="n"/>
      <c r="GW27" s="4" t="n"/>
      <c r="GX27" s="143" t="n"/>
      <c r="GY27" s="4" t="n"/>
      <c r="GZ27" s="143" t="n"/>
      <c r="HA27" s="4" t="n"/>
      <c r="HB27" s="155" t="inlineStr">
        <is>
          <t>ملاحظات
(سبب الغياب)</t>
        </is>
      </c>
    </row>
    <row r="28" ht="21" customHeight="1">
      <c r="A28" s="142" t="inlineStr">
        <is>
          <t>الدرجة النهائية (من كام)</t>
        </is>
      </c>
      <c r="B28" s="4" t="n"/>
      <c r="C28" s="156" t="inlineStr">
        <is>
          <t>الدرجة ما بتتحسبش من غير نهائية</t>
        </is>
      </c>
      <c r="D28" s="13" t="n"/>
      <c r="E28" s="13" t="n"/>
      <c r="F28" s="4" t="n"/>
      <c r="G28" s="15" t="n"/>
      <c r="H28" s="15" t="n"/>
      <c r="I28" s="15" t="n"/>
      <c r="J28" s="15" t="n"/>
      <c r="K28" s="15" t="n"/>
      <c r="L28" s="15" t="n"/>
      <c r="M28" s="15" t="n"/>
      <c r="N28" s="15" t="n"/>
      <c r="O28" s="15" t="n"/>
      <c r="P28" s="15" t="n"/>
      <c r="Q28" s="15" t="n"/>
      <c r="R28" s="15" t="n"/>
      <c r="S28" s="15" t="n"/>
      <c r="T28" s="15" t="n"/>
      <c r="U28" s="15" t="n"/>
      <c r="V28" s="15" t="n"/>
      <c r="W28" s="75" t="n"/>
      <c r="X28" s="15" t="n"/>
      <c r="Y28" s="15" t="n"/>
      <c r="Z28" s="15" t="n"/>
      <c r="AA28" s="15" t="n"/>
      <c r="AB28" s="15" t="n"/>
      <c r="AC28" s="15" t="n"/>
      <c r="AD28" s="15" t="n"/>
      <c r="AE28" s="15" t="n"/>
      <c r="AF28" s="15" t="n"/>
      <c r="AG28" s="15" t="n"/>
      <c r="AH28" s="15" t="n"/>
      <c r="AI28" s="15" t="n"/>
      <c r="AJ28" s="15" t="n"/>
      <c r="AK28" s="15" t="n"/>
      <c r="AL28" s="15" t="n"/>
      <c r="AM28" s="15" t="n"/>
      <c r="AN28" s="75" t="n"/>
      <c r="AO28" s="15" t="n"/>
      <c r="AP28" s="15" t="n"/>
      <c r="AQ28" s="15" t="n"/>
      <c r="AR28" s="15" t="n"/>
      <c r="AS28" s="15" t="n"/>
      <c r="AT28" s="15" t="n"/>
      <c r="AU28" s="15" t="n"/>
      <c r="AV28" s="15" t="n"/>
      <c r="AW28" s="15" t="n"/>
      <c r="AX28" s="15" t="n"/>
      <c r="AY28" s="15" t="n"/>
      <c r="AZ28" s="15" t="n"/>
      <c r="BA28" s="15" t="n"/>
      <c r="BB28" s="15" t="n"/>
      <c r="BC28" s="15" t="n"/>
      <c r="BD28" s="15" t="n"/>
      <c r="BE28" s="75" t="n"/>
      <c r="BF28" s="15" t="n"/>
      <c r="BG28" s="15" t="n"/>
      <c r="BH28" s="15" t="n"/>
      <c r="BI28" s="15" t="n"/>
      <c r="BJ28" s="15" t="n"/>
      <c r="BK28" s="15" t="n"/>
      <c r="BL28" s="15" t="n"/>
      <c r="BM28" s="15" t="n"/>
      <c r="BN28" s="15" t="n"/>
      <c r="BO28" s="15" t="n"/>
      <c r="BP28" s="15" t="n"/>
      <c r="BQ28" s="15" t="n"/>
      <c r="BR28" s="15" t="n"/>
      <c r="BS28" s="15" t="n"/>
      <c r="BT28" s="15" t="n"/>
      <c r="BU28" s="15" t="n"/>
      <c r="BV28" s="75" t="n"/>
      <c r="BW28" s="15" t="n"/>
      <c r="BX28" s="15" t="n"/>
      <c r="BY28" s="15" t="n"/>
      <c r="BZ28" s="15" t="n"/>
      <c r="CA28" s="15" t="n"/>
      <c r="CB28" s="15" t="n"/>
      <c r="CC28" s="15" t="n"/>
      <c r="CD28" s="15" t="n"/>
      <c r="CE28" s="15" t="n"/>
      <c r="CF28" s="15" t="n"/>
      <c r="CG28" s="15" t="n"/>
      <c r="CH28" s="15" t="n"/>
      <c r="CI28" s="15" t="n"/>
      <c r="CJ28" s="15" t="n"/>
      <c r="CK28" s="15" t="n"/>
      <c r="CL28" s="15" t="n"/>
      <c r="CM28" s="75" t="n"/>
      <c r="CN28" s="15" t="n"/>
      <c r="CO28" s="15" t="n"/>
      <c r="CP28" s="15" t="n"/>
      <c r="CQ28" s="15" t="n"/>
      <c r="CR28" s="15" t="n"/>
      <c r="CS28" s="15" t="n"/>
      <c r="CT28" s="15" t="n"/>
      <c r="CU28" s="15" t="n"/>
      <c r="CV28" s="15" t="n"/>
      <c r="CW28" s="15" t="n"/>
      <c r="CX28" s="15" t="n"/>
      <c r="CY28" s="15" t="n"/>
      <c r="CZ28" s="15" t="n"/>
      <c r="DA28" s="15" t="n"/>
      <c r="DB28" s="15" t="n"/>
      <c r="DC28" s="15" t="n"/>
      <c r="DD28" s="75" t="n"/>
      <c r="DE28" s="15" t="n"/>
      <c r="DF28" s="15" t="n"/>
      <c r="DG28" s="15" t="n"/>
      <c r="DH28" s="15" t="n"/>
      <c r="DI28" s="15" t="n"/>
      <c r="DJ28" s="15" t="n"/>
      <c r="DK28" s="15" t="n"/>
      <c r="DL28" s="15" t="n"/>
      <c r="DM28" s="15" t="n"/>
      <c r="DN28" s="15" t="n"/>
      <c r="DO28" s="15" t="n"/>
      <c r="DP28" s="15" t="n"/>
      <c r="DQ28" s="15" t="n"/>
      <c r="DR28" s="15" t="n"/>
      <c r="DS28" s="15" t="n"/>
      <c r="DT28" s="15" t="n"/>
      <c r="DU28" s="75" t="n"/>
      <c r="DV28" s="15" t="n"/>
      <c r="DW28" s="15" t="n"/>
      <c r="DX28" s="15" t="n"/>
      <c r="DY28" s="15" t="n"/>
      <c r="DZ28" s="15" t="n"/>
      <c r="EA28" s="15" t="n"/>
      <c r="EB28" s="15" t="n"/>
      <c r="EC28" s="15" t="n"/>
      <c r="ED28" s="15" t="n"/>
      <c r="EE28" s="15" t="n"/>
      <c r="EF28" s="15" t="n"/>
      <c r="EG28" s="15" t="n"/>
      <c r="EH28" s="15" t="n"/>
      <c r="EI28" s="15" t="n"/>
      <c r="EJ28" s="15" t="n"/>
      <c r="EK28" s="15" t="n"/>
      <c r="EL28" s="75" t="n"/>
      <c r="EM28" s="15" t="n"/>
      <c r="EN28" s="15" t="n"/>
      <c r="EO28" s="15" t="n"/>
      <c r="EP28" s="15" t="n"/>
      <c r="EQ28" s="15" t="n"/>
      <c r="ER28" s="15" t="n"/>
      <c r="ES28" s="15" t="n"/>
      <c r="ET28" s="15" t="n"/>
      <c r="EU28" s="15" t="n"/>
      <c r="EV28" s="15" t="n"/>
      <c r="EW28" s="15" t="n"/>
      <c r="EX28" s="15" t="n"/>
      <c r="EY28" s="15" t="n"/>
      <c r="EZ28" s="15" t="n"/>
      <c r="FA28" s="15" t="n"/>
      <c r="FB28" s="15" t="n"/>
      <c r="FC28" s="75" t="n"/>
      <c r="FD28" s="15" t="n"/>
      <c r="FE28" s="15" t="n"/>
      <c r="FF28" s="15" t="n"/>
      <c r="FG28" s="15" t="n"/>
      <c r="FH28" s="15" t="n"/>
      <c r="FI28" s="15" t="n"/>
      <c r="FJ28" s="15" t="n"/>
      <c r="FK28" s="15" t="n"/>
      <c r="FL28" s="15" t="n"/>
      <c r="FM28" s="15" t="n"/>
      <c r="FN28" s="15" t="n"/>
      <c r="FO28" s="15" t="n"/>
      <c r="FP28" s="15" t="n"/>
      <c r="FQ28" s="15" t="n"/>
      <c r="FR28" s="15" t="n"/>
      <c r="FS28" s="15" t="n"/>
      <c r="FT28" s="75" t="n"/>
      <c r="FU28" s="15" t="n"/>
      <c r="FV28" s="15" t="n"/>
      <c r="FW28" s="15" t="n"/>
      <c r="FX28" s="15" t="n"/>
      <c r="FY28" s="15" t="n"/>
      <c r="FZ28" s="15" t="n"/>
      <c r="GA28" s="15" t="n"/>
      <c r="GB28" s="15" t="n"/>
      <c r="GC28" s="15" t="n"/>
      <c r="GD28" s="15" t="n"/>
      <c r="GE28" s="15" t="n"/>
      <c r="GF28" s="15" t="n"/>
      <c r="GG28" s="15" t="n"/>
      <c r="GH28" s="15" t="n"/>
      <c r="GI28" s="15" t="n"/>
      <c r="GJ28" s="15" t="n"/>
      <c r="GK28" s="75" t="n"/>
      <c r="GL28" s="15" t="n"/>
      <c r="GM28" s="15" t="n"/>
      <c r="GN28" s="15" t="n"/>
      <c r="GO28" s="15" t="n"/>
      <c r="GP28" s="15" t="n"/>
      <c r="GQ28" s="15" t="n"/>
      <c r="GR28" s="15" t="n"/>
      <c r="GS28" s="15" t="n"/>
      <c r="GT28" s="15" t="n"/>
      <c r="GU28" s="15" t="n"/>
      <c r="GV28" s="15" t="n"/>
      <c r="GW28" s="15" t="n"/>
      <c r="GX28" s="15" t="n"/>
      <c r="GY28" s="15" t="n"/>
      <c r="GZ28" s="15" t="n"/>
      <c r="HA28" s="15" t="n"/>
      <c r="HB28" s="75" t="n"/>
    </row>
    <row r="29" ht="16.5" customHeight="1">
      <c r="A29" s="76" t="inlineStr">
        <is>
          <t>م</t>
        </is>
      </c>
      <c r="B29" s="76" t="inlineStr">
        <is>
          <t>الاسم</t>
        </is>
      </c>
      <c r="C29" s="76" t="inlineStr">
        <is>
          <t>المجموع</t>
        </is>
      </c>
      <c r="D29" s="76" t="inlineStr">
        <is>
          <t>%</t>
        </is>
      </c>
      <c r="E29" s="76" t="inlineStr">
        <is>
          <t>الترتيب</t>
        </is>
      </c>
      <c r="F29" s="76" t="inlineStr">
        <is>
          <t>التقدير</t>
        </is>
      </c>
      <c r="G29" s="157" t="inlineStr">
        <is>
          <t>كويز</t>
        </is>
      </c>
      <c r="H29" s="158" t="inlineStr">
        <is>
          <t>امتحان</t>
        </is>
      </c>
      <c r="I29" s="157" t="inlineStr">
        <is>
          <t>كويز</t>
        </is>
      </c>
      <c r="J29" s="158" t="inlineStr">
        <is>
          <t>امتحان</t>
        </is>
      </c>
      <c r="K29" s="157" t="inlineStr">
        <is>
          <t>كويز</t>
        </is>
      </c>
      <c r="L29" s="158" t="inlineStr">
        <is>
          <t>امتحان</t>
        </is>
      </c>
      <c r="M29" s="157" t="inlineStr">
        <is>
          <t>كويز</t>
        </is>
      </c>
      <c r="N29" s="158" t="inlineStr">
        <is>
          <t>امتحان</t>
        </is>
      </c>
      <c r="O29" s="157" t="inlineStr">
        <is>
          <t>كويز</t>
        </is>
      </c>
      <c r="P29" s="158" t="inlineStr">
        <is>
          <t>امتحان</t>
        </is>
      </c>
      <c r="Q29" s="157" t="inlineStr">
        <is>
          <t>كويز</t>
        </is>
      </c>
      <c r="R29" s="158" t="inlineStr">
        <is>
          <t>امتحان</t>
        </is>
      </c>
      <c r="S29" s="157" t="inlineStr">
        <is>
          <t>كويز</t>
        </is>
      </c>
      <c r="T29" s="158" t="inlineStr">
        <is>
          <t>امتحان</t>
        </is>
      </c>
      <c r="U29" s="157" t="inlineStr">
        <is>
          <t>كويز</t>
        </is>
      </c>
      <c r="V29" s="158" t="inlineStr">
        <is>
          <t>امتحان</t>
        </is>
      </c>
      <c r="W29" s="59" t="inlineStr">
        <is>
          <t>ملاحظات</t>
        </is>
      </c>
      <c r="X29" s="159" t="inlineStr">
        <is>
          <t>كويز</t>
        </is>
      </c>
      <c r="Y29" s="160" t="inlineStr">
        <is>
          <t>امتحان</t>
        </is>
      </c>
      <c r="Z29" s="159" t="inlineStr">
        <is>
          <t>كويز</t>
        </is>
      </c>
      <c r="AA29" s="160" t="inlineStr">
        <is>
          <t>امتحان</t>
        </is>
      </c>
      <c r="AB29" s="159" t="inlineStr">
        <is>
          <t>كويز</t>
        </is>
      </c>
      <c r="AC29" s="160" t="inlineStr">
        <is>
          <t>امتحان</t>
        </is>
      </c>
      <c r="AD29" s="159" t="inlineStr">
        <is>
          <t>كويز</t>
        </is>
      </c>
      <c r="AE29" s="160" t="inlineStr">
        <is>
          <t>امتحان</t>
        </is>
      </c>
      <c r="AF29" s="159" t="inlineStr">
        <is>
          <t>كويز</t>
        </is>
      </c>
      <c r="AG29" s="160" t="inlineStr">
        <is>
          <t>امتحان</t>
        </is>
      </c>
      <c r="AH29" s="159" t="inlineStr">
        <is>
          <t>كويز</t>
        </is>
      </c>
      <c r="AI29" s="160" t="inlineStr">
        <is>
          <t>امتحان</t>
        </is>
      </c>
      <c r="AJ29" s="159" t="inlineStr">
        <is>
          <t>كويز</t>
        </is>
      </c>
      <c r="AK29" s="160" t="inlineStr">
        <is>
          <t>امتحان</t>
        </is>
      </c>
      <c r="AL29" s="159" t="inlineStr">
        <is>
          <t>كويز</t>
        </is>
      </c>
      <c r="AM29" s="160" t="inlineStr">
        <is>
          <t>امتحان</t>
        </is>
      </c>
      <c r="AN29" s="60" t="inlineStr">
        <is>
          <t>ملاحظات</t>
        </is>
      </c>
      <c r="AO29" s="161" t="inlineStr">
        <is>
          <t>كويز</t>
        </is>
      </c>
      <c r="AP29" s="162" t="inlineStr">
        <is>
          <t>امتحان</t>
        </is>
      </c>
      <c r="AQ29" s="161" t="inlineStr">
        <is>
          <t>كويز</t>
        </is>
      </c>
      <c r="AR29" s="162" t="inlineStr">
        <is>
          <t>امتحان</t>
        </is>
      </c>
      <c r="AS29" s="161" t="inlineStr">
        <is>
          <t>كويز</t>
        </is>
      </c>
      <c r="AT29" s="162" t="inlineStr">
        <is>
          <t>امتحان</t>
        </is>
      </c>
      <c r="AU29" s="161" t="inlineStr">
        <is>
          <t>كويز</t>
        </is>
      </c>
      <c r="AV29" s="162" t="inlineStr">
        <is>
          <t>امتحان</t>
        </is>
      </c>
      <c r="AW29" s="161" t="inlineStr">
        <is>
          <t>كويز</t>
        </is>
      </c>
      <c r="AX29" s="162" t="inlineStr">
        <is>
          <t>امتحان</t>
        </is>
      </c>
      <c r="AY29" s="161" t="inlineStr">
        <is>
          <t>كويز</t>
        </is>
      </c>
      <c r="AZ29" s="162" t="inlineStr">
        <is>
          <t>امتحان</t>
        </is>
      </c>
      <c r="BA29" s="161" t="inlineStr">
        <is>
          <t>كويز</t>
        </is>
      </c>
      <c r="BB29" s="162" t="inlineStr">
        <is>
          <t>امتحان</t>
        </is>
      </c>
      <c r="BC29" s="161" t="inlineStr">
        <is>
          <t>كويز</t>
        </is>
      </c>
      <c r="BD29" s="162" t="inlineStr">
        <is>
          <t>امتحان</t>
        </is>
      </c>
      <c r="BE29" s="61" t="inlineStr">
        <is>
          <t>ملاحظات</t>
        </is>
      </c>
      <c r="BF29" s="163" t="inlineStr">
        <is>
          <t>كويز</t>
        </is>
      </c>
      <c r="BG29" s="164" t="inlineStr">
        <is>
          <t>امتحان</t>
        </is>
      </c>
      <c r="BH29" s="163" t="inlineStr">
        <is>
          <t>كويز</t>
        </is>
      </c>
      <c r="BI29" s="164" t="inlineStr">
        <is>
          <t>امتحان</t>
        </is>
      </c>
      <c r="BJ29" s="163" t="inlineStr">
        <is>
          <t>كويز</t>
        </is>
      </c>
      <c r="BK29" s="164" t="inlineStr">
        <is>
          <t>امتحان</t>
        </is>
      </c>
      <c r="BL29" s="163" t="inlineStr">
        <is>
          <t>كويز</t>
        </is>
      </c>
      <c r="BM29" s="164" t="inlineStr">
        <is>
          <t>امتحان</t>
        </is>
      </c>
      <c r="BN29" s="163" t="inlineStr">
        <is>
          <t>كويز</t>
        </is>
      </c>
      <c r="BO29" s="164" t="inlineStr">
        <is>
          <t>امتحان</t>
        </is>
      </c>
      <c r="BP29" s="163" t="inlineStr">
        <is>
          <t>كويز</t>
        </is>
      </c>
      <c r="BQ29" s="164" t="inlineStr">
        <is>
          <t>امتحان</t>
        </is>
      </c>
      <c r="BR29" s="163" t="inlineStr">
        <is>
          <t>كويز</t>
        </is>
      </c>
      <c r="BS29" s="164" t="inlineStr">
        <is>
          <t>امتحان</t>
        </is>
      </c>
      <c r="BT29" s="163" t="inlineStr">
        <is>
          <t>كويز</t>
        </is>
      </c>
      <c r="BU29" s="164" t="inlineStr">
        <is>
          <t>امتحان</t>
        </is>
      </c>
      <c r="BV29" s="62" t="inlineStr">
        <is>
          <t>ملاحظات</t>
        </is>
      </c>
      <c r="BW29" s="165" t="inlineStr">
        <is>
          <t>كويز</t>
        </is>
      </c>
      <c r="BX29" s="166" t="inlineStr">
        <is>
          <t>امتحان</t>
        </is>
      </c>
      <c r="BY29" s="165" t="inlineStr">
        <is>
          <t>كويز</t>
        </is>
      </c>
      <c r="BZ29" s="166" t="inlineStr">
        <is>
          <t>امتحان</t>
        </is>
      </c>
      <c r="CA29" s="165" t="inlineStr">
        <is>
          <t>كويز</t>
        </is>
      </c>
      <c r="CB29" s="166" t="inlineStr">
        <is>
          <t>امتحان</t>
        </is>
      </c>
      <c r="CC29" s="165" t="inlineStr">
        <is>
          <t>كويز</t>
        </is>
      </c>
      <c r="CD29" s="166" t="inlineStr">
        <is>
          <t>امتحان</t>
        </is>
      </c>
      <c r="CE29" s="165" t="inlineStr">
        <is>
          <t>كويز</t>
        </is>
      </c>
      <c r="CF29" s="166" t="inlineStr">
        <is>
          <t>امتحان</t>
        </is>
      </c>
      <c r="CG29" s="165" t="inlineStr">
        <is>
          <t>كويز</t>
        </is>
      </c>
      <c r="CH29" s="166" t="inlineStr">
        <is>
          <t>امتحان</t>
        </is>
      </c>
      <c r="CI29" s="165" t="inlineStr">
        <is>
          <t>كويز</t>
        </is>
      </c>
      <c r="CJ29" s="166" t="inlineStr">
        <is>
          <t>امتحان</t>
        </is>
      </c>
      <c r="CK29" s="165" t="inlineStr">
        <is>
          <t>كويز</t>
        </is>
      </c>
      <c r="CL29" s="166" t="inlineStr">
        <is>
          <t>امتحان</t>
        </is>
      </c>
      <c r="CM29" s="63" t="inlineStr">
        <is>
          <t>ملاحظات</t>
        </is>
      </c>
      <c r="CN29" s="167" t="inlineStr">
        <is>
          <t>كويز</t>
        </is>
      </c>
      <c r="CO29" s="168" t="inlineStr">
        <is>
          <t>امتحان</t>
        </is>
      </c>
      <c r="CP29" s="167" t="inlineStr">
        <is>
          <t>كويز</t>
        </is>
      </c>
      <c r="CQ29" s="168" t="inlineStr">
        <is>
          <t>امتحان</t>
        </is>
      </c>
      <c r="CR29" s="167" t="inlineStr">
        <is>
          <t>كويز</t>
        </is>
      </c>
      <c r="CS29" s="168" t="inlineStr">
        <is>
          <t>امتحان</t>
        </is>
      </c>
      <c r="CT29" s="167" t="inlineStr">
        <is>
          <t>كويز</t>
        </is>
      </c>
      <c r="CU29" s="168" t="inlineStr">
        <is>
          <t>امتحان</t>
        </is>
      </c>
      <c r="CV29" s="167" t="inlineStr">
        <is>
          <t>كويز</t>
        </is>
      </c>
      <c r="CW29" s="168" t="inlineStr">
        <is>
          <t>امتحان</t>
        </is>
      </c>
      <c r="CX29" s="167" t="inlineStr">
        <is>
          <t>كويز</t>
        </is>
      </c>
      <c r="CY29" s="168" t="inlineStr">
        <is>
          <t>امتحان</t>
        </is>
      </c>
      <c r="CZ29" s="167" t="inlineStr">
        <is>
          <t>كويز</t>
        </is>
      </c>
      <c r="DA29" s="168" t="inlineStr">
        <is>
          <t>امتحان</t>
        </is>
      </c>
      <c r="DB29" s="167" t="inlineStr">
        <is>
          <t>كويز</t>
        </is>
      </c>
      <c r="DC29" s="168" t="inlineStr">
        <is>
          <t>امتحان</t>
        </is>
      </c>
      <c r="DD29" s="64" t="inlineStr">
        <is>
          <t>ملاحظات</t>
        </is>
      </c>
      <c r="DE29" s="169" t="inlineStr">
        <is>
          <t>كويز</t>
        </is>
      </c>
      <c r="DF29" s="170" t="inlineStr">
        <is>
          <t>امتحان</t>
        </is>
      </c>
      <c r="DG29" s="169" t="inlineStr">
        <is>
          <t>كويز</t>
        </is>
      </c>
      <c r="DH29" s="170" t="inlineStr">
        <is>
          <t>امتحان</t>
        </is>
      </c>
      <c r="DI29" s="169" t="inlineStr">
        <is>
          <t>كويز</t>
        </is>
      </c>
      <c r="DJ29" s="170" t="inlineStr">
        <is>
          <t>امتحان</t>
        </is>
      </c>
      <c r="DK29" s="169" t="inlineStr">
        <is>
          <t>كويز</t>
        </is>
      </c>
      <c r="DL29" s="170" t="inlineStr">
        <is>
          <t>امتحان</t>
        </is>
      </c>
      <c r="DM29" s="169" t="inlineStr">
        <is>
          <t>كويز</t>
        </is>
      </c>
      <c r="DN29" s="170" t="inlineStr">
        <is>
          <t>امتحان</t>
        </is>
      </c>
      <c r="DO29" s="169" t="inlineStr">
        <is>
          <t>كويز</t>
        </is>
      </c>
      <c r="DP29" s="170" t="inlineStr">
        <is>
          <t>امتحان</t>
        </is>
      </c>
      <c r="DQ29" s="169" t="inlineStr">
        <is>
          <t>كويز</t>
        </is>
      </c>
      <c r="DR29" s="170" t="inlineStr">
        <is>
          <t>امتحان</t>
        </is>
      </c>
      <c r="DS29" s="169" t="inlineStr">
        <is>
          <t>كويز</t>
        </is>
      </c>
      <c r="DT29" s="170" t="inlineStr">
        <is>
          <t>امتحان</t>
        </is>
      </c>
      <c r="DU29" s="65" t="inlineStr">
        <is>
          <t>ملاحظات</t>
        </is>
      </c>
      <c r="DV29" s="171" t="inlineStr">
        <is>
          <t>كويز</t>
        </is>
      </c>
      <c r="DW29" s="172" t="inlineStr">
        <is>
          <t>امتحان</t>
        </is>
      </c>
      <c r="DX29" s="171" t="inlineStr">
        <is>
          <t>كويز</t>
        </is>
      </c>
      <c r="DY29" s="172" t="inlineStr">
        <is>
          <t>امتحان</t>
        </is>
      </c>
      <c r="DZ29" s="171" t="inlineStr">
        <is>
          <t>كويز</t>
        </is>
      </c>
      <c r="EA29" s="172" t="inlineStr">
        <is>
          <t>امتحان</t>
        </is>
      </c>
      <c r="EB29" s="171" t="inlineStr">
        <is>
          <t>كويز</t>
        </is>
      </c>
      <c r="EC29" s="172" t="inlineStr">
        <is>
          <t>امتحان</t>
        </is>
      </c>
      <c r="ED29" s="171" t="inlineStr">
        <is>
          <t>كويز</t>
        </is>
      </c>
      <c r="EE29" s="172" t="inlineStr">
        <is>
          <t>امتحان</t>
        </is>
      </c>
      <c r="EF29" s="171" t="inlineStr">
        <is>
          <t>كويز</t>
        </is>
      </c>
      <c r="EG29" s="172" t="inlineStr">
        <is>
          <t>امتحان</t>
        </is>
      </c>
      <c r="EH29" s="171" t="inlineStr">
        <is>
          <t>كويز</t>
        </is>
      </c>
      <c r="EI29" s="172" t="inlineStr">
        <is>
          <t>امتحان</t>
        </is>
      </c>
      <c r="EJ29" s="171" t="inlineStr">
        <is>
          <t>كويز</t>
        </is>
      </c>
      <c r="EK29" s="172" t="inlineStr">
        <is>
          <t>امتحان</t>
        </is>
      </c>
      <c r="EL29" s="66" t="inlineStr">
        <is>
          <t>ملاحظات</t>
        </is>
      </c>
      <c r="EM29" s="173" t="inlineStr">
        <is>
          <t>كويز</t>
        </is>
      </c>
      <c r="EN29" s="174" t="inlineStr">
        <is>
          <t>امتحان</t>
        </is>
      </c>
      <c r="EO29" s="173" t="inlineStr">
        <is>
          <t>كويز</t>
        </is>
      </c>
      <c r="EP29" s="174" t="inlineStr">
        <is>
          <t>امتحان</t>
        </is>
      </c>
      <c r="EQ29" s="173" t="inlineStr">
        <is>
          <t>كويز</t>
        </is>
      </c>
      <c r="ER29" s="174" t="inlineStr">
        <is>
          <t>امتحان</t>
        </is>
      </c>
      <c r="ES29" s="173" t="inlineStr">
        <is>
          <t>كويز</t>
        </is>
      </c>
      <c r="ET29" s="174" t="inlineStr">
        <is>
          <t>امتحان</t>
        </is>
      </c>
      <c r="EU29" s="173" t="inlineStr">
        <is>
          <t>كويز</t>
        </is>
      </c>
      <c r="EV29" s="174" t="inlineStr">
        <is>
          <t>امتحان</t>
        </is>
      </c>
      <c r="EW29" s="173" t="inlineStr">
        <is>
          <t>كويز</t>
        </is>
      </c>
      <c r="EX29" s="174" t="inlineStr">
        <is>
          <t>امتحان</t>
        </is>
      </c>
      <c r="EY29" s="173" t="inlineStr">
        <is>
          <t>كويز</t>
        </is>
      </c>
      <c r="EZ29" s="174" t="inlineStr">
        <is>
          <t>امتحان</t>
        </is>
      </c>
      <c r="FA29" s="173" t="inlineStr">
        <is>
          <t>كويز</t>
        </is>
      </c>
      <c r="FB29" s="174" t="inlineStr">
        <is>
          <t>امتحان</t>
        </is>
      </c>
      <c r="FC29" s="67" t="inlineStr">
        <is>
          <t>ملاحظات</t>
        </is>
      </c>
      <c r="FD29" s="175" t="inlineStr">
        <is>
          <t>كويز</t>
        </is>
      </c>
      <c r="FE29" s="176" t="inlineStr">
        <is>
          <t>امتحان</t>
        </is>
      </c>
      <c r="FF29" s="175" t="inlineStr">
        <is>
          <t>كويز</t>
        </is>
      </c>
      <c r="FG29" s="176" t="inlineStr">
        <is>
          <t>امتحان</t>
        </is>
      </c>
      <c r="FH29" s="175" t="inlineStr">
        <is>
          <t>كويز</t>
        </is>
      </c>
      <c r="FI29" s="176" t="inlineStr">
        <is>
          <t>امتحان</t>
        </is>
      </c>
      <c r="FJ29" s="175" t="inlineStr">
        <is>
          <t>كويز</t>
        </is>
      </c>
      <c r="FK29" s="176" t="inlineStr">
        <is>
          <t>امتحان</t>
        </is>
      </c>
      <c r="FL29" s="175" t="inlineStr">
        <is>
          <t>كويز</t>
        </is>
      </c>
      <c r="FM29" s="176" t="inlineStr">
        <is>
          <t>امتحان</t>
        </is>
      </c>
      <c r="FN29" s="175" t="inlineStr">
        <is>
          <t>كويز</t>
        </is>
      </c>
      <c r="FO29" s="176" t="inlineStr">
        <is>
          <t>امتحان</t>
        </is>
      </c>
      <c r="FP29" s="175" t="inlineStr">
        <is>
          <t>كويز</t>
        </is>
      </c>
      <c r="FQ29" s="176" t="inlineStr">
        <is>
          <t>امتحان</t>
        </is>
      </c>
      <c r="FR29" s="175" t="inlineStr">
        <is>
          <t>كويز</t>
        </is>
      </c>
      <c r="FS29" s="176" t="inlineStr">
        <is>
          <t>امتحان</t>
        </is>
      </c>
      <c r="FT29" s="68" t="inlineStr">
        <is>
          <t>ملاحظات</t>
        </is>
      </c>
      <c r="FU29" s="177" t="inlineStr">
        <is>
          <t>كويز</t>
        </is>
      </c>
      <c r="FV29" s="178" t="inlineStr">
        <is>
          <t>امتحان</t>
        </is>
      </c>
      <c r="FW29" s="177" t="inlineStr">
        <is>
          <t>كويز</t>
        </is>
      </c>
      <c r="FX29" s="178" t="inlineStr">
        <is>
          <t>امتحان</t>
        </is>
      </c>
      <c r="FY29" s="177" t="inlineStr">
        <is>
          <t>كويز</t>
        </is>
      </c>
      <c r="FZ29" s="178" t="inlineStr">
        <is>
          <t>امتحان</t>
        </is>
      </c>
      <c r="GA29" s="177" t="inlineStr">
        <is>
          <t>كويز</t>
        </is>
      </c>
      <c r="GB29" s="178" t="inlineStr">
        <is>
          <t>امتحان</t>
        </is>
      </c>
      <c r="GC29" s="177" t="inlineStr">
        <is>
          <t>كويز</t>
        </is>
      </c>
      <c r="GD29" s="178" t="inlineStr">
        <is>
          <t>امتحان</t>
        </is>
      </c>
      <c r="GE29" s="177" t="inlineStr">
        <is>
          <t>كويز</t>
        </is>
      </c>
      <c r="GF29" s="178" t="inlineStr">
        <is>
          <t>امتحان</t>
        </is>
      </c>
      <c r="GG29" s="177" t="inlineStr">
        <is>
          <t>كويز</t>
        </is>
      </c>
      <c r="GH29" s="178" t="inlineStr">
        <is>
          <t>امتحان</t>
        </is>
      </c>
      <c r="GI29" s="177" t="inlineStr">
        <is>
          <t>كويز</t>
        </is>
      </c>
      <c r="GJ29" s="178" t="inlineStr">
        <is>
          <t>امتحان</t>
        </is>
      </c>
      <c r="GK29" s="69" t="inlineStr">
        <is>
          <t>ملاحظات</t>
        </is>
      </c>
      <c r="GL29" s="179" t="inlineStr">
        <is>
          <t>كويز</t>
        </is>
      </c>
      <c r="GM29" s="180" t="inlineStr">
        <is>
          <t>امتحان</t>
        </is>
      </c>
      <c r="GN29" s="179" t="inlineStr">
        <is>
          <t>كويز</t>
        </is>
      </c>
      <c r="GO29" s="180" t="inlineStr">
        <is>
          <t>امتحان</t>
        </is>
      </c>
      <c r="GP29" s="179" t="inlineStr">
        <is>
          <t>كويز</t>
        </is>
      </c>
      <c r="GQ29" s="180" t="inlineStr">
        <is>
          <t>امتحان</t>
        </is>
      </c>
      <c r="GR29" s="179" t="inlineStr">
        <is>
          <t>كويز</t>
        </is>
      </c>
      <c r="GS29" s="180" t="inlineStr">
        <is>
          <t>امتحان</t>
        </is>
      </c>
      <c r="GT29" s="179" t="inlineStr">
        <is>
          <t>كويز</t>
        </is>
      </c>
      <c r="GU29" s="180" t="inlineStr">
        <is>
          <t>امتحان</t>
        </is>
      </c>
      <c r="GV29" s="179" t="inlineStr">
        <is>
          <t>كويز</t>
        </is>
      </c>
      <c r="GW29" s="180" t="inlineStr">
        <is>
          <t>امتحان</t>
        </is>
      </c>
      <c r="GX29" s="179" t="inlineStr">
        <is>
          <t>كويز</t>
        </is>
      </c>
      <c r="GY29" s="180" t="inlineStr">
        <is>
          <t>امتحان</t>
        </is>
      </c>
      <c r="GZ29" s="179" t="inlineStr">
        <is>
          <t>كويز</t>
        </is>
      </c>
      <c r="HA29" s="180" t="inlineStr">
        <is>
          <t>امتحان</t>
        </is>
      </c>
      <c r="HB29" s="70" t="inlineStr">
        <is>
          <t>ملاحظات</t>
        </is>
      </c>
    </row>
    <row r="30" ht="22.5" customHeight="1">
      <c r="A30" s="36" t="n">
        <v>1</v>
      </c>
      <c r="B30" s="181" t="str">
        <f>IF($B5="","",$B5)</f>
        <v/>
      </c>
      <c r="C30" s="136" t="str">
        <f>IF(OR($B30="",$HD30=0),"",ROUND($HC30,2)&amp;" / "&amp;$HD30)</f>
        <v/>
      </c>
      <c r="D30" s="182" t="str">
        <f>IF(OR($B30="",$HD30=0),"",$HC30/$HD30)</f>
        <v/>
      </c>
      <c r="E30" s="98" t="str">
        <f>IF($D30="","",RANK($D30,$D$30:$D$44))</f>
        <v/>
      </c>
      <c r="F30" s="99" t="str">
        <f>IF($D30="","",IF($D30&gt;=0.85,"ممتاز",IF($D30&gt;=0.75,"جيد جداً",IF($D30&gt;=0.65,"جيد",IF($D30&gt;=0.5,"مقبول","ضعيف")))))</f>
        <v/>
      </c>
      <c r="G30" s="100" t="n"/>
      <c r="H30" s="101" t="n"/>
      <c r="I30" s="100" t="n"/>
      <c r="J30" s="101" t="n"/>
      <c r="K30" s="100" t="n"/>
      <c r="L30" s="101" t="n"/>
      <c r="M30" s="100" t="n"/>
      <c r="N30" s="101" t="n"/>
      <c r="O30" s="100" t="n"/>
      <c r="P30" s="101" t="n"/>
      <c r="Q30" s="100" t="n"/>
      <c r="R30" s="101" t="n"/>
      <c r="S30" s="100" t="n"/>
      <c r="T30" s="101" t="n"/>
      <c r="U30" s="100" t="n"/>
      <c r="V30" s="101" t="n"/>
      <c r="W30" s="183" t="n"/>
      <c r="X30" s="103" t="n"/>
      <c r="Y30" s="104" t="n"/>
      <c r="Z30" s="103" t="n"/>
      <c r="AA30" s="104" t="n"/>
      <c r="AB30" s="103" t="n"/>
      <c r="AC30" s="104" t="n"/>
      <c r="AD30" s="103" t="n"/>
      <c r="AE30" s="104" t="n"/>
      <c r="AF30" s="103" t="n"/>
      <c r="AG30" s="104" t="n"/>
      <c r="AH30" s="103" t="n"/>
      <c r="AI30" s="104" t="n"/>
      <c r="AJ30" s="103" t="n"/>
      <c r="AK30" s="104" t="n"/>
      <c r="AL30" s="103" t="n"/>
      <c r="AM30" s="104" t="n"/>
      <c r="AN30" s="184" t="n"/>
      <c r="AO30" s="106" t="n"/>
      <c r="AP30" s="107" t="n"/>
      <c r="AQ30" s="106" t="n"/>
      <c r="AR30" s="107" t="n"/>
      <c r="AS30" s="106" t="n"/>
      <c r="AT30" s="107" t="n"/>
      <c r="AU30" s="106" t="n"/>
      <c r="AV30" s="107" t="n"/>
      <c r="AW30" s="106" t="n"/>
      <c r="AX30" s="107" t="n"/>
      <c r="AY30" s="106" t="n"/>
      <c r="AZ30" s="107" t="n"/>
      <c r="BA30" s="106" t="n"/>
      <c r="BB30" s="107" t="n"/>
      <c r="BC30" s="106" t="n"/>
      <c r="BD30" s="107" t="n"/>
      <c r="BE30" s="185" t="n"/>
      <c r="BF30" s="109" t="n"/>
      <c r="BG30" s="110" t="n"/>
      <c r="BH30" s="109" t="n"/>
      <c r="BI30" s="110" t="n"/>
      <c r="BJ30" s="109" t="n"/>
      <c r="BK30" s="110" t="n"/>
      <c r="BL30" s="109" t="n"/>
      <c r="BM30" s="110" t="n"/>
      <c r="BN30" s="109" t="n"/>
      <c r="BO30" s="110" t="n"/>
      <c r="BP30" s="109" t="n"/>
      <c r="BQ30" s="110" t="n"/>
      <c r="BR30" s="109" t="n"/>
      <c r="BS30" s="110" t="n"/>
      <c r="BT30" s="109" t="n"/>
      <c r="BU30" s="110" t="n"/>
      <c r="BV30" s="186" t="n"/>
      <c r="BW30" s="112" t="n"/>
      <c r="BX30" s="113" t="n"/>
      <c r="BY30" s="112" t="n"/>
      <c r="BZ30" s="113" t="n"/>
      <c r="CA30" s="112" t="n"/>
      <c r="CB30" s="113" t="n"/>
      <c r="CC30" s="112" t="n"/>
      <c r="CD30" s="113" t="n"/>
      <c r="CE30" s="112" t="n"/>
      <c r="CF30" s="113" t="n"/>
      <c r="CG30" s="112" t="n"/>
      <c r="CH30" s="113" t="n"/>
      <c r="CI30" s="112" t="n"/>
      <c r="CJ30" s="113" t="n"/>
      <c r="CK30" s="112" t="n"/>
      <c r="CL30" s="113" t="n"/>
      <c r="CM30" s="187" t="n"/>
      <c r="CN30" s="115" t="n"/>
      <c r="CO30" s="116" t="n"/>
      <c r="CP30" s="115" t="n"/>
      <c r="CQ30" s="116" t="n"/>
      <c r="CR30" s="115" t="n"/>
      <c r="CS30" s="116" t="n"/>
      <c r="CT30" s="115" t="n"/>
      <c r="CU30" s="116" t="n"/>
      <c r="CV30" s="115" t="n"/>
      <c r="CW30" s="116" t="n"/>
      <c r="CX30" s="115" t="n"/>
      <c r="CY30" s="116" t="n"/>
      <c r="CZ30" s="115" t="n"/>
      <c r="DA30" s="116" t="n"/>
      <c r="DB30" s="115" t="n"/>
      <c r="DC30" s="116" t="n"/>
      <c r="DD30" s="188" t="n"/>
      <c r="DE30" s="118" t="n"/>
      <c r="DF30" s="119" t="n"/>
      <c r="DG30" s="118" t="n"/>
      <c r="DH30" s="119" t="n"/>
      <c r="DI30" s="118" t="n"/>
      <c r="DJ30" s="119" t="n"/>
      <c r="DK30" s="118" t="n"/>
      <c r="DL30" s="119" t="n"/>
      <c r="DM30" s="118" t="n"/>
      <c r="DN30" s="119" t="n"/>
      <c r="DO30" s="118" t="n"/>
      <c r="DP30" s="119" t="n"/>
      <c r="DQ30" s="118" t="n"/>
      <c r="DR30" s="119" t="n"/>
      <c r="DS30" s="118" t="n"/>
      <c r="DT30" s="119" t="n"/>
      <c r="DU30" s="189" t="n"/>
      <c r="DV30" s="121" t="n"/>
      <c r="DW30" s="122" t="n"/>
      <c r="DX30" s="121" t="n"/>
      <c r="DY30" s="122" t="n"/>
      <c r="DZ30" s="121" t="n"/>
      <c r="EA30" s="122" t="n"/>
      <c r="EB30" s="121" t="n"/>
      <c r="EC30" s="122" t="n"/>
      <c r="ED30" s="121" t="n"/>
      <c r="EE30" s="122" t="n"/>
      <c r="EF30" s="121" t="n"/>
      <c r="EG30" s="122" t="n"/>
      <c r="EH30" s="121" t="n"/>
      <c r="EI30" s="122" t="n"/>
      <c r="EJ30" s="121" t="n"/>
      <c r="EK30" s="122" t="n"/>
      <c r="EL30" s="190" t="n"/>
      <c r="EM30" s="124" t="n"/>
      <c r="EN30" s="125" t="n"/>
      <c r="EO30" s="124" t="n"/>
      <c r="EP30" s="125" t="n"/>
      <c r="EQ30" s="124" t="n"/>
      <c r="ER30" s="125" t="n"/>
      <c r="ES30" s="124" t="n"/>
      <c r="ET30" s="125" t="n"/>
      <c r="EU30" s="124" t="n"/>
      <c r="EV30" s="125" t="n"/>
      <c r="EW30" s="124" t="n"/>
      <c r="EX30" s="125" t="n"/>
      <c r="EY30" s="124" t="n"/>
      <c r="EZ30" s="125" t="n"/>
      <c r="FA30" s="124" t="n"/>
      <c r="FB30" s="125" t="n"/>
      <c r="FC30" s="191" t="n"/>
      <c r="FD30" s="127" t="n"/>
      <c r="FE30" s="128" t="n"/>
      <c r="FF30" s="127" t="n"/>
      <c r="FG30" s="128" t="n"/>
      <c r="FH30" s="127" t="n"/>
      <c r="FI30" s="128" t="n"/>
      <c r="FJ30" s="127" t="n"/>
      <c r="FK30" s="128" t="n"/>
      <c r="FL30" s="127" t="n"/>
      <c r="FM30" s="128" t="n"/>
      <c r="FN30" s="127" t="n"/>
      <c r="FO30" s="128" t="n"/>
      <c r="FP30" s="127" t="n"/>
      <c r="FQ30" s="128" t="n"/>
      <c r="FR30" s="127" t="n"/>
      <c r="FS30" s="128" t="n"/>
      <c r="FT30" s="192" t="n"/>
      <c r="FU30" s="130" t="n"/>
      <c r="FV30" s="131" t="n"/>
      <c r="FW30" s="130" t="n"/>
      <c r="FX30" s="131" t="n"/>
      <c r="FY30" s="130" t="n"/>
      <c r="FZ30" s="131" t="n"/>
      <c r="GA30" s="130" t="n"/>
      <c r="GB30" s="131" t="n"/>
      <c r="GC30" s="130" t="n"/>
      <c r="GD30" s="131" t="n"/>
      <c r="GE30" s="130" t="n"/>
      <c r="GF30" s="131" t="n"/>
      <c r="GG30" s="130" t="n"/>
      <c r="GH30" s="131" t="n"/>
      <c r="GI30" s="130" t="n"/>
      <c r="GJ30" s="131" t="n"/>
      <c r="GK30" s="193" t="n"/>
      <c r="GL30" s="133" t="n"/>
      <c r="GM30" s="134" t="n"/>
      <c r="GN30" s="133" t="n"/>
      <c r="GO30" s="134" t="n"/>
      <c r="GP30" s="133" t="n"/>
      <c r="GQ30" s="134" t="n"/>
      <c r="GR30" s="133" t="n"/>
      <c r="GS30" s="134" t="n"/>
      <c r="GT30" s="133" t="n"/>
      <c r="GU30" s="134" t="n"/>
      <c r="GV30" s="133" t="n"/>
      <c r="GW30" s="134" t="n"/>
      <c r="GX30" s="133" t="n"/>
      <c r="GY30" s="134" t="n"/>
      <c r="GZ30" s="133" t="n"/>
      <c r="HA30" s="134" t="n"/>
      <c r="HB30" s="194" t="n"/>
      <c r="HC30">
        <f>SUMIFS($G30:$HB30,$G$46:$HB$46,"&gt;="&amp;$HD$1,$G$46:$HB$46,"&lt;="&amp;$HD$2,$G$29:$HB$29,"&lt;&gt;ملاحظات",$G$28:$HB$28,"&gt;0")</f>
        <v>0</v>
      </c>
      <c r="HD30">
        <f>SUMIFS($G$28:$HB$28,$G$46:$HB$46,"&gt;="&amp;$HD$1,$G$46:$HB$46,"&lt;="&amp;$HD$2,$G$29:$HB$29,"&lt;&gt;ملاحظات",$G30:$HB30,"&gt;=0")</f>
        <v>0</v>
      </c>
    </row>
    <row r="31" ht="22.5" customHeight="1">
      <c r="A31" s="36" t="n">
        <v>2</v>
      </c>
      <c r="B31" s="181" t="str">
        <f>IF($B6="","",$B6)</f>
        <v/>
      </c>
      <c r="C31" s="136" t="str">
        <f>IF(OR($B31="",$HD31=0),"",ROUND($HC31,2)&amp;" / "&amp;$HD31)</f>
        <v/>
      </c>
      <c r="D31" s="182" t="str">
        <f>IF(OR($B31="",$HD31=0),"",$HC31/$HD31)</f>
        <v/>
      </c>
      <c r="E31" s="98" t="str">
        <f>IF($D31="","",RANK($D31,$D$30:$D$44))</f>
        <v/>
      </c>
      <c r="F31" s="99" t="str">
        <f>IF($D31="","",IF($D31&gt;=0.85,"ممتاز",IF($D31&gt;=0.75,"جيد جداً",IF($D31&gt;=0.65,"جيد",IF($D31&gt;=0.5,"مقبول","ضعيف")))))</f>
        <v/>
      </c>
      <c r="G31" s="100" t="n"/>
      <c r="H31" s="101" t="n"/>
      <c r="I31" s="100" t="n"/>
      <c r="J31" s="101" t="n"/>
      <c r="K31" s="100" t="n"/>
      <c r="L31" s="101" t="n"/>
      <c r="M31" s="100" t="n"/>
      <c r="N31" s="101" t="n"/>
      <c r="O31" s="100" t="n"/>
      <c r="P31" s="101" t="n"/>
      <c r="Q31" s="100" t="n"/>
      <c r="R31" s="101" t="n"/>
      <c r="S31" s="100" t="n"/>
      <c r="T31" s="101" t="n"/>
      <c r="U31" s="100" t="n"/>
      <c r="V31" s="101" t="n"/>
      <c r="W31" s="183" t="n"/>
      <c r="X31" s="103" t="n"/>
      <c r="Y31" s="104" t="n"/>
      <c r="Z31" s="103" t="n"/>
      <c r="AA31" s="104" t="n"/>
      <c r="AB31" s="103" t="n"/>
      <c r="AC31" s="104" t="n"/>
      <c r="AD31" s="103" t="n"/>
      <c r="AE31" s="104" t="n"/>
      <c r="AF31" s="103" t="n"/>
      <c r="AG31" s="104" t="n"/>
      <c r="AH31" s="103" t="n"/>
      <c r="AI31" s="104" t="n"/>
      <c r="AJ31" s="103" t="n"/>
      <c r="AK31" s="104" t="n"/>
      <c r="AL31" s="103" t="n"/>
      <c r="AM31" s="104" t="n"/>
      <c r="AN31" s="184" t="n"/>
      <c r="AO31" s="106" t="n"/>
      <c r="AP31" s="107" t="n"/>
      <c r="AQ31" s="106" t="n"/>
      <c r="AR31" s="107" t="n"/>
      <c r="AS31" s="106" t="n"/>
      <c r="AT31" s="107" t="n"/>
      <c r="AU31" s="106" t="n"/>
      <c r="AV31" s="107" t="n"/>
      <c r="AW31" s="106" t="n"/>
      <c r="AX31" s="107" t="n"/>
      <c r="AY31" s="106" t="n"/>
      <c r="AZ31" s="107" t="n"/>
      <c r="BA31" s="106" t="n"/>
      <c r="BB31" s="107" t="n"/>
      <c r="BC31" s="106" t="n"/>
      <c r="BD31" s="107" t="n"/>
      <c r="BE31" s="185" t="n"/>
      <c r="BF31" s="109" t="n"/>
      <c r="BG31" s="110" t="n"/>
      <c r="BH31" s="109" t="n"/>
      <c r="BI31" s="110" t="n"/>
      <c r="BJ31" s="109" t="n"/>
      <c r="BK31" s="110" t="n"/>
      <c r="BL31" s="109" t="n"/>
      <c r="BM31" s="110" t="n"/>
      <c r="BN31" s="109" t="n"/>
      <c r="BO31" s="110" t="n"/>
      <c r="BP31" s="109" t="n"/>
      <c r="BQ31" s="110" t="n"/>
      <c r="BR31" s="109" t="n"/>
      <c r="BS31" s="110" t="n"/>
      <c r="BT31" s="109" t="n"/>
      <c r="BU31" s="110" t="n"/>
      <c r="BV31" s="186" t="n"/>
      <c r="BW31" s="112" t="n"/>
      <c r="BX31" s="113" t="n"/>
      <c r="BY31" s="112" t="n"/>
      <c r="BZ31" s="113" t="n"/>
      <c r="CA31" s="112" t="n"/>
      <c r="CB31" s="113" t="n"/>
      <c r="CC31" s="112" t="n"/>
      <c r="CD31" s="113" t="n"/>
      <c r="CE31" s="112" t="n"/>
      <c r="CF31" s="113" t="n"/>
      <c r="CG31" s="112" t="n"/>
      <c r="CH31" s="113" t="n"/>
      <c r="CI31" s="112" t="n"/>
      <c r="CJ31" s="113" t="n"/>
      <c r="CK31" s="112" t="n"/>
      <c r="CL31" s="113" t="n"/>
      <c r="CM31" s="187" t="n"/>
      <c r="CN31" s="115" t="n"/>
      <c r="CO31" s="116" t="n"/>
      <c r="CP31" s="115" t="n"/>
      <c r="CQ31" s="116" t="n"/>
      <c r="CR31" s="115" t="n"/>
      <c r="CS31" s="116" t="n"/>
      <c r="CT31" s="115" t="n"/>
      <c r="CU31" s="116" t="n"/>
      <c r="CV31" s="115" t="n"/>
      <c r="CW31" s="116" t="n"/>
      <c r="CX31" s="115" t="n"/>
      <c r="CY31" s="116" t="n"/>
      <c r="CZ31" s="115" t="n"/>
      <c r="DA31" s="116" t="n"/>
      <c r="DB31" s="115" t="n"/>
      <c r="DC31" s="116" t="n"/>
      <c r="DD31" s="188" t="n"/>
      <c r="DE31" s="118" t="n"/>
      <c r="DF31" s="119" t="n"/>
      <c r="DG31" s="118" t="n"/>
      <c r="DH31" s="119" t="n"/>
      <c r="DI31" s="118" t="n"/>
      <c r="DJ31" s="119" t="n"/>
      <c r="DK31" s="118" t="n"/>
      <c r="DL31" s="119" t="n"/>
      <c r="DM31" s="118" t="n"/>
      <c r="DN31" s="119" t="n"/>
      <c r="DO31" s="118" t="n"/>
      <c r="DP31" s="119" t="n"/>
      <c r="DQ31" s="118" t="n"/>
      <c r="DR31" s="119" t="n"/>
      <c r="DS31" s="118" t="n"/>
      <c r="DT31" s="119" t="n"/>
      <c r="DU31" s="189" t="n"/>
      <c r="DV31" s="121" t="n"/>
      <c r="DW31" s="122" t="n"/>
      <c r="DX31" s="121" t="n"/>
      <c r="DY31" s="122" t="n"/>
      <c r="DZ31" s="121" t="n"/>
      <c r="EA31" s="122" t="n"/>
      <c r="EB31" s="121" t="n"/>
      <c r="EC31" s="122" t="n"/>
      <c r="ED31" s="121" t="n"/>
      <c r="EE31" s="122" t="n"/>
      <c r="EF31" s="121" t="n"/>
      <c r="EG31" s="122" t="n"/>
      <c r="EH31" s="121" t="n"/>
      <c r="EI31" s="122" t="n"/>
      <c r="EJ31" s="121" t="n"/>
      <c r="EK31" s="122" t="n"/>
      <c r="EL31" s="190" t="n"/>
      <c r="EM31" s="124" t="n"/>
      <c r="EN31" s="125" t="n"/>
      <c r="EO31" s="124" t="n"/>
      <c r="EP31" s="125" t="n"/>
      <c r="EQ31" s="124" t="n"/>
      <c r="ER31" s="125" t="n"/>
      <c r="ES31" s="124" t="n"/>
      <c r="ET31" s="125" t="n"/>
      <c r="EU31" s="124" t="n"/>
      <c r="EV31" s="125" t="n"/>
      <c r="EW31" s="124" t="n"/>
      <c r="EX31" s="125" t="n"/>
      <c r="EY31" s="124" t="n"/>
      <c r="EZ31" s="125" t="n"/>
      <c r="FA31" s="124" t="n"/>
      <c r="FB31" s="125" t="n"/>
      <c r="FC31" s="191" t="n"/>
      <c r="FD31" s="127" t="n"/>
      <c r="FE31" s="128" t="n"/>
      <c r="FF31" s="127" t="n"/>
      <c r="FG31" s="128" t="n"/>
      <c r="FH31" s="127" t="n"/>
      <c r="FI31" s="128" t="n"/>
      <c r="FJ31" s="127" t="n"/>
      <c r="FK31" s="128" t="n"/>
      <c r="FL31" s="127" t="n"/>
      <c r="FM31" s="128" t="n"/>
      <c r="FN31" s="127" t="n"/>
      <c r="FO31" s="128" t="n"/>
      <c r="FP31" s="127" t="n"/>
      <c r="FQ31" s="128" t="n"/>
      <c r="FR31" s="127" t="n"/>
      <c r="FS31" s="128" t="n"/>
      <c r="FT31" s="192" t="n"/>
      <c r="FU31" s="130" t="n"/>
      <c r="FV31" s="131" t="n"/>
      <c r="FW31" s="130" t="n"/>
      <c r="FX31" s="131" t="n"/>
      <c r="FY31" s="130" t="n"/>
      <c r="FZ31" s="131" t="n"/>
      <c r="GA31" s="130" t="n"/>
      <c r="GB31" s="131" t="n"/>
      <c r="GC31" s="130" t="n"/>
      <c r="GD31" s="131" t="n"/>
      <c r="GE31" s="130" t="n"/>
      <c r="GF31" s="131" t="n"/>
      <c r="GG31" s="130" t="n"/>
      <c r="GH31" s="131" t="n"/>
      <c r="GI31" s="130" t="n"/>
      <c r="GJ31" s="131" t="n"/>
      <c r="GK31" s="193" t="n"/>
      <c r="GL31" s="133" t="n"/>
      <c r="GM31" s="134" t="n"/>
      <c r="GN31" s="133" t="n"/>
      <c r="GO31" s="134" t="n"/>
      <c r="GP31" s="133" t="n"/>
      <c r="GQ31" s="134" t="n"/>
      <c r="GR31" s="133" t="n"/>
      <c r="GS31" s="134" t="n"/>
      <c r="GT31" s="133" t="n"/>
      <c r="GU31" s="134" t="n"/>
      <c r="GV31" s="133" t="n"/>
      <c r="GW31" s="134" t="n"/>
      <c r="GX31" s="133" t="n"/>
      <c r="GY31" s="134" t="n"/>
      <c r="GZ31" s="133" t="n"/>
      <c r="HA31" s="134" t="n"/>
      <c r="HB31" s="194" t="n"/>
      <c r="HC31">
        <f>SUMIFS($G31:$HB31,$G$46:$HB$46,"&gt;="&amp;$HD$1,$G$46:$HB$46,"&lt;="&amp;$HD$2,$G$29:$HB$29,"&lt;&gt;ملاحظات",$G$28:$HB$28,"&gt;0")</f>
        <v>0</v>
      </c>
      <c r="HD31">
        <f>SUMIFS($G$28:$HB$28,$G$46:$HB$46,"&gt;="&amp;$HD$1,$G$46:$HB$46,"&lt;="&amp;$HD$2,$G$29:$HB$29,"&lt;&gt;ملاحظات",$G31:$HB31,"&gt;=0")</f>
        <v>0</v>
      </c>
    </row>
    <row r="32" ht="22.5" customHeight="1">
      <c r="A32" s="36" t="n">
        <v>3</v>
      </c>
      <c r="B32" s="181" t="str">
        <f>IF($B7="","",$B7)</f>
        <v/>
      </c>
      <c r="C32" s="136" t="str">
        <f>IF(OR($B32="",$HD32=0),"",ROUND($HC32,2)&amp;" / "&amp;$HD32)</f>
        <v/>
      </c>
      <c r="D32" s="182" t="str">
        <f>IF(OR($B32="",$HD32=0),"",$HC32/$HD32)</f>
        <v/>
      </c>
      <c r="E32" s="98" t="str">
        <f>IF($D32="","",RANK($D32,$D$30:$D$44))</f>
        <v/>
      </c>
      <c r="F32" s="99" t="str">
        <f>IF($D32="","",IF($D32&gt;=0.85,"ممتاز",IF($D32&gt;=0.75,"جيد جداً",IF($D32&gt;=0.65,"جيد",IF($D32&gt;=0.5,"مقبول","ضعيف")))))</f>
        <v/>
      </c>
      <c r="G32" s="100" t="n"/>
      <c r="H32" s="101" t="n"/>
      <c r="I32" s="100" t="n"/>
      <c r="J32" s="101" t="n"/>
      <c r="K32" s="100" t="n"/>
      <c r="L32" s="101" t="n"/>
      <c r="M32" s="100" t="n"/>
      <c r="N32" s="101" t="n"/>
      <c r="O32" s="100" t="n"/>
      <c r="P32" s="101" t="n"/>
      <c r="Q32" s="100" t="n"/>
      <c r="R32" s="101" t="n"/>
      <c r="S32" s="100" t="n"/>
      <c r="T32" s="101" t="n"/>
      <c r="U32" s="100" t="n"/>
      <c r="V32" s="101" t="n"/>
      <c r="W32" s="183" t="n"/>
      <c r="X32" s="103" t="n"/>
      <c r="Y32" s="104" t="n"/>
      <c r="Z32" s="103" t="n"/>
      <c r="AA32" s="104" t="n"/>
      <c r="AB32" s="103" t="n"/>
      <c r="AC32" s="104" t="n"/>
      <c r="AD32" s="103" t="n"/>
      <c r="AE32" s="104" t="n"/>
      <c r="AF32" s="103" t="n"/>
      <c r="AG32" s="104" t="n"/>
      <c r="AH32" s="103" t="n"/>
      <c r="AI32" s="104" t="n"/>
      <c r="AJ32" s="103" t="n"/>
      <c r="AK32" s="104" t="n"/>
      <c r="AL32" s="103" t="n"/>
      <c r="AM32" s="104" t="n"/>
      <c r="AN32" s="184" t="n"/>
      <c r="AO32" s="106" t="n"/>
      <c r="AP32" s="107" t="n"/>
      <c r="AQ32" s="106" t="n"/>
      <c r="AR32" s="107" t="n"/>
      <c r="AS32" s="106" t="n"/>
      <c r="AT32" s="107" t="n"/>
      <c r="AU32" s="106" t="n"/>
      <c r="AV32" s="107" t="n"/>
      <c r="AW32" s="106" t="n"/>
      <c r="AX32" s="107" t="n"/>
      <c r="AY32" s="106" t="n"/>
      <c r="AZ32" s="107" t="n"/>
      <c r="BA32" s="106" t="n"/>
      <c r="BB32" s="107" t="n"/>
      <c r="BC32" s="106" t="n"/>
      <c r="BD32" s="107" t="n"/>
      <c r="BE32" s="185" t="n"/>
      <c r="BF32" s="109" t="n"/>
      <c r="BG32" s="110" t="n"/>
      <c r="BH32" s="109" t="n"/>
      <c r="BI32" s="110" t="n"/>
      <c r="BJ32" s="109" t="n"/>
      <c r="BK32" s="110" t="n"/>
      <c r="BL32" s="109" t="n"/>
      <c r="BM32" s="110" t="n"/>
      <c r="BN32" s="109" t="n"/>
      <c r="BO32" s="110" t="n"/>
      <c r="BP32" s="109" t="n"/>
      <c r="BQ32" s="110" t="n"/>
      <c r="BR32" s="109" t="n"/>
      <c r="BS32" s="110" t="n"/>
      <c r="BT32" s="109" t="n"/>
      <c r="BU32" s="110" t="n"/>
      <c r="BV32" s="186" t="n"/>
      <c r="BW32" s="112" t="n"/>
      <c r="BX32" s="113" t="n"/>
      <c r="BY32" s="112" t="n"/>
      <c r="BZ32" s="113" t="n"/>
      <c r="CA32" s="112" t="n"/>
      <c r="CB32" s="113" t="n"/>
      <c r="CC32" s="112" t="n"/>
      <c r="CD32" s="113" t="n"/>
      <c r="CE32" s="112" t="n"/>
      <c r="CF32" s="113" t="n"/>
      <c r="CG32" s="112" t="n"/>
      <c r="CH32" s="113" t="n"/>
      <c r="CI32" s="112" t="n"/>
      <c r="CJ32" s="113" t="n"/>
      <c r="CK32" s="112" t="n"/>
      <c r="CL32" s="113" t="n"/>
      <c r="CM32" s="187" t="n"/>
      <c r="CN32" s="115" t="n"/>
      <c r="CO32" s="116" t="n"/>
      <c r="CP32" s="115" t="n"/>
      <c r="CQ32" s="116" t="n"/>
      <c r="CR32" s="115" t="n"/>
      <c r="CS32" s="116" t="n"/>
      <c r="CT32" s="115" t="n"/>
      <c r="CU32" s="116" t="n"/>
      <c r="CV32" s="115" t="n"/>
      <c r="CW32" s="116" t="n"/>
      <c r="CX32" s="115" t="n"/>
      <c r="CY32" s="116" t="n"/>
      <c r="CZ32" s="115" t="n"/>
      <c r="DA32" s="116" t="n"/>
      <c r="DB32" s="115" t="n"/>
      <c r="DC32" s="116" t="n"/>
      <c r="DD32" s="188" t="n"/>
      <c r="DE32" s="118" t="n"/>
      <c r="DF32" s="119" t="n"/>
      <c r="DG32" s="118" t="n"/>
      <c r="DH32" s="119" t="n"/>
      <c r="DI32" s="118" t="n"/>
      <c r="DJ32" s="119" t="n"/>
      <c r="DK32" s="118" t="n"/>
      <c r="DL32" s="119" t="n"/>
      <c r="DM32" s="118" t="n"/>
      <c r="DN32" s="119" t="n"/>
      <c r="DO32" s="118" t="n"/>
      <c r="DP32" s="119" t="n"/>
      <c r="DQ32" s="118" t="n"/>
      <c r="DR32" s="119" t="n"/>
      <c r="DS32" s="118" t="n"/>
      <c r="DT32" s="119" t="n"/>
      <c r="DU32" s="189" t="n"/>
      <c r="DV32" s="121" t="n"/>
      <c r="DW32" s="122" t="n"/>
      <c r="DX32" s="121" t="n"/>
      <c r="DY32" s="122" t="n"/>
      <c r="DZ32" s="121" t="n"/>
      <c r="EA32" s="122" t="n"/>
      <c r="EB32" s="121" t="n"/>
      <c r="EC32" s="122" t="n"/>
      <c r="ED32" s="121" t="n"/>
      <c r="EE32" s="122" t="n"/>
      <c r="EF32" s="121" t="n"/>
      <c r="EG32" s="122" t="n"/>
      <c r="EH32" s="121" t="n"/>
      <c r="EI32" s="122" t="n"/>
      <c r="EJ32" s="121" t="n"/>
      <c r="EK32" s="122" t="n"/>
      <c r="EL32" s="190" t="n"/>
      <c r="EM32" s="124" t="n"/>
      <c r="EN32" s="125" t="n"/>
      <c r="EO32" s="124" t="n"/>
      <c r="EP32" s="125" t="n"/>
      <c r="EQ32" s="124" t="n"/>
      <c r="ER32" s="125" t="n"/>
      <c r="ES32" s="124" t="n"/>
      <c r="ET32" s="125" t="n"/>
      <c r="EU32" s="124" t="n"/>
      <c r="EV32" s="125" t="n"/>
      <c r="EW32" s="124" t="n"/>
      <c r="EX32" s="125" t="n"/>
      <c r="EY32" s="124" t="n"/>
      <c r="EZ32" s="125" t="n"/>
      <c r="FA32" s="124" t="n"/>
      <c r="FB32" s="125" t="n"/>
      <c r="FC32" s="191" t="n"/>
      <c r="FD32" s="127" t="n"/>
      <c r="FE32" s="128" t="n"/>
      <c r="FF32" s="127" t="n"/>
      <c r="FG32" s="128" t="n"/>
      <c r="FH32" s="127" t="n"/>
      <c r="FI32" s="128" t="n"/>
      <c r="FJ32" s="127" t="n"/>
      <c r="FK32" s="128" t="n"/>
      <c r="FL32" s="127" t="n"/>
      <c r="FM32" s="128" t="n"/>
      <c r="FN32" s="127" t="n"/>
      <c r="FO32" s="128" t="n"/>
      <c r="FP32" s="127" t="n"/>
      <c r="FQ32" s="128" t="n"/>
      <c r="FR32" s="127" t="n"/>
      <c r="FS32" s="128" t="n"/>
      <c r="FT32" s="192" t="n"/>
      <c r="FU32" s="130" t="n"/>
      <c r="FV32" s="131" t="n"/>
      <c r="FW32" s="130" t="n"/>
      <c r="FX32" s="131" t="n"/>
      <c r="FY32" s="130" t="n"/>
      <c r="FZ32" s="131" t="n"/>
      <c r="GA32" s="130" t="n"/>
      <c r="GB32" s="131" t="n"/>
      <c r="GC32" s="130" t="n"/>
      <c r="GD32" s="131" t="n"/>
      <c r="GE32" s="130" t="n"/>
      <c r="GF32" s="131" t="n"/>
      <c r="GG32" s="130" t="n"/>
      <c r="GH32" s="131" t="n"/>
      <c r="GI32" s="130" t="n"/>
      <c r="GJ32" s="131" t="n"/>
      <c r="GK32" s="193" t="n"/>
      <c r="GL32" s="133" t="n"/>
      <c r="GM32" s="134" t="n"/>
      <c r="GN32" s="133" t="n"/>
      <c r="GO32" s="134" t="n"/>
      <c r="GP32" s="133" t="n"/>
      <c r="GQ32" s="134" t="n"/>
      <c r="GR32" s="133" t="n"/>
      <c r="GS32" s="134" t="n"/>
      <c r="GT32" s="133" t="n"/>
      <c r="GU32" s="134" t="n"/>
      <c r="GV32" s="133" t="n"/>
      <c r="GW32" s="134" t="n"/>
      <c r="GX32" s="133" t="n"/>
      <c r="GY32" s="134" t="n"/>
      <c r="GZ32" s="133" t="n"/>
      <c r="HA32" s="134" t="n"/>
      <c r="HB32" s="194" t="n"/>
      <c r="HC32">
        <f>SUMIFS($G32:$HB32,$G$46:$HB$46,"&gt;="&amp;$HD$1,$G$46:$HB$46,"&lt;="&amp;$HD$2,$G$29:$HB$29,"&lt;&gt;ملاحظات",$G$28:$HB$28,"&gt;0")</f>
        <v>0</v>
      </c>
      <c r="HD32">
        <f>SUMIFS($G$28:$HB$28,$G$46:$HB$46,"&gt;="&amp;$HD$1,$G$46:$HB$46,"&lt;="&amp;$HD$2,$G$29:$HB$29,"&lt;&gt;ملاحظات",$G32:$HB32,"&gt;=0")</f>
        <v>0</v>
      </c>
    </row>
    <row r="33" ht="22.5" customHeight="1">
      <c r="A33" s="36" t="n">
        <v>4</v>
      </c>
      <c r="B33" s="181" t="str">
        <f>IF($B8="","",$B8)</f>
        <v/>
      </c>
      <c r="C33" s="136" t="str">
        <f>IF(OR($B33="",$HD33=0),"",ROUND($HC33,2)&amp;" / "&amp;$HD33)</f>
        <v/>
      </c>
      <c r="D33" s="182" t="str">
        <f>IF(OR($B33="",$HD33=0),"",$HC33/$HD33)</f>
        <v/>
      </c>
      <c r="E33" s="98" t="str">
        <f>IF($D33="","",RANK($D33,$D$30:$D$44))</f>
        <v/>
      </c>
      <c r="F33" s="99" t="str">
        <f>IF($D33="","",IF($D33&gt;=0.85,"ممتاز",IF($D33&gt;=0.75,"جيد جداً",IF($D33&gt;=0.65,"جيد",IF($D33&gt;=0.5,"مقبول","ضعيف")))))</f>
        <v/>
      </c>
      <c r="G33" s="100" t="n"/>
      <c r="H33" s="101" t="n"/>
      <c r="I33" s="100" t="n"/>
      <c r="J33" s="101" t="n"/>
      <c r="K33" s="100" t="n"/>
      <c r="L33" s="101" t="n"/>
      <c r="M33" s="100" t="n"/>
      <c r="N33" s="101" t="n"/>
      <c r="O33" s="100" t="n"/>
      <c r="P33" s="101" t="n"/>
      <c r="Q33" s="100" t="n"/>
      <c r="R33" s="101" t="n"/>
      <c r="S33" s="100" t="n"/>
      <c r="T33" s="101" t="n"/>
      <c r="U33" s="100" t="n"/>
      <c r="V33" s="101" t="n"/>
      <c r="W33" s="183" t="n"/>
      <c r="X33" s="103" t="n"/>
      <c r="Y33" s="104" t="n"/>
      <c r="Z33" s="103" t="n"/>
      <c r="AA33" s="104" t="n"/>
      <c r="AB33" s="103" t="n"/>
      <c r="AC33" s="104" t="n"/>
      <c r="AD33" s="103" t="n"/>
      <c r="AE33" s="104" t="n"/>
      <c r="AF33" s="103" t="n"/>
      <c r="AG33" s="104" t="n"/>
      <c r="AH33" s="103" t="n"/>
      <c r="AI33" s="104" t="n"/>
      <c r="AJ33" s="103" t="n"/>
      <c r="AK33" s="104" t="n"/>
      <c r="AL33" s="103" t="n"/>
      <c r="AM33" s="104" t="n"/>
      <c r="AN33" s="184" t="n"/>
      <c r="AO33" s="106" t="n"/>
      <c r="AP33" s="107" t="n"/>
      <c r="AQ33" s="106" t="n"/>
      <c r="AR33" s="107" t="n"/>
      <c r="AS33" s="106" t="n"/>
      <c r="AT33" s="107" t="n"/>
      <c r="AU33" s="106" t="n"/>
      <c r="AV33" s="107" t="n"/>
      <c r="AW33" s="106" t="n"/>
      <c r="AX33" s="107" t="n"/>
      <c r="AY33" s="106" t="n"/>
      <c r="AZ33" s="107" t="n"/>
      <c r="BA33" s="106" t="n"/>
      <c r="BB33" s="107" t="n"/>
      <c r="BC33" s="106" t="n"/>
      <c r="BD33" s="107" t="n"/>
      <c r="BE33" s="185" t="n"/>
      <c r="BF33" s="109" t="n"/>
      <c r="BG33" s="110" t="n"/>
      <c r="BH33" s="109" t="n"/>
      <c r="BI33" s="110" t="n"/>
      <c r="BJ33" s="109" t="n"/>
      <c r="BK33" s="110" t="n"/>
      <c r="BL33" s="109" t="n"/>
      <c r="BM33" s="110" t="n"/>
      <c r="BN33" s="109" t="n"/>
      <c r="BO33" s="110" t="n"/>
      <c r="BP33" s="109" t="n"/>
      <c r="BQ33" s="110" t="n"/>
      <c r="BR33" s="109" t="n"/>
      <c r="BS33" s="110" t="n"/>
      <c r="BT33" s="109" t="n"/>
      <c r="BU33" s="110" t="n"/>
      <c r="BV33" s="186" t="n"/>
      <c r="BW33" s="112" t="n"/>
      <c r="BX33" s="113" t="n"/>
      <c r="BY33" s="112" t="n"/>
      <c r="BZ33" s="113" t="n"/>
      <c r="CA33" s="112" t="n"/>
      <c r="CB33" s="113" t="n"/>
      <c r="CC33" s="112" t="n"/>
      <c r="CD33" s="113" t="n"/>
      <c r="CE33" s="112" t="n"/>
      <c r="CF33" s="113" t="n"/>
      <c r="CG33" s="112" t="n"/>
      <c r="CH33" s="113" t="n"/>
      <c r="CI33" s="112" t="n"/>
      <c r="CJ33" s="113" t="n"/>
      <c r="CK33" s="112" t="n"/>
      <c r="CL33" s="113" t="n"/>
      <c r="CM33" s="187" t="n"/>
      <c r="CN33" s="115" t="n"/>
      <c r="CO33" s="116" t="n"/>
      <c r="CP33" s="115" t="n"/>
      <c r="CQ33" s="116" t="n"/>
      <c r="CR33" s="115" t="n"/>
      <c r="CS33" s="116" t="n"/>
      <c r="CT33" s="115" t="n"/>
      <c r="CU33" s="116" t="n"/>
      <c r="CV33" s="115" t="n"/>
      <c r="CW33" s="116" t="n"/>
      <c r="CX33" s="115" t="n"/>
      <c r="CY33" s="116" t="n"/>
      <c r="CZ33" s="115" t="n"/>
      <c r="DA33" s="116" t="n"/>
      <c r="DB33" s="115" t="n"/>
      <c r="DC33" s="116" t="n"/>
      <c r="DD33" s="188" t="n"/>
      <c r="DE33" s="118" t="n"/>
      <c r="DF33" s="119" t="n"/>
      <c r="DG33" s="118" t="n"/>
      <c r="DH33" s="119" t="n"/>
      <c r="DI33" s="118" t="n"/>
      <c r="DJ33" s="119" t="n"/>
      <c r="DK33" s="118" t="n"/>
      <c r="DL33" s="119" t="n"/>
      <c r="DM33" s="118" t="n"/>
      <c r="DN33" s="119" t="n"/>
      <c r="DO33" s="118" t="n"/>
      <c r="DP33" s="119" t="n"/>
      <c r="DQ33" s="118" t="n"/>
      <c r="DR33" s="119" t="n"/>
      <c r="DS33" s="118" t="n"/>
      <c r="DT33" s="119" t="n"/>
      <c r="DU33" s="189" t="n"/>
      <c r="DV33" s="121" t="n"/>
      <c r="DW33" s="122" t="n"/>
      <c r="DX33" s="121" t="n"/>
      <c r="DY33" s="122" t="n"/>
      <c r="DZ33" s="121" t="n"/>
      <c r="EA33" s="122" t="n"/>
      <c r="EB33" s="121" t="n"/>
      <c r="EC33" s="122" t="n"/>
      <c r="ED33" s="121" t="n"/>
      <c r="EE33" s="122" t="n"/>
      <c r="EF33" s="121" t="n"/>
      <c r="EG33" s="122" t="n"/>
      <c r="EH33" s="121" t="n"/>
      <c r="EI33" s="122" t="n"/>
      <c r="EJ33" s="121" t="n"/>
      <c r="EK33" s="122" t="n"/>
      <c r="EL33" s="190" t="n"/>
      <c r="EM33" s="124" t="n"/>
      <c r="EN33" s="125" t="n"/>
      <c r="EO33" s="124" t="n"/>
      <c r="EP33" s="125" t="n"/>
      <c r="EQ33" s="124" t="n"/>
      <c r="ER33" s="125" t="n"/>
      <c r="ES33" s="124" t="n"/>
      <c r="ET33" s="125" t="n"/>
      <c r="EU33" s="124" t="n"/>
      <c r="EV33" s="125" t="n"/>
      <c r="EW33" s="124" t="n"/>
      <c r="EX33" s="125" t="n"/>
      <c r="EY33" s="124" t="n"/>
      <c r="EZ33" s="125" t="n"/>
      <c r="FA33" s="124" t="n"/>
      <c r="FB33" s="125" t="n"/>
      <c r="FC33" s="191" t="n"/>
      <c r="FD33" s="127" t="n"/>
      <c r="FE33" s="128" t="n"/>
      <c r="FF33" s="127" t="n"/>
      <c r="FG33" s="128" t="n"/>
      <c r="FH33" s="127" t="n"/>
      <c r="FI33" s="128" t="n"/>
      <c r="FJ33" s="127" t="n"/>
      <c r="FK33" s="128" t="n"/>
      <c r="FL33" s="127" t="n"/>
      <c r="FM33" s="128" t="n"/>
      <c r="FN33" s="127" t="n"/>
      <c r="FO33" s="128" t="n"/>
      <c r="FP33" s="127" t="n"/>
      <c r="FQ33" s="128" t="n"/>
      <c r="FR33" s="127" t="n"/>
      <c r="FS33" s="128" t="n"/>
      <c r="FT33" s="192" t="n"/>
      <c r="FU33" s="130" t="n"/>
      <c r="FV33" s="131" t="n"/>
      <c r="FW33" s="130" t="n"/>
      <c r="FX33" s="131" t="n"/>
      <c r="FY33" s="130" t="n"/>
      <c r="FZ33" s="131" t="n"/>
      <c r="GA33" s="130" t="n"/>
      <c r="GB33" s="131" t="n"/>
      <c r="GC33" s="130" t="n"/>
      <c r="GD33" s="131" t="n"/>
      <c r="GE33" s="130" t="n"/>
      <c r="GF33" s="131" t="n"/>
      <c r="GG33" s="130" t="n"/>
      <c r="GH33" s="131" t="n"/>
      <c r="GI33" s="130" t="n"/>
      <c r="GJ33" s="131" t="n"/>
      <c r="GK33" s="193" t="n"/>
      <c r="GL33" s="133" t="n"/>
      <c r="GM33" s="134" t="n"/>
      <c r="GN33" s="133" t="n"/>
      <c r="GO33" s="134" t="n"/>
      <c r="GP33" s="133" t="n"/>
      <c r="GQ33" s="134" t="n"/>
      <c r="GR33" s="133" t="n"/>
      <c r="GS33" s="134" t="n"/>
      <c r="GT33" s="133" t="n"/>
      <c r="GU33" s="134" t="n"/>
      <c r="GV33" s="133" t="n"/>
      <c r="GW33" s="134" t="n"/>
      <c r="GX33" s="133" t="n"/>
      <c r="GY33" s="134" t="n"/>
      <c r="GZ33" s="133" t="n"/>
      <c r="HA33" s="134" t="n"/>
      <c r="HB33" s="194" t="n"/>
      <c r="HC33">
        <f>SUMIFS($G33:$HB33,$G$46:$HB$46,"&gt;="&amp;$HD$1,$G$46:$HB$46,"&lt;="&amp;$HD$2,$G$29:$HB$29,"&lt;&gt;ملاحظات",$G$28:$HB$28,"&gt;0")</f>
        <v>0</v>
      </c>
      <c r="HD33">
        <f>SUMIFS($G$28:$HB$28,$G$46:$HB$46,"&gt;="&amp;$HD$1,$G$46:$HB$46,"&lt;="&amp;$HD$2,$G$29:$HB$29,"&lt;&gt;ملاحظات",$G33:$HB33,"&gt;=0")</f>
        <v>0</v>
      </c>
    </row>
    <row r="34" ht="22.5" customHeight="1">
      <c r="A34" s="36" t="n">
        <v>5</v>
      </c>
      <c r="B34" s="181" t="str">
        <f>IF($B9="","",$B9)</f>
        <v/>
      </c>
      <c r="C34" s="136" t="str">
        <f>IF(OR($B34="",$HD34=0),"",ROUND($HC34,2)&amp;" / "&amp;$HD34)</f>
        <v/>
      </c>
      <c r="D34" s="182" t="str">
        <f>IF(OR($B34="",$HD34=0),"",$HC34/$HD34)</f>
        <v/>
      </c>
      <c r="E34" s="98" t="str">
        <f>IF($D34="","",RANK($D34,$D$30:$D$44))</f>
        <v/>
      </c>
      <c r="F34" s="99" t="str">
        <f>IF($D34="","",IF($D34&gt;=0.85,"ممتاز",IF($D34&gt;=0.75,"جيد جداً",IF($D34&gt;=0.65,"جيد",IF($D34&gt;=0.5,"مقبول","ضعيف")))))</f>
        <v/>
      </c>
      <c r="G34" s="100" t="n"/>
      <c r="H34" s="101" t="n"/>
      <c r="I34" s="100" t="n"/>
      <c r="J34" s="101" t="n"/>
      <c r="K34" s="100" t="n"/>
      <c r="L34" s="101" t="n"/>
      <c r="M34" s="100" t="n"/>
      <c r="N34" s="101" t="n"/>
      <c r="O34" s="100" t="n"/>
      <c r="P34" s="101" t="n"/>
      <c r="Q34" s="100" t="n"/>
      <c r="R34" s="101" t="n"/>
      <c r="S34" s="100" t="n"/>
      <c r="T34" s="101" t="n"/>
      <c r="U34" s="100" t="n"/>
      <c r="V34" s="101" t="n"/>
      <c r="W34" s="183" t="n"/>
      <c r="X34" s="103" t="n"/>
      <c r="Y34" s="104" t="n"/>
      <c r="Z34" s="103" t="n"/>
      <c r="AA34" s="104" t="n"/>
      <c r="AB34" s="103" t="n"/>
      <c r="AC34" s="104" t="n"/>
      <c r="AD34" s="103" t="n"/>
      <c r="AE34" s="104" t="n"/>
      <c r="AF34" s="103" t="n"/>
      <c r="AG34" s="104" t="n"/>
      <c r="AH34" s="103" t="n"/>
      <c r="AI34" s="104" t="n"/>
      <c r="AJ34" s="103" t="n"/>
      <c r="AK34" s="104" t="n"/>
      <c r="AL34" s="103" t="n"/>
      <c r="AM34" s="104" t="n"/>
      <c r="AN34" s="184" t="n"/>
      <c r="AO34" s="106" t="n"/>
      <c r="AP34" s="107" t="n"/>
      <c r="AQ34" s="106" t="n"/>
      <c r="AR34" s="107" t="n"/>
      <c r="AS34" s="106" t="n"/>
      <c r="AT34" s="107" t="n"/>
      <c r="AU34" s="106" t="n"/>
      <c r="AV34" s="107" t="n"/>
      <c r="AW34" s="106" t="n"/>
      <c r="AX34" s="107" t="n"/>
      <c r="AY34" s="106" t="n"/>
      <c r="AZ34" s="107" t="n"/>
      <c r="BA34" s="106" t="n"/>
      <c r="BB34" s="107" t="n"/>
      <c r="BC34" s="106" t="n"/>
      <c r="BD34" s="107" t="n"/>
      <c r="BE34" s="185" t="n"/>
      <c r="BF34" s="109" t="n"/>
      <c r="BG34" s="110" t="n"/>
      <c r="BH34" s="109" t="n"/>
      <c r="BI34" s="110" t="n"/>
      <c r="BJ34" s="109" t="n"/>
      <c r="BK34" s="110" t="n"/>
      <c r="BL34" s="109" t="n"/>
      <c r="BM34" s="110" t="n"/>
      <c r="BN34" s="109" t="n"/>
      <c r="BO34" s="110" t="n"/>
      <c r="BP34" s="109" t="n"/>
      <c r="BQ34" s="110" t="n"/>
      <c r="BR34" s="109" t="n"/>
      <c r="BS34" s="110" t="n"/>
      <c r="BT34" s="109" t="n"/>
      <c r="BU34" s="110" t="n"/>
      <c r="BV34" s="186" t="n"/>
      <c r="BW34" s="112" t="n"/>
      <c r="BX34" s="113" t="n"/>
      <c r="BY34" s="112" t="n"/>
      <c r="BZ34" s="113" t="n"/>
      <c r="CA34" s="112" t="n"/>
      <c r="CB34" s="113" t="n"/>
      <c r="CC34" s="112" t="n"/>
      <c r="CD34" s="113" t="n"/>
      <c r="CE34" s="112" t="n"/>
      <c r="CF34" s="113" t="n"/>
      <c r="CG34" s="112" t="n"/>
      <c r="CH34" s="113" t="n"/>
      <c r="CI34" s="112" t="n"/>
      <c r="CJ34" s="113" t="n"/>
      <c r="CK34" s="112" t="n"/>
      <c r="CL34" s="113" t="n"/>
      <c r="CM34" s="187" t="n"/>
      <c r="CN34" s="115" t="n"/>
      <c r="CO34" s="116" t="n"/>
      <c r="CP34" s="115" t="n"/>
      <c r="CQ34" s="116" t="n"/>
      <c r="CR34" s="115" t="n"/>
      <c r="CS34" s="116" t="n"/>
      <c r="CT34" s="115" t="n"/>
      <c r="CU34" s="116" t="n"/>
      <c r="CV34" s="115" t="n"/>
      <c r="CW34" s="116" t="n"/>
      <c r="CX34" s="115" t="n"/>
      <c r="CY34" s="116" t="n"/>
      <c r="CZ34" s="115" t="n"/>
      <c r="DA34" s="116" t="n"/>
      <c r="DB34" s="115" t="n"/>
      <c r="DC34" s="116" t="n"/>
      <c r="DD34" s="188" t="n"/>
      <c r="DE34" s="118" t="n"/>
      <c r="DF34" s="119" t="n"/>
      <c r="DG34" s="118" t="n"/>
      <c r="DH34" s="119" t="n"/>
      <c r="DI34" s="118" t="n"/>
      <c r="DJ34" s="119" t="n"/>
      <c r="DK34" s="118" t="n"/>
      <c r="DL34" s="119" t="n"/>
      <c r="DM34" s="118" t="n"/>
      <c r="DN34" s="119" t="n"/>
      <c r="DO34" s="118" t="n"/>
      <c r="DP34" s="119" t="n"/>
      <c r="DQ34" s="118" t="n"/>
      <c r="DR34" s="119" t="n"/>
      <c r="DS34" s="118" t="n"/>
      <c r="DT34" s="119" t="n"/>
      <c r="DU34" s="189" t="n"/>
      <c r="DV34" s="121" t="n"/>
      <c r="DW34" s="122" t="n"/>
      <c r="DX34" s="121" t="n"/>
      <c r="DY34" s="122" t="n"/>
      <c r="DZ34" s="121" t="n"/>
      <c r="EA34" s="122" t="n"/>
      <c r="EB34" s="121" t="n"/>
      <c r="EC34" s="122" t="n"/>
      <c r="ED34" s="121" t="n"/>
      <c r="EE34" s="122" t="n"/>
      <c r="EF34" s="121" t="n"/>
      <c r="EG34" s="122" t="n"/>
      <c r="EH34" s="121" t="n"/>
      <c r="EI34" s="122" t="n"/>
      <c r="EJ34" s="121" t="n"/>
      <c r="EK34" s="122" t="n"/>
      <c r="EL34" s="190" t="n"/>
      <c r="EM34" s="124" t="n"/>
      <c r="EN34" s="125" t="n"/>
      <c r="EO34" s="124" t="n"/>
      <c r="EP34" s="125" t="n"/>
      <c r="EQ34" s="124" t="n"/>
      <c r="ER34" s="125" t="n"/>
      <c r="ES34" s="124" t="n"/>
      <c r="ET34" s="125" t="n"/>
      <c r="EU34" s="124" t="n"/>
      <c r="EV34" s="125" t="n"/>
      <c r="EW34" s="124" t="n"/>
      <c r="EX34" s="125" t="n"/>
      <c r="EY34" s="124" t="n"/>
      <c r="EZ34" s="125" t="n"/>
      <c r="FA34" s="124" t="n"/>
      <c r="FB34" s="125" t="n"/>
      <c r="FC34" s="191" t="n"/>
      <c r="FD34" s="127" t="n"/>
      <c r="FE34" s="128" t="n"/>
      <c r="FF34" s="127" t="n"/>
      <c r="FG34" s="128" t="n"/>
      <c r="FH34" s="127" t="n"/>
      <c r="FI34" s="128" t="n"/>
      <c r="FJ34" s="127" t="n"/>
      <c r="FK34" s="128" t="n"/>
      <c r="FL34" s="127" t="n"/>
      <c r="FM34" s="128" t="n"/>
      <c r="FN34" s="127" t="n"/>
      <c r="FO34" s="128" t="n"/>
      <c r="FP34" s="127" t="n"/>
      <c r="FQ34" s="128" t="n"/>
      <c r="FR34" s="127" t="n"/>
      <c r="FS34" s="128" t="n"/>
      <c r="FT34" s="192" t="n"/>
      <c r="FU34" s="130" t="n"/>
      <c r="FV34" s="131" t="n"/>
      <c r="FW34" s="130" t="n"/>
      <c r="FX34" s="131" t="n"/>
      <c r="FY34" s="130" t="n"/>
      <c r="FZ34" s="131" t="n"/>
      <c r="GA34" s="130" t="n"/>
      <c r="GB34" s="131" t="n"/>
      <c r="GC34" s="130" t="n"/>
      <c r="GD34" s="131" t="n"/>
      <c r="GE34" s="130" t="n"/>
      <c r="GF34" s="131" t="n"/>
      <c r="GG34" s="130" t="n"/>
      <c r="GH34" s="131" t="n"/>
      <c r="GI34" s="130" t="n"/>
      <c r="GJ34" s="131" t="n"/>
      <c r="GK34" s="193" t="n"/>
      <c r="GL34" s="133" t="n"/>
      <c r="GM34" s="134" t="n"/>
      <c r="GN34" s="133" t="n"/>
      <c r="GO34" s="134" t="n"/>
      <c r="GP34" s="133" t="n"/>
      <c r="GQ34" s="134" t="n"/>
      <c r="GR34" s="133" t="n"/>
      <c r="GS34" s="134" t="n"/>
      <c r="GT34" s="133" t="n"/>
      <c r="GU34" s="134" t="n"/>
      <c r="GV34" s="133" t="n"/>
      <c r="GW34" s="134" t="n"/>
      <c r="GX34" s="133" t="n"/>
      <c r="GY34" s="134" t="n"/>
      <c r="GZ34" s="133" t="n"/>
      <c r="HA34" s="134" t="n"/>
      <c r="HB34" s="194" t="n"/>
      <c r="HC34">
        <f>SUMIFS($G34:$HB34,$G$46:$HB$46,"&gt;="&amp;$HD$1,$G$46:$HB$46,"&lt;="&amp;$HD$2,$G$29:$HB$29,"&lt;&gt;ملاحظات",$G$28:$HB$28,"&gt;0")</f>
        <v>0</v>
      </c>
      <c r="HD34">
        <f>SUMIFS($G$28:$HB$28,$G$46:$HB$46,"&gt;="&amp;$HD$1,$G$46:$HB$46,"&lt;="&amp;$HD$2,$G$29:$HB$29,"&lt;&gt;ملاحظات",$G34:$HB34,"&gt;=0")</f>
        <v>0</v>
      </c>
    </row>
    <row r="35" ht="22.5" customHeight="1">
      <c r="A35" s="36" t="n">
        <v>6</v>
      </c>
      <c r="B35" s="181" t="str">
        <f>IF($B10="","",$B10)</f>
        <v/>
      </c>
      <c r="C35" s="136" t="str">
        <f>IF(OR($B35="",$HD35=0),"",ROUND($HC35,2)&amp;" / "&amp;$HD35)</f>
        <v/>
      </c>
      <c r="D35" s="182" t="str">
        <f>IF(OR($B35="",$HD35=0),"",$HC35/$HD35)</f>
        <v/>
      </c>
      <c r="E35" s="98" t="str">
        <f>IF($D35="","",RANK($D35,$D$30:$D$44))</f>
        <v/>
      </c>
      <c r="F35" s="99" t="str">
        <f>IF($D35="","",IF($D35&gt;=0.85,"ممتاز",IF($D35&gt;=0.75,"جيد جداً",IF($D35&gt;=0.65,"جيد",IF($D35&gt;=0.5,"مقبول","ضعيف")))))</f>
        <v/>
      </c>
      <c r="G35" s="100" t="n"/>
      <c r="H35" s="101" t="n"/>
      <c r="I35" s="100" t="n"/>
      <c r="J35" s="101" t="n"/>
      <c r="K35" s="100" t="n"/>
      <c r="L35" s="101" t="n"/>
      <c r="M35" s="100" t="n"/>
      <c r="N35" s="101" t="n"/>
      <c r="O35" s="100" t="n"/>
      <c r="P35" s="101" t="n"/>
      <c r="Q35" s="100" t="n"/>
      <c r="R35" s="101" t="n"/>
      <c r="S35" s="100" t="n"/>
      <c r="T35" s="101" t="n"/>
      <c r="U35" s="100" t="n"/>
      <c r="V35" s="101" t="n"/>
      <c r="W35" s="183" t="n"/>
      <c r="X35" s="103" t="n"/>
      <c r="Y35" s="104" t="n"/>
      <c r="Z35" s="103" t="n"/>
      <c r="AA35" s="104" t="n"/>
      <c r="AB35" s="103" t="n"/>
      <c r="AC35" s="104" t="n"/>
      <c r="AD35" s="103" t="n"/>
      <c r="AE35" s="104" t="n"/>
      <c r="AF35" s="103" t="n"/>
      <c r="AG35" s="104" t="n"/>
      <c r="AH35" s="103" t="n"/>
      <c r="AI35" s="104" t="n"/>
      <c r="AJ35" s="103" t="n"/>
      <c r="AK35" s="104" t="n"/>
      <c r="AL35" s="103" t="n"/>
      <c r="AM35" s="104" t="n"/>
      <c r="AN35" s="184" t="n"/>
      <c r="AO35" s="106" t="n"/>
      <c r="AP35" s="107" t="n"/>
      <c r="AQ35" s="106" t="n"/>
      <c r="AR35" s="107" t="n"/>
      <c r="AS35" s="106" t="n"/>
      <c r="AT35" s="107" t="n"/>
      <c r="AU35" s="106" t="n"/>
      <c r="AV35" s="107" t="n"/>
      <c r="AW35" s="106" t="n"/>
      <c r="AX35" s="107" t="n"/>
      <c r="AY35" s="106" t="n"/>
      <c r="AZ35" s="107" t="n"/>
      <c r="BA35" s="106" t="n"/>
      <c r="BB35" s="107" t="n"/>
      <c r="BC35" s="106" t="n"/>
      <c r="BD35" s="107" t="n"/>
      <c r="BE35" s="185" t="n"/>
      <c r="BF35" s="109" t="n"/>
      <c r="BG35" s="110" t="n"/>
      <c r="BH35" s="109" t="n"/>
      <c r="BI35" s="110" t="n"/>
      <c r="BJ35" s="109" t="n"/>
      <c r="BK35" s="110" t="n"/>
      <c r="BL35" s="109" t="n"/>
      <c r="BM35" s="110" t="n"/>
      <c r="BN35" s="109" t="n"/>
      <c r="BO35" s="110" t="n"/>
      <c r="BP35" s="109" t="n"/>
      <c r="BQ35" s="110" t="n"/>
      <c r="BR35" s="109" t="n"/>
      <c r="BS35" s="110" t="n"/>
      <c r="BT35" s="109" t="n"/>
      <c r="BU35" s="110" t="n"/>
      <c r="BV35" s="186" t="n"/>
      <c r="BW35" s="112" t="n"/>
      <c r="BX35" s="113" t="n"/>
      <c r="BY35" s="112" t="n"/>
      <c r="BZ35" s="113" t="n"/>
      <c r="CA35" s="112" t="n"/>
      <c r="CB35" s="113" t="n"/>
      <c r="CC35" s="112" t="n"/>
      <c r="CD35" s="113" t="n"/>
      <c r="CE35" s="112" t="n"/>
      <c r="CF35" s="113" t="n"/>
      <c r="CG35" s="112" t="n"/>
      <c r="CH35" s="113" t="n"/>
      <c r="CI35" s="112" t="n"/>
      <c r="CJ35" s="113" t="n"/>
      <c r="CK35" s="112" t="n"/>
      <c r="CL35" s="113" t="n"/>
      <c r="CM35" s="187" t="n"/>
      <c r="CN35" s="115" t="n"/>
      <c r="CO35" s="116" t="n"/>
      <c r="CP35" s="115" t="n"/>
      <c r="CQ35" s="116" t="n"/>
      <c r="CR35" s="115" t="n"/>
      <c r="CS35" s="116" t="n"/>
      <c r="CT35" s="115" t="n"/>
      <c r="CU35" s="116" t="n"/>
      <c r="CV35" s="115" t="n"/>
      <c r="CW35" s="116" t="n"/>
      <c r="CX35" s="115" t="n"/>
      <c r="CY35" s="116" t="n"/>
      <c r="CZ35" s="115" t="n"/>
      <c r="DA35" s="116" t="n"/>
      <c r="DB35" s="115" t="n"/>
      <c r="DC35" s="116" t="n"/>
      <c r="DD35" s="188" t="n"/>
      <c r="DE35" s="118" t="n"/>
      <c r="DF35" s="119" t="n"/>
      <c r="DG35" s="118" t="n"/>
      <c r="DH35" s="119" t="n"/>
      <c r="DI35" s="118" t="n"/>
      <c r="DJ35" s="119" t="n"/>
      <c r="DK35" s="118" t="n"/>
      <c r="DL35" s="119" t="n"/>
      <c r="DM35" s="118" t="n"/>
      <c r="DN35" s="119" t="n"/>
      <c r="DO35" s="118" t="n"/>
      <c r="DP35" s="119" t="n"/>
      <c r="DQ35" s="118" t="n"/>
      <c r="DR35" s="119" t="n"/>
      <c r="DS35" s="118" t="n"/>
      <c r="DT35" s="119" t="n"/>
      <c r="DU35" s="189" t="n"/>
      <c r="DV35" s="121" t="n"/>
      <c r="DW35" s="122" t="n"/>
      <c r="DX35" s="121" t="n"/>
      <c r="DY35" s="122" t="n"/>
      <c r="DZ35" s="121" t="n"/>
      <c r="EA35" s="122" t="n"/>
      <c r="EB35" s="121" t="n"/>
      <c r="EC35" s="122" t="n"/>
      <c r="ED35" s="121" t="n"/>
      <c r="EE35" s="122" t="n"/>
      <c r="EF35" s="121" t="n"/>
      <c r="EG35" s="122" t="n"/>
      <c r="EH35" s="121" t="n"/>
      <c r="EI35" s="122" t="n"/>
      <c r="EJ35" s="121" t="n"/>
      <c r="EK35" s="122" t="n"/>
      <c r="EL35" s="190" t="n"/>
      <c r="EM35" s="124" t="n"/>
      <c r="EN35" s="125" t="n"/>
      <c r="EO35" s="124" t="n"/>
      <c r="EP35" s="125" t="n"/>
      <c r="EQ35" s="124" t="n"/>
      <c r="ER35" s="125" t="n"/>
      <c r="ES35" s="124" t="n"/>
      <c r="ET35" s="125" t="n"/>
      <c r="EU35" s="124" t="n"/>
      <c r="EV35" s="125" t="n"/>
      <c r="EW35" s="124" t="n"/>
      <c r="EX35" s="125" t="n"/>
      <c r="EY35" s="124" t="n"/>
      <c r="EZ35" s="125" t="n"/>
      <c r="FA35" s="124" t="n"/>
      <c r="FB35" s="125" t="n"/>
      <c r="FC35" s="191" t="n"/>
      <c r="FD35" s="127" t="n"/>
      <c r="FE35" s="128" t="n"/>
      <c r="FF35" s="127" t="n"/>
      <c r="FG35" s="128" t="n"/>
      <c r="FH35" s="127" t="n"/>
      <c r="FI35" s="128" t="n"/>
      <c r="FJ35" s="127" t="n"/>
      <c r="FK35" s="128" t="n"/>
      <c r="FL35" s="127" t="n"/>
      <c r="FM35" s="128" t="n"/>
      <c r="FN35" s="127" t="n"/>
      <c r="FO35" s="128" t="n"/>
      <c r="FP35" s="127" t="n"/>
      <c r="FQ35" s="128" t="n"/>
      <c r="FR35" s="127" t="n"/>
      <c r="FS35" s="128" t="n"/>
      <c r="FT35" s="192" t="n"/>
      <c r="FU35" s="130" t="n"/>
      <c r="FV35" s="131" t="n"/>
      <c r="FW35" s="130" t="n"/>
      <c r="FX35" s="131" t="n"/>
      <c r="FY35" s="130" t="n"/>
      <c r="FZ35" s="131" t="n"/>
      <c r="GA35" s="130" t="n"/>
      <c r="GB35" s="131" t="n"/>
      <c r="GC35" s="130" t="n"/>
      <c r="GD35" s="131" t="n"/>
      <c r="GE35" s="130" t="n"/>
      <c r="GF35" s="131" t="n"/>
      <c r="GG35" s="130" t="n"/>
      <c r="GH35" s="131" t="n"/>
      <c r="GI35" s="130" t="n"/>
      <c r="GJ35" s="131" t="n"/>
      <c r="GK35" s="193" t="n"/>
      <c r="GL35" s="133" t="n"/>
      <c r="GM35" s="134" t="n"/>
      <c r="GN35" s="133" t="n"/>
      <c r="GO35" s="134" t="n"/>
      <c r="GP35" s="133" t="n"/>
      <c r="GQ35" s="134" t="n"/>
      <c r="GR35" s="133" t="n"/>
      <c r="GS35" s="134" t="n"/>
      <c r="GT35" s="133" t="n"/>
      <c r="GU35" s="134" t="n"/>
      <c r="GV35" s="133" t="n"/>
      <c r="GW35" s="134" t="n"/>
      <c r="GX35" s="133" t="n"/>
      <c r="GY35" s="134" t="n"/>
      <c r="GZ35" s="133" t="n"/>
      <c r="HA35" s="134" t="n"/>
      <c r="HB35" s="194" t="n"/>
      <c r="HC35">
        <f>SUMIFS($G35:$HB35,$G$46:$HB$46,"&gt;="&amp;$HD$1,$G$46:$HB$46,"&lt;="&amp;$HD$2,$G$29:$HB$29,"&lt;&gt;ملاحظات",$G$28:$HB$28,"&gt;0")</f>
        <v>0</v>
      </c>
      <c r="HD35">
        <f>SUMIFS($G$28:$HB$28,$G$46:$HB$46,"&gt;="&amp;$HD$1,$G$46:$HB$46,"&lt;="&amp;$HD$2,$G$29:$HB$29,"&lt;&gt;ملاحظات",$G35:$HB35,"&gt;=0")</f>
        <v>0</v>
      </c>
    </row>
    <row r="36" ht="22.5" customHeight="1">
      <c r="A36" s="36" t="n">
        <v>7</v>
      </c>
      <c r="B36" s="181" t="str">
        <f>IF($B11="","",$B11)</f>
        <v/>
      </c>
      <c r="C36" s="136" t="str">
        <f>IF(OR($B36="",$HD36=0),"",ROUND($HC36,2)&amp;" / "&amp;$HD36)</f>
        <v/>
      </c>
      <c r="D36" s="182" t="str">
        <f>IF(OR($B36="",$HD36=0),"",$HC36/$HD36)</f>
        <v/>
      </c>
      <c r="E36" s="98" t="str">
        <f>IF($D36="","",RANK($D36,$D$30:$D$44))</f>
        <v/>
      </c>
      <c r="F36" s="99" t="str">
        <f>IF($D36="","",IF($D36&gt;=0.85,"ممتاز",IF($D36&gt;=0.75,"جيد جداً",IF($D36&gt;=0.65,"جيد",IF($D36&gt;=0.5,"مقبول","ضعيف")))))</f>
        <v/>
      </c>
      <c r="G36" s="100" t="n"/>
      <c r="H36" s="101" t="n"/>
      <c r="I36" s="100" t="n"/>
      <c r="J36" s="101" t="n"/>
      <c r="K36" s="100" t="n"/>
      <c r="L36" s="101" t="n"/>
      <c r="M36" s="100" t="n"/>
      <c r="N36" s="101" t="n"/>
      <c r="O36" s="100" t="n"/>
      <c r="P36" s="101" t="n"/>
      <c r="Q36" s="100" t="n"/>
      <c r="R36" s="101" t="n"/>
      <c r="S36" s="100" t="n"/>
      <c r="T36" s="101" t="n"/>
      <c r="U36" s="100" t="n"/>
      <c r="V36" s="101" t="n"/>
      <c r="W36" s="183" t="n"/>
      <c r="X36" s="103" t="n"/>
      <c r="Y36" s="104" t="n"/>
      <c r="Z36" s="103" t="n"/>
      <c r="AA36" s="104" t="n"/>
      <c r="AB36" s="103" t="n"/>
      <c r="AC36" s="104" t="n"/>
      <c r="AD36" s="103" t="n"/>
      <c r="AE36" s="104" t="n"/>
      <c r="AF36" s="103" t="n"/>
      <c r="AG36" s="104" t="n"/>
      <c r="AH36" s="103" t="n"/>
      <c r="AI36" s="104" t="n"/>
      <c r="AJ36" s="103" t="n"/>
      <c r="AK36" s="104" t="n"/>
      <c r="AL36" s="103" t="n"/>
      <c r="AM36" s="104" t="n"/>
      <c r="AN36" s="184" t="n"/>
      <c r="AO36" s="106" t="n"/>
      <c r="AP36" s="107" t="n"/>
      <c r="AQ36" s="106" t="n"/>
      <c r="AR36" s="107" t="n"/>
      <c r="AS36" s="106" t="n"/>
      <c r="AT36" s="107" t="n"/>
      <c r="AU36" s="106" t="n"/>
      <c r="AV36" s="107" t="n"/>
      <c r="AW36" s="106" t="n"/>
      <c r="AX36" s="107" t="n"/>
      <c r="AY36" s="106" t="n"/>
      <c r="AZ36" s="107" t="n"/>
      <c r="BA36" s="106" t="n"/>
      <c r="BB36" s="107" t="n"/>
      <c r="BC36" s="106" t="n"/>
      <c r="BD36" s="107" t="n"/>
      <c r="BE36" s="185" t="n"/>
      <c r="BF36" s="109" t="n"/>
      <c r="BG36" s="110" t="n"/>
      <c r="BH36" s="109" t="n"/>
      <c r="BI36" s="110" t="n"/>
      <c r="BJ36" s="109" t="n"/>
      <c r="BK36" s="110" t="n"/>
      <c r="BL36" s="109" t="n"/>
      <c r="BM36" s="110" t="n"/>
      <c r="BN36" s="109" t="n"/>
      <c r="BO36" s="110" t="n"/>
      <c r="BP36" s="109" t="n"/>
      <c r="BQ36" s="110" t="n"/>
      <c r="BR36" s="109" t="n"/>
      <c r="BS36" s="110" t="n"/>
      <c r="BT36" s="109" t="n"/>
      <c r="BU36" s="110" t="n"/>
      <c r="BV36" s="186" t="n"/>
      <c r="BW36" s="112" t="n"/>
      <c r="BX36" s="113" t="n"/>
      <c r="BY36" s="112" t="n"/>
      <c r="BZ36" s="113" t="n"/>
      <c r="CA36" s="112" t="n"/>
      <c r="CB36" s="113" t="n"/>
      <c r="CC36" s="112" t="n"/>
      <c r="CD36" s="113" t="n"/>
      <c r="CE36" s="112" t="n"/>
      <c r="CF36" s="113" t="n"/>
      <c r="CG36" s="112" t="n"/>
      <c r="CH36" s="113" t="n"/>
      <c r="CI36" s="112" t="n"/>
      <c r="CJ36" s="113" t="n"/>
      <c r="CK36" s="112" t="n"/>
      <c r="CL36" s="113" t="n"/>
      <c r="CM36" s="187" t="n"/>
      <c r="CN36" s="115" t="n"/>
      <c r="CO36" s="116" t="n"/>
      <c r="CP36" s="115" t="n"/>
      <c r="CQ36" s="116" t="n"/>
      <c r="CR36" s="115" t="n"/>
      <c r="CS36" s="116" t="n"/>
      <c r="CT36" s="115" t="n"/>
      <c r="CU36" s="116" t="n"/>
      <c r="CV36" s="115" t="n"/>
      <c r="CW36" s="116" t="n"/>
      <c r="CX36" s="115" t="n"/>
      <c r="CY36" s="116" t="n"/>
      <c r="CZ36" s="115" t="n"/>
      <c r="DA36" s="116" t="n"/>
      <c r="DB36" s="115" t="n"/>
      <c r="DC36" s="116" t="n"/>
      <c r="DD36" s="188" t="n"/>
      <c r="DE36" s="118" t="n"/>
      <c r="DF36" s="119" t="n"/>
      <c r="DG36" s="118" t="n"/>
      <c r="DH36" s="119" t="n"/>
      <c r="DI36" s="118" t="n"/>
      <c r="DJ36" s="119" t="n"/>
      <c r="DK36" s="118" t="n"/>
      <c r="DL36" s="119" t="n"/>
      <c r="DM36" s="118" t="n"/>
      <c r="DN36" s="119" t="n"/>
      <c r="DO36" s="118" t="n"/>
      <c r="DP36" s="119" t="n"/>
      <c r="DQ36" s="118" t="n"/>
      <c r="DR36" s="119" t="n"/>
      <c r="DS36" s="118" t="n"/>
      <c r="DT36" s="119" t="n"/>
      <c r="DU36" s="189" t="n"/>
      <c r="DV36" s="121" t="n"/>
      <c r="DW36" s="122" t="n"/>
      <c r="DX36" s="121" t="n"/>
      <c r="DY36" s="122" t="n"/>
      <c r="DZ36" s="121" t="n"/>
      <c r="EA36" s="122" t="n"/>
      <c r="EB36" s="121" t="n"/>
      <c r="EC36" s="122" t="n"/>
      <c r="ED36" s="121" t="n"/>
      <c r="EE36" s="122" t="n"/>
      <c r="EF36" s="121" t="n"/>
      <c r="EG36" s="122" t="n"/>
      <c r="EH36" s="121" t="n"/>
      <c r="EI36" s="122" t="n"/>
      <c r="EJ36" s="121" t="n"/>
      <c r="EK36" s="122" t="n"/>
      <c r="EL36" s="190" t="n"/>
      <c r="EM36" s="124" t="n"/>
      <c r="EN36" s="125" t="n"/>
      <c r="EO36" s="124" t="n"/>
      <c r="EP36" s="125" t="n"/>
      <c r="EQ36" s="124" t="n"/>
      <c r="ER36" s="125" t="n"/>
      <c r="ES36" s="124" t="n"/>
      <c r="ET36" s="125" t="n"/>
      <c r="EU36" s="124" t="n"/>
      <c r="EV36" s="125" t="n"/>
      <c r="EW36" s="124" t="n"/>
      <c r="EX36" s="125" t="n"/>
      <c r="EY36" s="124" t="n"/>
      <c r="EZ36" s="125" t="n"/>
      <c r="FA36" s="124" t="n"/>
      <c r="FB36" s="125" t="n"/>
      <c r="FC36" s="191" t="n"/>
      <c r="FD36" s="127" t="n"/>
      <c r="FE36" s="128" t="n"/>
      <c r="FF36" s="127" t="n"/>
      <c r="FG36" s="128" t="n"/>
      <c r="FH36" s="127" t="n"/>
      <c r="FI36" s="128" t="n"/>
      <c r="FJ36" s="127" t="n"/>
      <c r="FK36" s="128" t="n"/>
      <c r="FL36" s="127" t="n"/>
      <c r="FM36" s="128" t="n"/>
      <c r="FN36" s="127" t="n"/>
      <c r="FO36" s="128" t="n"/>
      <c r="FP36" s="127" t="n"/>
      <c r="FQ36" s="128" t="n"/>
      <c r="FR36" s="127" t="n"/>
      <c r="FS36" s="128" t="n"/>
      <c r="FT36" s="192" t="n"/>
      <c r="FU36" s="130" t="n"/>
      <c r="FV36" s="131" t="n"/>
      <c r="FW36" s="130" t="n"/>
      <c r="FX36" s="131" t="n"/>
      <c r="FY36" s="130" t="n"/>
      <c r="FZ36" s="131" t="n"/>
      <c r="GA36" s="130" t="n"/>
      <c r="GB36" s="131" t="n"/>
      <c r="GC36" s="130" t="n"/>
      <c r="GD36" s="131" t="n"/>
      <c r="GE36" s="130" t="n"/>
      <c r="GF36" s="131" t="n"/>
      <c r="GG36" s="130" t="n"/>
      <c r="GH36" s="131" t="n"/>
      <c r="GI36" s="130" t="n"/>
      <c r="GJ36" s="131" t="n"/>
      <c r="GK36" s="193" t="n"/>
      <c r="GL36" s="133" t="n"/>
      <c r="GM36" s="134" t="n"/>
      <c r="GN36" s="133" t="n"/>
      <c r="GO36" s="134" t="n"/>
      <c r="GP36" s="133" t="n"/>
      <c r="GQ36" s="134" t="n"/>
      <c r="GR36" s="133" t="n"/>
      <c r="GS36" s="134" t="n"/>
      <c r="GT36" s="133" t="n"/>
      <c r="GU36" s="134" t="n"/>
      <c r="GV36" s="133" t="n"/>
      <c r="GW36" s="134" t="n"/>
      <c r="GX36" s="133" t="n"/>
      <c r="GY36" s="134" t="n"/>
      <c r="GZ36" s="133" t="n"/>
      <c r="HA36" s="134" t="n"/>
      <c r="HB36" s="194" t="n"/>
      <c r="HC36">
        <f>SUMIFS($G36:$HB36,$G$46:$HB$46,"&gt;="&amp;$HD$1,$G$46:$HB$46,"&lt;="&amp;$HD$2,$G$29:$HB$29,"&lt;&gt;ملاحظات",$G$28:$HB$28,"&gt;0")</f>
        <v>0</v>
      </c>
      <c r="HD36">
        <f>SUMIFS($G$28:$HB$28,$G$46:$HB$46,"&gt;="&amp;$HD$1,$G$46:$HB$46,"&lt;="&amp;$HD$2,$G$29:$HB$29,"&lt;&gt;ملاحظات",$G36:$HB36,"&gt;=0")</f>
        <v>0</v>
      </c>
    </row>
    <row r="37" ht="22.5" customHeight="1">
      <c r="A37" s="36" t="n">
        <v>8</v>
      </c>
      <c r="B37" s="181" t="str">
        <f>IF($B12="","",$B12)</f>
        <v/>
      </c>
      <c r="C37" s="136" t="str">
        <f>IF(OR($B37="",$HD37=0),"",ROUND($HC37,2)&amp;" / "&amp;$HD37)</f>
        <v/>
      </c>
      <c r="D37" s="182" t="str">
        <f>IF(OR($B37="",$HD37=0),"",$HC37/$HD37)</f>
        <v/>
      </c>
      <c r="E37" s="98" t="str">
        <f>IF($D37="","",RANK($D37,$D$30:$D$44))</f>
        <v/>
      </c>
      <c r="F37" s="99" t="str">
        <f>IF($D37="","",IF($D37&gt;=0.85,"ممتاز",IF($D37&gt;=0.75,"جيد جداً",IF($D37&gt;=0.65,"جيد",IF($D37&gt;=0.5,"مقبول","ضعيف")))))</f>
        <v/>
      </c>
      <c r="G37" s="100" t="n"/>
      <c r="H37" s="101" t="n"/>
      <c r="I37" s="100" t="n"/>
      <c r="J37" s="101" t="n"/>
      <c r="K37" s="100" t="n"/>
      <c r="L37" s="101" t="n"/>
      <c r="M37" s="100" t="n"/>
      <c r="N37" s="101" t="n"/>
      <c r="O37" s="100" t="n"/>
      <c r="P37" s="101" t="n"/>
      <c r="Q37" s="100" t="n"/>
      <c r="R37" s="101" t="n"/>
      <c r="S37" s="100" t="n"/>
      <c r="T37" s="101" t="n"/>
      <c r="U37" s="100" t="n"/>
      <c r="V37" s="101" t="n"/>
      <c r="W37" s="183" t="n"/>
      <c r="X37" s="103" t="n"/>
      <c r="Y37" s="104" t="n"/>
      <c r="Z37" s="103" t="n"/>
      <c r="AA37" s="104" t="n"/>
      <c r="AB37" s="103" t="n"/>
      <c r="AC37" s="104" t="n"/>
      <c r="AD37" s="103" t="n"/>
      <c r="AE37" s="104" t="n"/>
      <c r="AF37" s="103" t="n"/>
      <c r="AG37" s="104" t="n"/>
      <c r="AH37" s="103" t="n"/>
      <c r="AI37" s="104" t="n"/>
      <c r="AJ37" s="103" t="n"/>
      <c r="AK37" s="104" t="n"/>
      <c r="AL37" s="103" t="n"/>
      <c r="AM37" s="104" t="n"/>
      <c r="AN37" s="184" t="n"/>
      <c r="AO37" s="106" t="n"/>
      <c r="AP37" s="107" t="n"/>
      <c r="AQ37" s="106" t="n"/>
      <c r="AR37" s="107" t="n"/>
      <c r="AS37" s="106" t="n"/>
      <c r="AT37" s="107" t="n"/>
      <c r="AU37" s="106" t="n"/>
      <c r="AV37" s="107" t="n"/>
      <c r="AW37" s="106" t="n"/>
      <c r="AX37" s="107" t="n"/>
      <c r="AY37" s="106" t="n"/>
      <c r="AZ37" s="107" t="n"/>
      <c r="BA37" s="106" t="n"/>
      <c r="BB37" s="107" t="n"/>
      <c r="BC37" s="106" t="n"/>
      <c r="BD37" s="107" t="n"/>
      <c r="BE37" s="185" t="n"/>
      <c r="BF37" s="109" t="n"/>
      <c r="BG37" s="110" t="n"/>
      <c r="BH37" s="109" t="n"/>
      <c r="BI37" s="110" t="n"/>
      <c r="BJ37" s="109" t="n"/>
      <c r="BK37" s="110" t="n"/>
      <c r="BL37" s="109" t="n"/>
      <c r="BM37" s="110" t="n"/>
      <c r="BN37" s="109" t="n"/>
      <c r="BO37" s="110" t="n"/>
      <c r="BP37" s="109" t="n"/>
      <c r="BQ37" s="110" t="n"/>
      <c r="BR37" s="109" t="n"/>
      <c r="BS37" s="110" t="n"/>
      <c r="BT37" s="109" t="n"/>
      <c r="BU37" s="110" t="n"/>
      <c r="BV37" s="186" t="n"/>
      <c r="BW37" s="112" t="n"/>
      <c r="BX37" s="113" t="n"/>
      <c r="BY37" s="112" t="n"/>
      <c r="BZ37" s="113" t="n"/>
      <c r="CA37" s="112" t="n"/>
      <c r="CB37" s="113" t="n"/>
      <c r="CC37" s="112" t="n"/>
      <c r="CD37" s="113" t="n"/>
      <c r="CE37" s="112" t="n"/>
      <c r="CF37" s="113" t="n"/>
      <c r="CG37" s="112" t="n"/>
      <c r="CH37" s="113" t="n"/>
      <c r="CI37" s="112" t="n"/>
      <c r="CJ37" s="113" t="n"/>
      <c r="CK37" s="112" t="n"/>
      <c r="CL37" s="113" t="n"/>
      <c r="CM37" s="187" t="n"/>
      <c r="CN37" s="115" t="n"/>
      <c r="CO37" s="116" t="n"/>
      <c r="CP37" s="115" t="n"/>
      <c r="CQ37" s="116" t="n"/>
      <c r="CR37" s="115" t="n"/>
      <c r="CS37" s="116" t="n"/>
      <c r="CT37" s="115" t="n"/>
      <c r="CU37" s="116" t="n"/>
      <c r="CV37" s="115" t="n"/>
      <c r="CW37" s="116" t="n"/>
      <c r="CX37" s="115" t="n"/>
      <c r="CY37" s="116" t="n"/>
      <c r="CZ37" s="115" t="n"/>
      <c r="DA37" s="116" t="n"/>
      <c r="DB37" s="115" t="n"/>
      <c r="DC37" s="116" t="n"/>
      <c r="DD37" s="188" t="n"/>
      <c r="DE37" s="118" t="n"/>
      <c r="DF37" s="119" t="n"/>
      <c r="DG37" s="118" t="n"/>
      <c r="DH37" s="119" t="n"/>
      <c r="DI37" s="118" t="n"/>
      <c r="DJ37" s="119" t="n"/>
      <c r="DK37" s="118" t="n"/>
      <c r="DL37" s="119" t="n"/>
      <c r="DM37" s="118" t="n"/>
      <c r="DN37" s="119" t="n"/>
      <c r="DO37" s="118" t="n"/>
      <c r="DP37" s="119" t="n"/>
      <c r="DQ37" s="118" t="n"/>
      <c r="DR37" s="119" t="n"/>
      <c r="DS37" s="118" t="n"/>
      <c r="DT37" s="119" t="n"/>
      <c r="DU37" s="189" t="n"/>
      <c r="DV37" s="121" t="n"/>
      <c r="DW37" s="122" t="n"/>
      <c r="DX37" s="121" t="n"/>
      <c r="DY37" s="122" t="n"/>
      <c r="DZ37" s="121" t="n"/>
      <c r="EA37" s="122" t="n"/>
      <c r="EB37" s="121" t="n"/>
      <c r="EC37" s="122" t="n"/>
      <c r="ED37" s="121" t="n"/>
      <c r="EE37" s="122" t="n"/>
      <c r="EF37" s="121" t="n"/>
      <c r="EG37" s="122" t="n"/>
      <c r="EH37" s="121" t="n"/>
      <c r="EI37" s="122" t="n"/>
      <c r="EJ37" s="121" t="n"/>
      <c r="EK37" s="122" t="n"/>
      <c r="EL37" s="190" t="n"/>
      <c r="EM37" s="124" t="n"/>
      <c r="EN37" s="125" t="n"/>
      <c r="EO37" s="124" t="n"/>
      <c r="EP37" s="125" t="n"/>
      <c r="EQ37" s="124" t="n"/>
      <c r="ER37" s="125" t="n"/>
      <c r="ES37" s="124" t="n"/>
      <c r="ET37" s="125" t="n"/>
      <c r="EU37" s="124" t="n"/>
      <c r="EV37" s="125" t="n"/>
      <c r="EW37" s="124" t="n"/>
      <c r="EX37" s="125" t="n"/>
      <c r="EY37" s="124" t="n"/>
      <c r="EZ37" s="125" t="n"/>
      <c r="FA37" s="124" t="n"/>
      <c r="FB37" s="125" t="n"/>
      <c r="FC37" s="191" t="n"/>
      <c r="FD37" s="127" t="n"/>
      <c r="FE37" s="128" t="n"/>
      <c r="FF37" s="127" t="n"/>
      <c r="FG37" s="128" t="n"/>
      <c r="FH37" s="127" t="n"/>
      <c r="FI37" s="128" t="n"/>
      <c r="FJ37" s="127" t="n"/>
      <c r="FK37" s="128" t="n"/>
      <c r="FL37" s="127" t="n"/>
      <c r="FM37" s="128" t="n"/>
      <c r="FN37" s="127" t="n"/>
      <c r="FO37" s="128" t="n"/>
      <c r="FP37" s="127" t="n"/>
      <c r="FQ37" s="128" t="n"/>
      <c r="FR37" s="127" t="n"/>
      <c r="FS37" s="128" t="n"/>
      <c r="FT37" s="192" t="n"/>
      <c r="FU37" s="130" t="n"/>
      <c r="FV37" s="131" t="n"/>
      <c r="FW37" s="130" t="n"/>
      <c r="FX37" s="131" t="n"/>
      <c r="FY37" s="130" t="n"/>
      <c r="FZ37" s="131" t="n"/>
      <c r="GA37" s="130" t="n"/>
      <c r="GB37" s="131" t="n"/>
      <c r="GC37" s="130" t="n"/>
      <c r="GD37" s="131" t="n"/>
      <c r="GE37" s="130" t="n"/>
      <c r="GF37" s="131" t="n"/>
      <c r="GG37" s="130" t="n"/>
      <c r="GH37" s="131" t="n"/>
      <c r="GI37" s="130" t="n"/>
      <c r="GJ37" s="131" t="n"/>
      <c r="GK37" s="193" t="n"/>
      <c r="GL37" s="133" t="n"/>
      <c r="GM37" s="134" t="n"/>
      <c r="GN37" s="133" t="n"/>
      <c r="GO37" s="134" t="n"/>
      <c r="GP37" s="133" t="n"/>
      <c r="GQ37" s="134" t="n"/>
      <c r="GR37" s="133" t="n"/>
      <c r="GS37" s="134" t="n"/>
      <c r="GT37" s="133" t="n"/>
      <c r="GU37" s="134" t="n"/>
      <c r="GV37" s="133" t="n"/>
      <c r="GW37" s="134" t="n"/>
      <c r="GX37" s="133" t="n"/>
      <c r="GY37" s="134" t="n"/>
      <c r="GZ37" s="133" t="n"/>
      <c r="HA37" s="134" t="n"/>
      <c r="HB37" s="194" t="n"/>
      <c r="HC37">
        <f>SUMIFS($G37:$HB37,$G$46:$HB$46,"&gt;="&amp;$HD$1,$G$46:$HB$46,"&lt;="&amp;$HD$2,$G$29:$HB$29,"&lt;&gt;ملاحظات",$G$28:$HB$28,"&gt;0")</f>
        <v>0</v>
      </c>
      <c r="HD37">
        <f>SUMIFS($G$28:$HB$28,$G$46:$HB$46,"&gt;="&amp;$HD$1,$G$46:$HB$46,"&lt;="&amp;$HD$2,$G$29:$HB$29,"&lt;&gt;ملاحظات",$G37:$HB37,"&gt;=0")</f>
        <v>0</v>
      </c>
    </row>
    <row r="38" ht="22.5" customHeight="1">
      <c r="A38" s="36" t="n">
        <v>9</v>
      </c>
      <c r="B38" s="181" t="str">
        <f>IF($B13="","",$B13)</f>
        <v/>
      </c>
      <c r="C38" s="136" t="str">
        <f>IF(OR($B38="",$HD38=0),"",ROUND($HC38,2)&amp;" / "&amp;$HD38)</f>
        <v/>
      </c>
      <c r="D38" s="182" t="str">
        <f>IF(OR($B38="",$HD38=0),"",$HC38/$HD38)</f>
        <v/>
      </c>
      <c r="E38" s="98" t="str">
        <f>IF($D38="","",RANK($D38,$D$30:$D$44))</f>
        <v/>
      </c>
      <c r="F38" s="99" t="str">
        <f>IF($D38="","",IF($D38&gt;=0.85,"ممتاز",IF($D38&gt;=0.75,"جيد جداً",IF($D38&gt;=0.65,"جيد",IF($D38&gt;=0.5,"مقبول","ضعيف")))))</f>
        <v/>
      </c>
      <c r="G38" s="100" t="n"/>
      <c r="H38" s="101" t="n"/>
      <c r="I38" s="100" t="n"/>
      <c r="J38" s="101" t="n"/>
      <c r="K38" s="100" t="n"/>
      <c r="L38" s="101" t="n"/>
      <c r="M38" s="100" t="n"/>
      <c r="N38" s="101" t="n"/>
      <c r="O38" s="100" t="n"/>
      <c r="P38" s="101" t="n"/>
      <c r="Q38" s="100" t="n"/>
      <c r="R38" s="101" t="n"/>
      <c r="S38" s="100" t="n"/>
      <c r="T38" s="101" t="n"/>
      <c r="U38" s="100" t="n"/>
      <c r="V38" s="101" t="n"/>
      <c r="W38" s="183" t="n"/>
      <c r="X38" s="103" t="n"/>
      <c r="Y38" s="104" t="n"/>
      <c r="Z38" s="103" t="n"/>
      <c r="AA38" s="104" t="n"/>
      <c r="AB38" s="103" t="n"/>
      <c r="AC38" s="104" t="n"/>
      <c r="AD38" s="103" t="n"/>
      <c r="AE38" s="104" t="n"/>
      <c r="AF38" s="103" t="n"/>
      <c r="AG38" s="104" t="n"/>
      <c r="AH38" s="103" t="n"/>
      <c r="AI38" s="104" t="n"/>
      <c r="AJ38" s="103" t="n"/>
      <c r="AK38" s="104" t="n"/>
      <c r="AL38" s="103" t="n"/>
      <c r="AM38" s="104" t="n"/>
      <c r="AN38" s="184" t="n"/>
      <c r="AO38" s="106" t="n"/>
      <c r="AP38" s="107" t="n"/>
      <c r="AQ38" s="106" t="n"/>
      <c r="AR38" s="107" t="n"/>
      <c r="AS38" s="106" t="n"/>
      <c r="AT38" s="107" t="n"/>
      <c r="AU38" s="106" t="n"/>
      <c r="AV38" s="107" t="n"/>
      <c r="AW38" s="106" t="n"/>
      <c r="AX38" s="107" t="n"/>
      <c r="AY38" s="106" t="n"/>
      <c r="AZ38" s="107" t="n"/>
      <c r="BA38" s="106" t="n"/>
      <c r="BB38" s="107" t="n"/>
      <c r="BC38" s="106" t="n"/>
      <c r="BD38" s="107" t="n"/>
      <c r="BE38" s="185" t="n"/>
      <c r="BF38" s="109" t="n"/>
      <c r="BG38" s="110" t="n"/>
      <c r="BH38" s="109" t="n"/>
      <c r="BI38" s="110" t="n"/>
      <c r="BJ38" s="109" t="n"/>
      <c r="BK38" s="110" t="n"/>
      <c r="BL38" s="109" t="n"/>
      <c r="BM38" s="110" t="n"/>
      <c r="BN38" s="109" t="n"/>
      <c r="BO38" s="110" t="n"/>
      <c r="BP38" s="109" t="n"/>
      <c r="BQ38" s="110" t="n"/>
      <c r="BR38" s="109" t="n"/>
      <c r="BS38" s="110" t="n"/>
      <c r="BT38" s="109" t="n"/>
      <c r="BU38" s="110" t="n"/>
      <c r="BV38" s="186" t="n"/>
      <c r="BW38" s="112" t="n"/>
      <c r="BX38" s="113" t="n"/>
      <c r="BY38" s="112" t="n"/>
      <c r="BZ38" s="113" t="n"/>
      <c r="CA38" s="112" t="n"/>
      <c r="CB38" s="113" t="n"/>
      <c r="CC38" s="112" t="n"/>
      <c r="CD38" s="113" t="n"/>
      <c r="CE38" s="112" t="n"/>
      <c r="CF38" s="113" t="n"/>
      <c r="CG38" s="112" t="n"/>
      <c r="CH38" s="113" t="n"/>
      <c r="CI38" s="112" t="n"/>
      <c r="CJ38" s="113" t="n"/>
      <c r="CK38" s="112" t="n"/>
      <c r="CL38" s="113" t="n"/>
      <c r="CM38" s="187" t="n"/>
      <c r="CN38" s="115" t="n"/>
      <c r="CO38" s="116" t="n"/>
      <c r="CP38" s="115" t="n"/>
      <c r="CQ38" s="116" t="n"/>
      <c r="CR38" s="115" t="n"/>
      <c r="CS38" s="116" t="n"/>
      <c r="CT38" s="115" t="n"/>
      <c r="CU38" s="116" t="n"/>
      <c r="CV38" s="115" t="n"/>
      <c r="CW38" s="116" t="n"/>
      <c r="CX38" s="115" t="n"/>
      <c r="CY38" s="116" t="n"/>
      <c r="CZ38" s="115" t="n"/>
      <c r="DA38" s="116" t="n"/>
      <c r="DB38" s="115" t="n"/>
      <c r="DC38" s="116" t="n"/>
      <c r="DD38" s="188" t="n"/>
      <c r="DE38" s="118" t="n"/>
      <c r="DF38" s="119" t="n"/>
      <c r="DG38" s="118" t="n"/>
      <c r="DH38" s="119" t="n"/>
      <c r="DI38" s="118" t="n"/>
      <c r="DJ38" s="119" t="n"/>
      <c r="DK38" s="118" t="n"/>
      <c r="DL38" s="119" t="n"/>
      <c r="DM38" s="118" t="n"/>
      <c r="DN38" s="119" t="n"/>
      <c r="DO38" s="118" t="n"/>
      <c r="DP38" s="119" t="n"/>
      <c r="DQ38" s="118" t="n"/>
      <c r="DR38" s="119" t="n"/>
      <c r="DS38" s="118" t="n"/>
      <c r="DT38" s="119" t="n"/>
      <c r="DU38" s="189" t="n"/>
      <c r="DV38" s="121" t="n"/>
      <c r="DW38" s="122" t="n"/>
      <c r="DX38" s="121" t="n"/>
      <c r="DY38" s="122" t="n"/>
      <c r="DZ38" s="121" t="n"/>
      <c r="EA38" s="122" t="n"/>
      <c r="EB38" s="121" t="n"/>
      <c r="EC38" s="122" t="n"/>
      <c r="ED38" s="121" t="n"/>
      <c r="EE38" s="122" t="n"/>
      <c r="EF38" s="121" t="n"/>
      <c r="EG38" s="122" t="n"/>
      <c r="EH38" s="121" t="n"/>
      <c r="EI38" s="122" t="n"/>
      <c r="EJ38" s="121" t="n"/>
      <c r="EK38" s="122" t="n"/>
      <c r="EL38" s="190" t="n"/>
      <c r="EM38" s="124" t="n"/>
      <c r="EN38" s="125" t="n"/>
      <c r="EO38" s="124" t="n"/>
      <c r="EP38" s="125" t="n"/>
      <c r="EQ38" s="124" t="n"/>
      <c r="ER38" s="125" t="n"/>
      <c r="ES38" s="124" t="n"/>
      <c r="ET38" s="125" t="n"/>
      <c r="EU38" s="124" t="n"/>
      <c r="EV38" s="125" t="n"/>
      <c r="EW38" s="124" t="n"/>
      <c r="EX38" s="125" t="n"/>
      <c r="EY38" s="124" t="n"/>
      <c r="EZ38" s="125" t="n"/>
      <c r="FA38" s="124" t="n"/>
      <c r="FB38" s="125" t="n"/>
      <c r="FC38" s="191" t="n"/>
      <c r="FD38" s="127" t="n"/>
      <c r="FE38" s="128" t="n"/>
      <c r="FF38" s="127" t="n"/>
      <c r="FG38" s="128" t="n"/>
      <c r="FH38" s="127" t="n"/>
      <c r="FI38" s="128" t="n"/>
      <c r="FJ38" s="127" t="n"/>
      <c r="FK38" s="128" t="n"/>
      <c r="FL38" s="127" t="n"/>
      <c r="FM38" s="128" t="n"/>
      <c r="FN38" s="127" t="n"/>
      <c r="FO38" s="128" t="n"/>
      <c r="FP38" s="127" t="n"/>
      <c r="FQ38" s="128" t="n"/>
      <c r="FR38" s="127" t="n"/>
      <c r="FS38" s="128" t="n"/>
      <c r="FT38" s="192" t="n"/>
      <c r="FU38" s="130" t="n"/>
      <c r="FV38" s="131" t="n"/>
      <c r="FW38" s="130" t="n"/>
      <c r="FX38" s="131" t="n"/>
      <c r="FY38" s="130" t="n"/>
      <c r="FZ38" s="131" t="n"/>
      <c r="GA38" s="130" t="n"/>
      <c r="GB38" s="131" t="n"/>
      <c r="GC38" s="130" t="n"/>
      <c r="GD38" s="131" t="n"/>
      <c r="GE38" s="130" t="n"/>
      <c r="GF38" s="131" t="n"/>
      <c r="GG38" s="130" t="n"/>
      <c r="GH38" s="131" t="n"/>
      <c r="GI38" s="130" t="n"/>
      <c r="GJ38" s="131" t="n"/>
      <c r="GK38" s="193" t="n"/>
      <c r="GL38" s="133" t="n"/>
      <c r="GM38" s="134" t="n"/>
      <c r="GN38" s="133" t="n"/>
      <c r="GO38" s="134" t="n"/>
      <c r="GP38" s="133" t="n"/>
      <c r="GQ38" s="134" t="n"/>
      <c r="GR38" s="133" t="n"/>
      <c r="GS38" s="134" t="n"/>
      <c r="GT38" s="133" t="n"/>
      <c r="GU38" s="134" t="n"/>
      <c r="GV38" s="133" t="n"/>
      <c r="GW38" s="134" t="n"/>
      <c r="GX38" s="133" t="n"/>
      <c r="GY38" s="134" t="n"/>
      <c r="GZ38" s="133" t="n"/>
      <c r="HA38" s="134" t="n"/>
      <c r="HB38" s="194" t="n"/>
      <c r="HC38">
        <f>SUMIFS($G38:$HB38,$G$46:$HB$46,"&gt;="&amp;$HD$1,$G$46:$HB$46,"&lt;="&amp;$HD$2,$G$29:$HB$29,"&lt;&gt;ملاحظات",$G$28:$HB$28,"&gt;0")</f>
        <v>0</v>
      </c>
      <c r="HD38">
        <f>SUMIFS($G$28:$HB$28,$G$46:$HB$46,"&gt;="&amp;$HD$1,$G$46:$HB$46,"&lt;="&amp;$HD$2,$G$29:$HB$29,"&lt;&gt;ملاحظات",$G38:$HB38,"&gt;=0")</f>
        <v>0</v>
      </c>
    </row>
    <row r="39" ht="22.5" customHeight="1">
      <c r="A39" s="36" t="n">
        <v>10</v>
      </c>
      <c r="B39" s="181" t="str">
        <f>IF($B14="","",$B14)</f>
        <v/>
      </c>
      <c r="C39" s="136" t="str">
        <f>IF(OR($B39="",$HD39=0),"",ROUND($HC39,2)&amp;" / "&amp;$HD39)</f>
        <v/>
      </c>
      <c r="D39" s="182" t="str">
        <f>IF(OR($B39="",$HD39=0),"",$HC39/$HD39)</f>
        <v/>
      </c>
      <c r="E39" s="98" t="str">
        <f>IF($D39="","",RANK($D39,$D$30:$D$44))</f>
        <v/>
      </c>
      <c r="F39" s="99" t="str">
        <f>IF($D39="","",IF($D39&gt;=0.85,"ممتاز",IF($D39&gt;=0.75,"جيد جداً",IF($D39&gt;=0.65,"جيد",IF($D39&gt;=0.5,"مقبول","ضعيف")))))</f>
        <v/>
      </c>
      <c r="G39" s="100" t="n"/>
      <c r="H39" s="101" t="n"/>
      <c r="I39" s="100" t="n"/>
      <c r="J39" s="101" t="n"/>
      <c r="K39" s="100" t="n"/>
      <c r="L39" s="101" t="n"/>
      <c r="M39" s="100" t="n"/>
      <c r="N39" s="101" t="n"/>
      <c r="O39" s="100" t="n"/>
      <c r="P39" s="101" t="n"/>
      <c r="Q39" s="100" t="n"/>
      <c r="R39" s="101" t="n"/>
      <c r="S39" s="100" t="n"/>
      <c r="T39" s="101" t="n"/>
      <c r="U39" s="100" t="n"/>
      <c r="V39" s="101" t="n"/>
      <c r="W39" s="183" t="n"/>
      <c r="X39" s="103" t="n"/>
      <c r="Y39" s="104" t="n"/>
      <c r="Z39" s="103" t="n"/>
      <c r="AA39" s="104" t="n"/>
      <c r="AB39" s="103" t="n"/>
      <c r="AC39" s="104" t="n"/>
      <c r="AD39" s="103" t="n"/>
      <c r="AE39" s="104" t="n"/>
      <c r="AF39" s="103" t="n"/>
      <c r="AG39" s="104" t="n"/>
      <c r="AH39" s="103" t="n"/>
      <c r="AI39" s="104" t="n"/>
      <c r="AJ39" s="103" t="n"/>
      <c r="AK39" s="104" t="n"/>
      <c r="AL39" s="103" t="n"/>
      <c r="AM39" s="104" t="n"/>
      <c r="AN39" s="184" t="n"/>
      <c r="AO39" s="106" t="n"/>
      <c r="AP39" s="107" t="n"/>
      <c r="AQ39" s="106" t="n"/>
      <c r="AR39" s="107" t="n"/>
      <c r="AS39" s="106" t="n"/>
      <c r="AT39" s="107" t="n"/>
      <c r="AU39" s="106" t="n"/>
      <c r="AV39" s="107" t="n"/>
      <c r="AW39" s="106" t="n"/>
      <c r="AX39" s="107" t="n"/>
      <c r="AY39" s="106" t="n"/>
      <c r="AZ39" s="107" t="n"/>
      <c r="BA39" s="106" t="n"/>
      <c r="BB39" s="107" t="n"/>
      <c r="BC39" s="106" t="n"/>
      <c r="BD39" s="107" t="n"/>
      <c r="BE39" s="185" t="n"/>
      <c r="BF39" s="109" t="n"/>
      <c r="BG39" s="110" t="n"/>
      <c r="BH39" s="109" t="n"/>
      <c r="BI39" s="110" t="n"/>
      <c r="BJ39" s="109" t="n"/>
      <c r="BK39" s="110" t="n"/>
      <c r="BL39" s="109" t="n"/>
      <c r="BM39" s="110" t="n"/>
      <c r="BN39" s="109" t="n"/>
      <c r="BO39" s="110" t="n"/>
      <c r="BP39" s="109" t="n"/>
      <c r="BQ39" s="110" t="n"/>
      <c r="BR39" s="109" t="n"/>
      <c r="BS39" s="110" t="n"/>
      <c r="BT39" s="109" t="n"/>
      <c r="BU39" s="110" t="n"/>
      <c r="BV39" s="186" t="n"/>
      <c r="BW39" s="112" t="n"/>
      <c r="BX39" s="113" t="n"/>
      <c r="BY39" s="112" t="n"/>
      <c r="BZ39" s="113" t="n"/>
      <c r="CA39" s="112" t="n"/>
      <c r="CB39" s="113" t="n"/>
      <c r="CC39" s="112" t="n"/>
      <c r="CD39" s="113" t="n"/>
      <c r="CE39" s="112" t="n"/>
      <c r="CF39" s="113" t="n"/>
      <c r="CG39" s="112" t="n"/>
      <c r="CH39" s="113" t="n"/>
      <c r="CI39" s="112" t="n"/>
      <c r="CJ39" s="113" t="n"/>
      <c r="CK39" s="112" t="n"/>
      <c r="CL39" s="113" t="n"/>
      <c r="CM39" s="187" t="n"/>
      <c r="CN39" s="115" t="n"/>
      <c r="CO39" s="116" t="n"/>
      <c r="CP39" s="115" t="n"/>
      <c r="CQ39" s="116" t="n"/>
      <c r="CR39" s="115" t="n"/>
      <c r="CS39" s="116" t="n"/>
      <c r="CT39" s="115" t="n"/>
      <c r="CU39" s="116" t="n"/>
      <c r="CV39" s="115" t="n"/>
      <c r="CW39" s="116" t="n"/>
      <c r="CX39" s="115" t="n"/>
      <c r="CY39" s="116" t="n"/>
      <c r="CZ39" s="115" t="n"/>
      <c r="DA39" s="116" t="n"/>
      <c r="DB39" s="115" t="n"/>
      <c r="DC39" s="116" t="n"/>
      <c r="DD39" s="188" t="n"/>
      <c r="DE39" s="118" t="n"/>
      <c r="DF39" s="119" t="n"/>
      <c r="DG39" s="118" t="n"/>
      <c r="DH39" s="119" t="n"/>
      <c r="DI39" s="118" t="n"/>
      <c r="DJ39" s="119" t="n"/>
      <c r="DK39" s="118" t="n"/>
      <c r="DL39" s="119" t="n"/>
      <c r="DM39" s="118" t="n"/>
      <c r="DN39" s="119" t="n"/>
      <c r="DO39" s="118" t="n"/>
      <c r="DP39" s="119" t="n"/>
      <c r="DQ39" s="118" t="n"/>
      <c r="DR39" s="119" t="n"/>
      <c r="DS39" s="118" t="n"/>
      <c r="DT39" s="119" t="n"/>
      <c r="DU39" s="189" t="n"/>
      <c r="DV39" s="121" t="n"/>
      <c r="DW39" s="122" t="n"/>
      <c r="DX39" s="121" t="n"/>
      <c r="DY39" s="122" t="n"/>
      <c r="DZ39" s="121" t="n"/>
      <c r="EA39" s="122" t="n"/>
      <c r="EB39" s="121" t="n"/>
      <c r="EC39" s="122" t="n"/>
      <c r="ED39" s="121" t="n"/>
      <c r="EE39" s="122" t="n"/>
      <c r="EF39" s="121" t="n"/>
      <c r="EG39" s="122" t="n"/>
      <c r="EH39" s="121" t="n"/>
      <c r="EI39" s="122" t="n"/>
      <c r="EJ39" s="121" t="n"/>
      <c r="EK39" s="122" t="n"/>
      <c r="EL39" s="190" t="n"/>
      <c r="EM39" s="124" t="n"/>
      <c r="EN39" s="125" t="n"/>
      <c r="EO39" s="124" t="n"/>
      <c r="EP39" s="125" t="n"/>
      <c r="EQ39" s="124" t="n"/>
      <c r="ER39" s="125" t="n"/>
      <c r="ES39" s="124" t="n"/>
      <c r="ET39" s="125" t="n"/>
      <c r="EU39" s="124" t="n"/>
      <c r="EV39" s="125" t="n"/>
      <c r="EW39" s="124" t="n"/>
      <c r="EX39" s="125" t="n"/>
      <c r="EY39" s="124" t="n"/>
      <c r="EZ39" s="125" t="n"/>
      <c r="FA39" s="124" t="n"/>
      <c r="FB39" s="125" t="n"/>
      <c r="FC39" s="191" t="n"/>
      <c r="FD39" s="127" t="n"/>
      <c r="FE39" s="128" t="n"/>
      <c r="FF39" s="127" t="n"/>
      <c r="FG39" s="128" t="n"/>
      <c r="FH39" s="127" t="n"/>
      <c r="FI39" s="128" t="n"/>
      <c r="FJ39" s="127" t="n"/>
      <c r="FK39" s="128" t="n"/>
      <c r="FL39" s="127" t="n"/>
      <c r="FM39" s="128" t="n"/>
      <c r="FN39" s="127" t="n"/>
      <c r="FO39" s="128" t="n"/>
      <c r="FP39" s="127" t="n"/>
      <c r="FQ39" s="128" t="n"/>
      <c r="FR39" s="127" t="n"/>
      <c r="FS39" s="128" t="n"/>
      <c r="FT39" s="192" t="n"/>
      <c r="FU39" s="130" t="n"/>
      <c r="FV39" s="131" t="n"/>
      <c r="FW39" s="130" t="n"/>
      <c r="FX39" s="131" t="n"/>
      <c r="FY39" s="130" t="n"/>
      <c r="FZ39" s="131" t="n"/>
      <c r="GA39" s="130" t="n"/>
      <c r="GB39" s="131" t="n"/>
      <c r="GC39" s="130" t="n"/>
      <c r="GD39" s="131" t="n"/>
      <c r="GE39" s="130" t="n"/>
      <c r="GF39" s="131" t="n"/>
      <c r="GG39" s="130" t="n"/>
      <c r="GH39" s="131" t="n"/>
      <c r="GI39" s="130" t="n"/>
      <c r="GJ39" s="131" t="n"/>
      <c r="GK39" s="193" t="n"/>
      <c r="GL39" s="133" t="n"/>
      <c r="GM39" s="134" t="n"/>
      <c r="GN39" s="133" t="n"/>
      <c r="GO39" s="134" t="n"/>
      <c r="GP39" s="133" t="n"/>
      <c r="GQ39" s="134" t="n"/>
      <c r="GR39" s="133" t="n"/>
      <c r="GS39" s="134" t="n"/>
      <c r="GT39" s="133" t="n"/>
      <c r="GU39" s="134" t="n"/>
      <c r="GV39" s="133" t="n"/>
      <c r="GW39" s="134" t="n"/>
      <c r="GX39" s="133" t="n"/>
      <c r="GY39" s="134" t="n"/>
      <c r="GZ39" s="133" t="n"/>
      <c r="HA39" s="134" t="n"/>
      <c r="HB39" s="194" t="n"/>
      <c r="HC39">
        <f>SUMIFS($G39:$HB39,$G$46:$HB$46,"&gt;="&amp;$HD$1,$G$46:$HB$46,"&lt;="&amp;$HD$2,$G$29:$HB$29,"&lt;&gt;ملاحظات",$G$28:$HB$28,"&gt;0")</f>
        <v>0</v>
      </c>
      <c r="HD39">
        <f>SUMIFS($G$28:$HB$28,$G$46:$HB$46,"&gt;="&amp;$HD$1,$G$46:$HB$46,"&lt;="&amp;$HD$2,$G$29:$HB$29,"&lt;&gt;ملاحظات",$G39:$HB39,"&gt;=0")</f>
        <v>0</v>
      </c>
    </row>
    <row r="40" ht="22.5" customHeight="1">
      <c r="A40" s="36" t="n">
        <v>11</v>
      </c>
      <c r="B40" s="181" t="str">
        <f>IF($B15="","",$B15)</f>
        <v/>
      </c>
      <c r="C40" s="136" t="str">
        <f>IF(OR($B40="",$HD40=0),"",ROUND($HC40,2)&amp;" / "&amp;$HD40)</f>
        <v/>
      </c>
      <c r="D40" s="182" t="str">
        <f>IF(OR($B40="",$HD40=0),"",$HC40/$HD40)</f>
        <v/>
      </c>
      <c r="E40" s="98" t="str">
        <f>IF($D40="","",RANK($D40,$D$30:$D$44))</f>
        <v/>
      </c>
      <c r="F40" s="99" t="str">
        <f>IF($D40="","",IF($D40&gt;=0.85,"ممتاز",IF($D40&gt;=0.75,"جيد جداً",IF($D40&gt;=0.65,"جيد",IF($D40&gt;=0.5,"مقبول","ضعيف")))))</f>
        <v/>
      </c>
      <c r="G40" s="100" t="n"/>
      <c r="H40" s="101" t="n"/>
      <c r="I40" s="100" t="n"/>
      <c r="J40" s="101" t="n"/>
      <c r="K40" s="100" t="n"/>
      <c r="L40" s="101" t="n"/>
      <c r="M40" s="100" t="n"/>
      <c r="N40" s="101" t="n"/>
      <c r="O40" s="100" t="n"/>
      <c r="P40" s="101" t="n"/>
      <c r="Q40" s="100" t="n"/>
      <c r="R40" s="101" t="n"/>
      <c r="S40" s="100" t="n"/>
      <c r="T40" s="101" t="n"/>
      <c r="U40" s="100" t="n"/>
      <c r="V40" s="101" t="n"/>
      <c r="W40" s="183" t="n"/>
      <c r="X40" s="103" t="n"/>
      <c r="Y40" s="104" t="n"/>
      <c r="Z40" s="103" t="n"/>
      <c r="AA40" s="104" t="n"/>
      <c r="AB40" s="103" t="n"/>
      <c r="AC40" s="104" t="n"/>
      <c r="AD40" s="103" t="n"/>
      <c r="AE40" s="104" t="n"/>
      <c r="AF40" s="103" t="n"/>
      <c r="AG40" s="104" t="n"/>
      <c r="AH40" s="103" t="n"/>
      <c r="AI40" s="104" t="n"/>
      <c r="AJ40" s="103" t="n"/>
      <c r="AK40" s="104" t="n"/>
      <c r="AL40" s="103" t="n"/>
      <c r="AM40" s="104" t="n"/>
      <c r="AN40" s="184" t="n"/>
      <c r="AO40" s="106" t="n"/>
      <c r="AP40" s="107" t="n"/>
      <c r="AQ40" s="106" t="n"/>
      <c r="AR40" s="107" t="n"/>
      <c r="AS40" s="106" t="n"/>
      <c r="AT40" s="107" t="n"/>
      <c r="AU40" s="106" t="n"/>
      <c r="AV40" s="107" t="n"/>
      <c r="AW40" s="106" t="n"/>
      <c r="AX40" s="107" t="n"/>
      <c r="AY40" s="106" t="n"/>
      <c r="AZ40" s="107" t="n"/>
      <c r="BA40" s="106" t="n"/>
      <c r="BB40" s="107" t="n"/>
      <c r="BC40" s="106" t="n"/>
      <c r="BD40" s="107" t="n"/>
      <c r="BE40" s="185" t="n"/>
      <c r="BF40" s="109" t="n"/>
      <c r="BG40" s="110" t="n"/>
      <c r="BH40" s="109" t="n"/>
      <c r="BI40" s="110" t="n"/>
      <c r="BJ40" s="109" t="n"/>
      <c r="BK40" s="110" t="n"/>
      <c r="BL40" s="109" t="n"/>
      <c r="BM40" s="110" t="n"/>
      <c r="BN40" s="109" t="n"/>
      <c r="BO40" s="110" t="n"/>
      <c r="BP40" s="109" t="n"/>
      <c r="BQ40" s="110" t="n"/>
      <c r="BR40" s="109" t="n"/>
      <c r="BS40" s="110" t="n"/>
      <c r="BT40" s="109" t="n"/>
      <c r="BU40" s="110" t="n"/>
      <c r="BV40" s="186" t="n"/>
      <c r="BW40" s="112" t="n"/>
      <c r="BX40" s="113" t="n"/>
      <c r="BY40" s="112" t="n"/>
      <c r="BZ40" s="113" t="n"/>
      <c r="CA40" s="112" t="n"/>
      <c r="CB40" s="113" t="n"/>
      <c r="CC40" s="112" t="n"/>
      <c r="CD40" s="113" t="n"/>
      <c r="CE40" s="112" t="n"/>
      <c r="CF40" s="113" t="n"/>
      <c r="CG40" s="112" t="n"/>
      <c r="CH40" s="113" t="n"/>
      <c r="CI40" s="112" t="n"/>
      <c r="CJ40" s="113" t="n"/>
      <c r="CK40" s="112" t="n"/>
      <c r="CL40" s="113" t="n"/>
      <c r="CM40" s="187" t="n"/>
      <c r="CN40" s="115" t="n"/>
      <c r="CO40" s="116" t="n"/>
      <c r="CP40" s="115" t="n"/>
      <c r="CQ40" s="116" t="n"/>
      <c r="CR40" s="115" t="n"/>
      <c r="CS40" s="116" t="n"/>
      <c r="CT40" s="115" t="n"/>
      <c r="CU40" s="116" t="n"/>
      <c r="CV40" s="115" t="n"/>
      <c r="CW40" s="116" t="n"/>
      <c r="CX40" s="115" t="n"/>
      <c r="CY40" s="116" t="n"/>
      <c r="CZ40" s="115" t="n"/>
      <c r="DA40" s="116" t="n"/>
      <c r="DB40" s="115" t="n"/>
      <c r="DC40" s="116" t="n"/>
      <c r="DD40" s="188" t="n"/>
      <c r="DE40" s="118" t="n"/>
      <c r="DF40" s="119" t="n"/>
      <c r="DG40" s="118" t="n"/>
      <c r="DH40" s="119" t="n"/>
      <c r="DI40" s="118" t="n"/>
      <c r="DJ40" s="119" t="n"/>
      <c r="DK40" s="118" t="n"/>
      <c r="DL40" s="119" t="n"/>
      <c r="DM40" s="118" t="n"/>
      <c r="DN40" s="119" t="n"/>
      <c r="DO40" s="118" t="n"/>
      <c r="DP40" s="119" t="n"/>
      <c r="DQ40" s="118" t="n"/>
      <c r="DR40" s="119" t="n"/>
      <c r="DS40" s="118" t="n"/>
      <c r="DT40" s="119" t="n"/>
      <c r="DU40" s="189" t="n"/>
      <c r="DV40" s="121" t="n"/>
      <c r="DW40" s="122" t="n"/>
      <c r="DX40" s="121" t="n"/>
      <c r="DY40" s="122" t="n"/>
      <c r="DZ40" s="121" t="n"/>
      <c r="EA40" s="122" t="n"/>
      <c r="EB40" s="121" t="n"/>
      <c r="EC40" s="122" t="n"/>
      <c r="ED40" s="121" t="n"/>
      <c r="EE40" s="122" t="n"/>
      <c r="EF40" s="121" t="n"/>
      <c r="EG40" s="122" t="n"/>
      <c r="EH40" s="121" t="n"/>
      <c r="EI40" s="122" t="n"/>
      <c r="EJ40" s="121" t="n"/>
      <c r="EK40" s="122" t="n"/>
      <c r="EL40" s="190" t="n"/>
      <c r="EM40" s="124" t="n"/>
      <c r="EN40" s="125" t="n"/>
      <c r="EO40" s="124" t="n"/>
      <c r="EP40" s="125" t="n"/>
      <c r="EQ40" s="124" t="n"/>
      <c r="ER40" s="125" t="n"/>
      <c r="ES40" s="124" t="n"/>
      <c r="ET40" s="125" t="n"/>
      <c r="EU40" s="124" t="n"/>
      <c r="EV40" s="125" t="n"/>
      <c r="EW40" s="124" t="n"/>
      <c r="EX40" s="125" t="n"/>
      <c r="EY40" s="124" t="n"/>
      <c r="EZ40" s="125" t="n"/>
      <c r="FA40" s="124" t="n"/>
      <c r="FB40" s="125" t="n"/>
      <c r="FC40" s="191" t="n"/>
      <c r="FD40" s="127" t="n"/>
      <c r="FE40" s="128" t="n"/>
      <c r="FF40" s="127" t="n"/>
      <c r="FG40" s="128" t="n"/>
      <c r="FH40" s="127" t="n"/>
      <c r="FI40" s="128" t="n"/>
      <c r="FJ40" s="127" t="n"/>
      <c r="FK40" s="128" t="n"/>
      <c r="FL40" s="127" t="n"/>
      <c r="FM40" s="128" t="n"/>
      <c r="FN40" s="127" t="n"/>
      <c r="FO40" s="128" t="n"/>
      <c r="FP40" s="127" t="n"/>
      <c r="FQ40" s="128" t="n"/>
      <c r="FR40" s="127" t="n"/>
      <c r="FS40" s="128" t="n"/>
      <c r="FT40" s="192" t="n"/>
      <c r="FU40" s="130" t="n"/>
      <c r="FV40" s="131" t="n"/>
      <c r="FW40" s="130" t="n"/>
      <c r="FX40" s="131" t="n"/>
      <c r="FY40" s="130" t="n"/>
      <c r="FZ40" s="131" t="n"/>
      <c r="GA40" s="130" t="n"/>
      <c r="GB40" s="131" t="n"/>
      <c r="GC40" s="130" t="n"/>
      <c r="GD40" s="131" t="n"/>
      <c r="GE40" s="130" t="n"/>
      <c r="GF40" s="131" t="n"/>
      <c r="GG40" s="130" t="n"/>
      <c r="GH40" s="131" t="n"/>
      <c r="GI40" s="130" t="n"/>
      <c r="GJ40" s="131" t="n"/>
      <c r="GK40" s="193" t="n"/>
      <c r="GL40" s="133" t="n"/>
      <c r="GM40" s="134" t="n"/>
      <c r="GN40" s="133" t="n"/>
      <c r="GO40" s="134" t="n"/>
      <c r="GP40" s="133" t="n"/>
      <c r="GQ40" s="134" t="n"/>
      <c r="GR40" s="133" t="n"/>
      <c r="GS40" s="134" t="n"/>
      <c r="GT40" s="133" t="n"/>
      <c r="GU40" s="134" t="n"/>
      <c r="GV40" s="133" t="n"/>
      <c r="GW40" s="134" t="n"/>
      <c r="GX40" s="133" t="n"/>
      <c r="GY40" s="134" t="n"/>
      <c r="GZ40" s="133" t="n"/>
      <c r="HA40" s="134" t="n"/>
      <c r="HB40" s="194" t="n"/>
      <c r="HC40">
        <f>SUMIFS($G40:$HB40,$G$46:$HB$46,"&gt;="&amp;$HD$1,$G$46:$HB$46,"&lt;="&amp;$HD$2,$G$29:$HB$29,"&lt;&gt;ملاحظات",$G$28:$HB$28,"&gt;0")</f>
        <v>0</v>
      </c>
      <c r="HD40">
        <f>SUMIFS($G$28:$HB$28,$G$46:$HB$46,"&gt;="&amp;$HD$1,$G$46:$HB$46,"&lt;="&amp;$HD$2,$G$29:$HB$29,"&lt;&gt;ملاحظات",$G40:$HB40,"&gt;=0")</f>
        <v>0</v>
      </c>
    </row>
    <row r="41" ht="22.5" customHeight="1">
      <c r="A41" s="36" t="n">
        <v>12</v>
      </c>
      <c r="B41" s="181" t="str">
        <f>IF($B16="","",$B16)</f>
        <v/>
      </c>
      <c r="C41" s="136" t="str">
        <f>IF(OR($B41="",$HD41=0),"",ROUND($HC41,2)&amp;" / "&amp;$HD41)</f>
        <v/>
      </c>
      <c r="D41" s="182" t="str">
        <f>IF(OR($B41="",$HD41=0),"",$HC41/$HD41)</f>
        <v/>
      </c>
      <c r="E41" s="98" t="str">
        <f>IF($D41="","",RANK($D41,$D$30:$D$44))</f>
        <v/>
      </c>
      <c r="F41" s="99" t="str">
        <f>IF($D41="","",IF($D41&gt;=0.85,"ممتاز",IF($D41&gt;=0.75,"جيد جداً",IF($D41&gt;=0.65,"جيد",IF($D41&gt;=0.5,"مقبول","ضعيف")))))</f>
        <v/>
      </c>
      <c r="G41" s="100" t="n"/>
      <c r="H41" s="101" t="n"/>
      <c r="I41" s="100" t="n"/>
      <c r="J41" s="101" t="n"/>
      <c r="K41" s="100" t="n"/>
      <c r="L41" s="101" t="n"/>
      <c r="M41" s="100" t="n"/>
      <c r="N41" s="101" t="n"/>
      <c r="O41" s="100" t="n"/>
      <c r="P41" s="101" t="n"/>
      <c r="Q41" s="100" t="n"/>
      <c r="R41" s="101" t="n"/>
      <c r="S41" s="100" t="n"/>
      <c r="T41" s="101" t="n"/>
      <c r="U41" s="100" t="n"/>
      <c r="V41" s="101" t="n"/>
      <c r="W41" s="183" t="n"/>
      <c r="X41" s="103" t="n"/>
      <c r="Y41" s="104" t="n"/>
      <c r="Z41" s="103" t="n"/>
      <c r="AA41" s="104" t="n"/>
      <c r="AB41" s="103" t="n"/>
      <c r="AC41" s="104" t="n"/>
      <c r="AD41" s="103" t="n"/>
      <c r="AE41" s="104" t="n"/>
      <c r="AF41" s="103" t="n"/>
      <c r="AG41" s="104" t="n"/>
      <c r="AH41" s="103" t="n"/>
      <c r="AI41" s="104" t="n"/>
      <c r="AJ41" s="103" t="n"/>
      <c r="AK41" s="104" t="n"/>
      <c r="AL41" s="103" t="n"/>
      <c r="AM41" s="104" t="n"/>
      <c r="AN41" s="184" t="n"/>
      <c r="AO41" s="106" t="n"/>
      <c r="AP41" s="107" t="n"/>
      <c r="AQ41" s="106" t="n"/>
      <c r="AR41" s="107" t="n"/>
      <c r="AS41" s="106" t="n"/>
      <c r="AT41" s="107" t="n"/>
      <c r="AU41" s="106" t="n"/>
      <c r="AV41" s="107" t="n"/>
      <c r="AW41" s="106" t="n"/>
      <c r="AX41" s="107" t="n"/>
      <c r="AY41" s="106" t="n"/>
      <c r="AZ41" s="107" t="n"/>
      <c r="BA41" s="106" t="n"/>
      <c r="BB41" s="107" t="n"/>
      <c r="BC41" s="106" t="n"/>
      <c r="BD41" s="107" t="n"/>
      <c r="BE41" s="185" t="n"/>
      <c r="BF41" s="109" t="n"/>
      <c r="BG41" s="110" t="n"/>
      <c r="BH41" s="109" t="n"/>
      <c r="BI41" s="110" t="n"/>
      <c r="BJ41" s="109" t="n"/>
      <c r="BK41" s="110" t="n"/>
      <c r="BL41" s="109" t="n"/>
      <c r="BM41" s="110" t="n"/>
      <c r="BN41" s="109" t="n"/>
      <c r="BO41" s="110" t="n"/>
      <c r="BP41" s="109" t="n"/>
      <c r="BQ41" s="110" t="n"/>
      <c r="BR41" s="109" t="n"/>
      <c r="BS41" s="110" t="n"/>
      <c r="BT41" s="109" t="n"/>
      <c r="BU41" s="110" t="n"/>
      <c r="BV41" s="186" t="n"/>
      <c r="BW41" s="112" t="n"/>
      <c r="BX41" s="113" t="n"/>
      <c r="BY41" s="112" t="n"/>
      <c r="BZ41" s="113" t="n"/>
      <c r="CA41" s="112" t="n"/>
      <c r="CB41" s="113" t="n"/>
      <c r="CC41" s="112" t="n"/>
      <c r="CD41" s="113" t="n"/>
      <c r="CE41" s="112" t="n"/>
      <c r="CF41" s="113" t="n"/>
      <c r="CG41" s="112" t="n"/>
      <c r="CH41" s="113" t="n"/>
      <c r="CI41" s="112" t="n"/>
      <c r="CJ41" s="113" t="n"/>
      <c r="CK41" s="112" t="n"/>
      <c r="CL41" s="113" t="n"/>
      <c r="CM41" s="187" t="n"/>
      <c r="CN41" s="115" t="n"/>
      <c r="CO41" s="116" t="n"/>
      <c r="CP41" s="115" t="n"/>
      <c r="CQ41" s="116" t="n"/>
      <c r="CR41" s="115" t="n"/>
      <c r="CS41" s="116" t="n"/>
      <c r="CT41" s="115" t="n"/>
      <c r="CU41" s="116" t="n"/>
      <c r="CV41" s="115" t="n"/>
      <c r="CW41" s="116" t="n"/>
      <c r="CX41" s="115" t="n"/>
      <c r="CY41" s="116" t="n"/>
      <c r="CZ41" s="115" t="n"/>
      <c r="DA41" s="116" t="n"/>
      <c r="DB41" s="115" t="n"/>
      <c r="DC41" s="116" t="n"/>
      <c r="DD41" s="188" t="n"/>
      <c r="DE41" s="118" t="n"/>
      <c r="DF41" s="119" t="n"/>
      <c r="DG41" s="118" t="n"/>
      <c r="DH41" s="119" t="n"/>
      <c r="DI41" s="118" t="n"/>
      <c r="DJ41" s="119" t="n"/>
      <c r="DK41" s="118" t="n"/>
      <c r="DL41" s="119" t="n"/>
      <c r="DM41" s="118" t="n"/>
      <c r="DN41" s="119" t="n"/>
      <c r="DO41" s="118" t="n"/>
      <c r="DP41" s="119" t="n"/>
      <c r="DQ41" s="118" t="n"/>
      <c r="DR41" s="119" t="n"/>
      <c r="DS41" s="118" t="n"/>
      <c r="DT41" s="119" t="n"/>
      <c r="DU41" s="189" t="n"/>
      <c r="DV41" s="121" t="n"/>
      <c r="DW41" s="122" t="n"/>
      <c r="DX41" s="121" t="n"/>
      <c r="DY41" s="122" t="n"/>
      <c r="DZ41" s="121" t="n"/>
      <c r="EA41" s="122" t="n"/>
      <c r="EB41" s="121" t="n"/>
      <c r="EC41" s="122" t="n"/>
      <c r="ED41" s="121" t="n"/>
      <c r="EE41" s="122" t="n"/>
      <c r="EF41" s="121" t="n"/>
      <c r="EG41" s="122" t="n"/>
      <c r="EH41" s="121" t="n"/>
      <c r="EI41" s="122" t="n"/>
      <c r="EJ41" s="121" t="n"/>
      <c r="EK41" s="122" t="n"/>
      <c r="EL41" s="190" t="n"/>
      <c r="EM41" s="124" t="n"/>
      <c r="EN41" s="125" t="n"/>
      <c r="EO41" s="124" t="n"/>
      <c r="EP41" s="125" t="n"/>
      <c r="EQ41" s="124" t="n"/>
      <c r="ER41" s="125" t="n"/>
      <c r="ES41" s="124" t="n"/>
      <c r="ET41" s="125" t="n"/>
      <c r="EU41" s="124" t="n"/>
      <c r="EV41" s="125" t="n"/>
      <c r="EW41" s="124" t="n"/>
      <c r="EX41" s="125" t="n"/>
      <c r="EY41" s="124" t="n"/>
      <c r="EZ41" s="125" t="n"/>
      <c r="FA41" s="124" t="n"/>
      <c r="FB41" s="125" t="n"/>
      <c r="FC41" s="191" t="n"/>
      <c r="FD41" s="127" t="n"/>
      <c r="FE41" s="128" t="n"/>
      <c r="FF41" s="127" t="n"/>
      <c r="FG41" s="128" t="n"/>
      <c r="FH41" s="127" t="n"/>
      <c r="FI41" s="128" t="n"/>
      <c r="FJ41" s="127" t="n"/>
      <c r="FK41" s="128" t="n"/>
      <c r="FL41" s="127" t="n"/>
      <c r="FM41" s="128" t="n"/>
      <c r="FN41" s="127" t="n"/>
      <c r="FO41" s="128" t="n"/>
      <c r="FP41" s="127" t="n"/>
      <c r="FQ41" s="128" t="n"/>
      <c r="FR41" s="127" t="n"/>
      <c r="FS41" s="128" t="n"/>
      <c r="FT41" s="192" t="n"/>
      <c r="FU41" s="130" t="n"/>
      <c r="FV41" s="131" t="n"/>
      <c r="FW41" s="130" t="n"/>
      <c r="FX41" s="131" t="n"/>
      <c r="FY41" s="130" t="n"/>
      <c r="FZ41" s="131" t="n"/>
      <c r="GA41" s="130" t="n"/>
      <c r="GB41" s="131" t="n"/>
      <c r="GC41" s="130" t="n"/>
      <c r="GD41" s="131" t="n"/>
      <c r="GE41" s="130" t="n"/>
      <c r="GF41" s="131" t="n"/>
      <c r="GG41" s="130" t="n"/>
      <c r="GH41" s="131" t="n"/>
      <c r="GI41" s="130" t="n"/>
      <c r="GJ41" s="131" t="n"/>
      <c r="GK41" s="193" t="n"/>
      <c r="GL41" s="133" t="n"/>
      <c r="GM41" s="134" t="n"/>
      <c r="GN41" s="133" t="n"/>
      <c r="GO41" s="134" t="n"/>
      <c r="GP41" s="133" t="n"/>
      <c r="GQ41" s="134" t="n"/>
      <c r="GR41" s="133" t="n"/>
      <c r="GS41" s="134" t="n"/>
      <c r="GT41" s="133" t="n"/>
      <c r="GU41" s="134" t="n"/>
      <c r="GV41" s="133" t="n"/>
      <c r="GW41" s="134" t="n"/>
      <c r="GX41" s="133" t="n"/>
      <c r="GY41" s="134" t="n"/>
      <c r="GZ41" s="133" t="n"/>
      <c r="HA41" s="134" t="n"/>
      <c r="HB41" s="194" t="n"/>
      <c r="HC41">
        <f>SUMIFS($G41:$HB41,$G$46:$HB$46,"&gt;="&amp;$HD$1,$G$46:$HB$46,"&lt;="&amp;$HD$2,$G$29:$HB$29,"&lt;&gt;ملاحظات",$G$28:$HB$28,"&gt;0")</f>
        <v>0</v>
      </c>
      <c r="HD41">
        <f>SUMIFS($G$28:$HB$28,$G$46:$HB$46,"&gt;="&amp;$HD$1,$G$46:$HB$46,"&lt;="&amp;$HD$2,$G$29:$HB$29,"&lt;&gt;ملاحظات",$G41:$HB41,"&gt;=0")</f>
        <v>0</v>
      </c>
    </row>
    <row r="42" ht="22.5" customHeight="1">
      <c r="A42" s="36" t="n">
        <v>13</v>
      </c>
      <c r="B42" s="181" t="str">
        <f>IF($B17="","",$B17)</f>
        <v/>
      </c>
      <c r="C42" s="136" t="str">
        <f>IF(OR($B42="",$HD42=0),"",ROUND($HC42,2)&amp;" / "&amp;$HD42)</f>
        <v/>
      </c>
      <c r="D42" s="182" t="str">
        <f>IF(OR($B42="",$HD42=0),"",$HC42/$HD42)</f>
        <v/>
      </c>
      <c r="E42" s="98" t="str">
        <f>IF($D42="","",RANK($D42,$D$30:$D$44))</f>
        <v/>
      </c>
      <c r="F42" s="99" t="str">
        <f>IF($D42="","",IF($D42&gt;=0.85,"ممتاز",IF($D42&gt;=0.75,"جيد جداً",IF($D42&gt;=0.65,"جيد",IF($D42&gt;=0.5,"مقبول","ضعيف")))))</f>
        <v/>
      </c>
      <c r="G42" s="100" t="n"/>
      <c r="H42" s="101" t="n"/>
      <c r="I42" s="100" t="n"/>
      <c r="J42" s="101" t="n"/>
      <c r="K42" s="100" t="n"/>
      <c r="L42" s="101" t="n"/>
      <c r="M42" s="100" t="n"/>
      <c r="N42" s="101" t="n"/>
      <c r="O42" s="100" t="n"/>
      <c r="P42" s="101" t="n"/>
      <c r="Q42" s="100" t="n"/>
      <c r="R42" s="101" t="n"/>
      <c r="S42" s="100" t="n"/>
      <c r="T42" s="101" t="n"/>
      <c r="U42" s="100" t="n"/>
      <c r="V42" s="101" t="n"/>
      <c r="W42" s="183" t="n"/>
      <c r="X42" s="103" t="n"/>
      <c r="Y42" s="104" t="n"/>
      <c r="Z42" s="103" t="n"/>
      <c r="AA42" s="104" t="n"/>
      <c r="AB42" s="103" t="n"/>
      <c r="AC42" s="104" t="n"/>
      <c r="AD42" s="103" t="n"/>
      <c r="AE42" s="104" t="n"/>
      <c r="AF42" s="103" t="n"/>
      <c r="AG42" s="104" t="n"/>
      <c r="AH42" s="103" t="n"/>
      <c r="AI42" s="104" t="n"/>
      <c r="AJ42" s="103" t="n"/>
      <c r="AK42" s="104" t="n"/>
      <c r="AL42" s="103" t="n"/>
      <c r="AM42" s="104" t="n"/>
      <c r="AN42" s="184" t="n"/>
      <c r="AO42" s="106" t="n"/>
      <c r="AP42" s="107" t="n"/>
      <c r="AQ42" s="106" t="n"/>
      <c r="AR42" s="107" t="n"/>
      <c r="AS42" s="106" t="n"/>
      <c r="AT42" s="107" t="n"/>
      <c r="AU42" s="106" t="n"/>
      <c r="AV42" s="107" t="n"/>
      <c r="AW42" s="106" t="n"/>
      <c r="AX42" s="107" t="n"/>
      <c r="AY42" s="106" t="n"/>
      <c r="AZ42" s="107" t="n"/>
      <c r="BA42" s="106" t="n"/>
      <c r="BB42" s="107" t="n"/>
      <c r="BC42" s="106" t="n"/>
      <c r="BD42" s="107" t="n"/>
      <c r="BE42" s="185" t="n"/>
      <c r="BF42" s="109" t="n"/>
      <c r="BG42" s="110" t="n"/>
      <c r="BH42" s="109" t="n"/>
      <c r="BI42" s="110" t="n"/>
      <c r="BJ42" s="109" t="n"/>
      <c r="BK42" s="110" t="n"/>
      <c r="BL42" s="109" t="n"/>
      <c r="BM42" s="110" t="n"/>
      <c r="BN42" s="109" t="n"/>
      <c r="BO42" s="110" t="n"/>
      <c r="BP42" s="109" t="n"/>
      <c r="BQ42" s="110" t="n"/>
      <c r="BR42" s="109" t="n"/>
      <c r="BS42" s="110" t="n"/>
      <c r="BT42" s="109" t="n"/>
      <c r="BU42" s="110" t="n"/>
      <c r="BV42" s="186" t="n"/>
      <c r="BW42" s="112" t="n"/>
      <c r="BX42" s="113" t="n"/>
      <c r="BY42" s="112" t="n"/>
      <c r="BZ42" s="113" t="n"/>
      <c r="CA42" s="112" t="n"/>
      <c r="CB42" s="113" t="n"/>
      <c r="CC42" s="112" t="n"/>
      <c r="CD42" s="113" t="n"/>
      <c r="CE42" s="112" t="n"/>
      <c r="CF42" s="113" t="n"/>
      <c r="CG42" s="112" t="n"/>
      <c r="CH42" s="113" t="n"/>
      <c r="CI42" s="112" t="n"/>
      <c r="CJ42" s="113" t="n"/>
      <c r="CK42" s="112" t="n"/>
      <c r="CL42" s="113" t="n"/>
      <c r="CM42" s="187" t="n"/>
      <c r="CN42" s="115" t="n"/>
      <c r="CO42" s="116" t="n"/>
      <c r="CP42" s="115" t="n"/>
      <c r="CQ42" s="116" t="n"/>
      <c r="CR42" s="115" t="n"/>
      <c r="CS42" s="116" t="n"/>
      <c r="CT42" s="115" t="n"/>
      <c r="CU42" s="116" t="n"/>
      <c r="CV42" s="115" t="n"/>
      <c r="CW42" s="116" t="n"/>
      <c r="CX42" s="115" t="n"/>
      <c r="CY42" s="116" t="n"/>
      <c r="CZ42" s="115" t="n"/>
      <c r="DA42" s="116" t="n"/>
      <c r="DB42" s="115" t="n"/>
      <c r="DC42" s="116" t="n"/>
      <c r="DD42" s="188" t="n"/>
      <c r="DE42" s="118" t="n"/>
      <c r="DF42" s="119" t="n"/>
      <c r="DG42" s="118" t="n"/>
      <c r="DH42" s="119" t="n"/>
      <c r="DI42" s="118" t="n"/>
      <c r="DJ42" s="119" t="n"/>
      <c r="DK42" s="118" t="n"/>
      <c r="DL42" s="119" t="n"/>
      <c r="DM42" s="118" t="n"/>
      <c r="DN42" s="119" t="n"/>
      <c r="DO42" s="118" t="n"/>
      <c r="DP42" s="119" t="n"/>
      <c r="DQ42" s="118" t="n"/>
      <c r="DR42" s="119" t="n"/>
      <c r="DS42" s="118" t="n"/>
      <c r="DT42" s="119" t="n"/>
      <c r="DU42" s="189" t="n"/>
      <c r="DV42" s="121" t="n"/>
      <c r="DW42" s="122" t="n"/>
      <c r="DX42" s="121" t="n"/>
      <c r="DY42" s="122" t="n"/>
      <c r="DZ42" s="121" t="n"/>
      <c r="EA42" s="122" t="n"/>
      <c r="EB42" s="121" t="n"/>
      <c r="EC42" s="122" t="n"/>
      <c r="ED42" s="121" t="n"/>
      <c r="EE42" s="122" t="n"/>
      <c r="EF42" s="121" t="n"/>
      <c r="EG42" s="122" t="n"/>
      <c r="EH42" s="121" t="n"/>
      <c r="EI42" s="122" t="n"/>
      <c r="EJ42" s="121" t="n"/>
      <c r="EK42" s="122" t="n"/>
      <c r="EL42" s="190" t="n"/>
      <c r="EM42" s="124" t="n"/>
      <c r="EN42" s="125" t="n"/>
      <c r="EO42" s="124" t="n"/>
      <c r="EP42" s="125" t="n"/>
      <c r="EQ42" s="124" t="n"/>
      <c r="ER42" s="125" t="n"/>
      <c r="ES42" s="124" t="n"/>
      <c r="ET42" s="125" t="n"/>
      <c r="EU42" s="124" t="n"/>
      <c r="EV42" s="125" t="n"/>
      <c r="EW42" s="124" t="n"/>
      <c r="EX42" s="125" t="n"/>
      <c r="EY42" s="124" t="n"/>
      <c r="EZ42" s="125" t="n"/>
      <c r="FA42" s="124" t="n"/>
      <c r="FB42" s="125" t="n"/>
      <c r="FC42" s="191" t="n"/>
      <c r="FD42" s="127" t="n"/>
      <c r="FE42" s="128" t="n"/>
      <c r="FF42" s="127" t="n"/>
      <c r="FG42" s="128" t="n"/>
      <c r="FH42" s="127" t="n"/>
      <c r="FI42" s="128" t="n"/>
      <c r="FJ42" s="127" t="n"/>
      <c r="FK42" s="128" t="n"/>
      <c r="FL42" s="127" t="n"/>
      <c r="FM42" s="128" t="n"/>
      <c r="FN42" s="127" t="n"/>
      <c r="FO42" s="128" t="n"/>
      <c r="FP42" s="127" t="n"/>
      <c r="FQ42" s="128" t="n"/>
      <c r="FR42" s="127" t="n"/>
      <c r="FS42" s="128" t="n"/>
      <c r="FT42" s="192" t="n"/>
      <c r="FU42" s="130" t="n"/>
      <c r="FV42" s="131" t="n"/>
      <c r="FW42" s="130" t="n"/>
      <c r="FX42" s="131" t="n"/>
      <c r="FY42" s="130" t="n"/>
      <c r="FZ42" s="131" t="n"/>
      <c r="GA42" s="130" t="n"/>
      <c r="GB42" s="131" t="n"/>
      <c r="GC42" s="130" t="n"/>
      <c r="GD42" s="131" t="n"/>
      <c r="GE42" s="130" t="n"/>
      <c r="GF42" s="131" t="n"/>
      <c r="GG42" s="130" t="n"/>
      <c r="GH42" s="131" t="n"/>
      <c r="GI42" s="130" t="n"/>
      <c r="GJ42" s="131" t="n"/>
      <c r="GK42" s="193" t="n"/>
      <c r="GL42" s="133" t="n"/>
      <c r="GM42" s="134" t="n"/>
      <c r="GN42" s="133" t="n"/>
      <c r="GO42" s="134" t="n"/>
      <c r="GP42" s="133" t="n"/>
      <c r="GQ42" s="134" t="n"/>
      <c r="GR42" s="133" t="n"/>
      <c r="GS42" s="134" t="n"/>
      <c r="GT42" s="133" t="n"/>
      <c r="GU42" s="134" t="n"/>
      <c r="GV42" s="133" t="n"/>
      <c r="GW42" s="134" t="n"/>
      <c r="GX42" s="133" t="n"/>
      <c r="GY42" s="134" t="n"/>
      <c r="GZ42" s="133" t="n"/>
      <c r="HA42" s="134" t="n"/>
      <c r="HB42" s="194" t="n"/>
      <c r="HC42">
        <f>SUMIFS($G42:$HB42,$G$46:$HB$46,"&gt;="&amp;$HD$1,$G$46:$HB$46,"&lt;="&amp;$HD$2,$G$29:$HB$29,"&lt;&gt;ملاحظات",$G$28:$HB$28,"&gt;0")</f>
        <v>0</v>
      </c>
      <c r="HD42">
        <f>SUMIFS($G$28:$HB$28,$G$46:$HB$46,"&gt;="&amp;$HD$1,$G$46:$HB$46,"&lt;="&amp;$HD$2,$G$29:$HB$29,"&lt;&gt;ملاحظات",$G42:$HB42,"&gt;=0")</f>
        <v>0</v>
      </c>
    </row>
    <row r="43" ht="22.5" customHeight="1">
      <c r="A43" s="36" t="n">
        <v>14</v>
      </c>
      <c r="B43" s="181" t="str">
        <f>IF($B18="","",$B18)</f>
        <v/>
      </c>
      <c r="C43" s="136" t="str">
        <f>IF(OR($B43="",$HD43=0),"",ROUND($HC43,2)&amp;" / "&amp;$HD43)</f>
        <v/>
      </c>
      <c r="D43" s="182" t="str">
        <f>IF(OR($B43="",$HD43=0),"",$HC43/$HD43)</f>
        <v/>
      </c>
      <c r="E43" s="98" t="str">
        <f>IF($D43="","",RANK($D43,$D$30:$D$44))</f>
        <v/>
      </c>
      <c r="F43" s="99" t="str">
        <f>IF($D43="","",IF($D43&gt;=0.85,"ممتاز",IF($D43&gt;=0.75,"جيد جداً",IF($D43&gt;=0.65,"جيد",IF($D43&gt;=0.5,"مقبول","ضعيف")))))</f>
        <v/>
      </c>
      <c r="G43" s="100" t="n"/>
      <c r="H43" s="101" t="n"/>
      <c r="I43" s="100" t="n"/>
      <c r="J43" s="101" t="n"/>
      <c r="K43" s="100" t="n"/>
      <c r="L43" s="101" t="n"/>
      <c r="M43" s="100" t="n"/>
      <c r="N43" s="101" t="n"/>
      <c r="O43" s="100" t="n"/>
      <c r="P43" s="101" t="n"/>
      <c r="Q43" s="100" t="n"/>
      <c r="R43" s="101" t="n"/>
      <c r="S43" s="100" t="n"/>
      <c r="T43" s="101" t="n"/>
      <c r="U43" s="100" t="n"/>
      <c r="V43" s="101" t="n"/>
      <c r="W43" s="183" t="n"/>
      <c r="X43" s="103" t="n"/>
      <c r="Y43" s="104" t="n"/>
      <c r="Z43" s="103" t="n"/>
      <c r="AA43" s="104" t="n"/>
      <c r="AB43" s="103" t="n"/>
      <c r="AC43" s="104" t="n"/>
      <c r="AD43" s="103" t="n"/>
      <c r="AE43" s="104" t="n"/>
      <c r="AF43" s="103" t="n"/>
      <c r="AG43" s="104" t="n"/>
      <c r="AH43" s="103" t="n"/>
      <c r="AI43" s="104" t="n"/>
      <c r="AJ43" s="103" t="n"/>
      <c r="AK43" s="104" t="n"/>
      <c r="AL43" s="103" t="n"/>
      <c r="AM43" s="104" t="n"/>
      <c r="AN43" s="184" t="n"/>
      <c r="AO43" s="106" t="n"/>
      <c r="AP43" s="107" t="n"/>
      <c r="AQ43" s="106" t="n"/>
      <c r="AR43" s="107" t="n"/>
      <c r="AS43" s="106" t="n"/>
      <c r="AT43" s="107" t="n"/>
      <c r="AU43" s="106" t="n"/>
      <c r="AV43" s="107" t="n"/>
      <c r="AW43" s="106" t="n"/>
      <c r="AX43" s="107" t="n"/>
      <c r="AY43" s="106" t="n"/>
      <c r="AZ43" s="107" t="n"/>
      <c r="BA43" s="106" t="n"/>
      <c r="BB43" s="107" t="n"/>
      <c r="BC43" s="106" t="n"/>
      <c r="BD43" s="107" t="n"/>
      <c r="BE43" s="185" t="n"/>
      <c r="BF43" s="109" t="n"/>
      <c r="BG43" s="110" t="n"/>
      <c r="BH43" s="109" t="n"/>
      <c r="BI43" s="110" t="n"/>
      <c r="BJ43" s="109" t="n"/>
      <c r="BK43" s="110" t="n"/>
      <c r="BL43" s="109" t="n"/>
      <c r="BM43" s="110" t="n"/>
      <c r="BN43" s="109" t="n"/>
      <c r="BO43" s="110" t="n"/>
      <c r="BP43" s="109" t="n"/>
      <c r="BQ43" s="110" t="n"/>
      <c r="BR43" s="109" t="n"/>
      <c r="BS43" s="110" t="n"/>
      <c r="BT43" s="109" t="n"/>
      <c r="BU43" s="110" t="n"/>
      <c r="BV43" s="186" t="n"/>
      <c r="BW43" s="112" t="n"/>
      <c r="BX43" s="113" t="n"/>
      <c r="BY43" s="112" t="n"/>
      <c r="BZ43" s="113" t="n"/>
      <c r="CA43" s="112" t="n"/>
      <c r="CB43" s="113" t="n"/>
      <c r="CC43" s="112" t="n"/>
      <c r="CD43" s="113" t="n"/>
      <c r="CE43" s="112" t="n"/>
      <c r="CF43" s="113" t="n"/>
      <c r="CG43" s="112" t="n"/>
      <c r="CH43" s="113" t="n"/>
      <c r="CI43" s="112" t="n"/>
      <c r="CJ43" s="113" t="n"/>
      <c r="CK43" s="112" t="n"/>
      <c r="CL43" s="113" t="n"/>
      <c r="CM43" s="187" t="n"/>
      <c r="CN43" s="115" t="n"/>
      <c r="CO43" s="116" t="n"/>
      <c r="CP43" s="115" t="n"/>
      <c r="CQ43" s="116" t="n"/>
      <c r="CR43" s="115" t="n"/>
      <c r="CS43" s="116" t="n"/>
      <c r="CT43" s="115" t="n"/>
      <c r="CU43" s="116" t="n"/>
      <c r="CV43" s="115" t="n"/>
      <c r="CW43" s="116" t="n"/>
      <c r="CX43" s="115" t="n"/>
      <c r="CY43" s="116" t="n"/>
      <c r="CZ43" s="115" t="n"/>
      <c r="DA43" s="116" t="n"/>
      <c r="DB43" s="115" t="n"/>
      <c r="DC43" s="116" t="n"/>
      <c r="DD43" s="188" t="n"/>
      <c r="DE43" s="118" t="n"/>
      <c r="DF43" s="119" t="n"/>
      <c r="DG43" s="118" t="n"/>
      <c r="DH43" s="119" t="n"/>
      <c r="DI43" s="118" t="n"/>
      <c r="DJ43" s="119" t="n"/>
      <c r="DK43" s="118" t="n"/>
      <c r="DL43" s="119" t="n"/>
      <c r="DM43" s="118" t="n"/>
      <c r="DN43" s="119" t="n"/>
      <c r="DO43" s="118" t="n"/>
      <c r="DP43" s="119" t="n"/>
      <c r="DQ43" s="118" t="n"/>
      <c r="DR43" s="119" t="n"/>
      <c r="DS43" s="118" t="n"/>
      <c r="DT43" s="119" t="n"/>
      <c r="DU43" s="189" t="n"/>
      <c r="DV43" s="121" t="n"/>
      <c r="DW43" s="122" t="n"/>
      <c r="DX43" s="121" t="n"/>
      <c r="DY43" s="122" t="n"/>
      <c r="DZ43" s="121" t="n"/>
      <c r="EA43" s="122" t="n"/>
      <c r="EB43" s="121" t="n"/>
      <c r="EC43" s="122" t="n"/>
      <c r="ED43" s="121" t="n"/>
      <c r="EE43" s="122" t="n"/>
      <c r="EF43" s="121" t="n"/>
      <c r="EG43" s="122" t="n"/>
      <c r="EH43" s="121" t="n"/>
      <c r="EI43" s="122" t="n"/>
      <c r="EJ43" s="121" t="n"/>
      <c r="EK43" s="122" t="n"/>
      <c r="EL43" s="190" t="n"/>
      <c r="EM43" s="124" t="n"/>
      <c r="EN43" s="125" t="n"/>
      <c r="EO43" s="124" t="n"/>
      <c r="EP43" s="125" t="n"/>
      <c r="EQ43" s="124" t="n"/>
      <c r="ER43" s="125" t="n"/>
      <c r="ES43" s="124" t="n"/>
      <c r="ET43" s="125" t="n"/>
      <c r="EU43" s="124" t="n"/>
      <c r="EV43" s="125" t="n"/>
      <c r="EW43" s="124" t="n"/>
      <c r="EX43" s="125" t="n"/>
      <c r="EY43" s="124" t="n"/>
      <c r="EZ43" s="125" t="n"/>
      <c r="FA43" s="124" t="n"/>
      <c r="FB43" s="125" t="n"/>
      <c r="FC43" s="191" t="n"/>
      <c r="FD43" s="127" t="n"/>
      <c r="FE43" s="128" t="n"/>
      <c r="FF43" s="127" t="n"/>
      <c r="FG43" s="128" t="n"/>
      <c r="FH43" s="127" t="n"/>
      <c r="FI43" s="128" t="n"/>
      <c r="FJ43" s="127" t="n"/>
      <c r="FK43" s="128" t="n"/>
      <c r="FL43" s="127" t="n"/>
      <c r="FM43" s="128" t="n"/>
      <c r="FN43" s="127" t="n"/>
      <c r="FO43" s="128" t="n"/>
      <c r="FP43" s="127" t="n"/>
      <c r="FQ43" s="128" t="n"/>
      <c r="FR43" s="127" t="n"/>
      <c r="FS43" s="128" t="n"/>
      <c r="FT43" s="192" t="n"/>
      <c r="FU43" s="130" t="n"/>
      <c r="FV43" s="131" t="n"/>
      <c r="FW43" s="130" t="n"/>
      <c r="FX43" s="131" t="n"/>
      <c r="FY43" s="130" t="n"/>
      <c r="FZ43" s="131" t="n"/>
      <c r="GA43" s="130" t="n"/>
      <c r="GB43" s="131" t="n"/>
      <c r="GC43" s="130" t="n"/>
      <c r="GD43" s="131" t="n"/>
      <c r="GE43" s="130" t="n"/>
      <c r="GF43" s="131" t="n"/>
      <c r="GG43" s="130" t="n"/>
      <c r="GH43" s="131" t="n"/>
      <c r="GI43" s="130" t="n"/>
      <c r="GJ43" s="131" t="n"/>
      <c r="GK43" s="193" t="n"/>
      <c r="GL43" s="133" t="n"/>
      <c r="GM43" s="134" t="n"/>
      <c r="GN43" s="133" t="n"/>
      <c r="GO43" s="134" t="n"/>
      <c r="GP43" s="133" t="n"/>
      <c r="GQ43" s="134" t="n"/>
      <c r="GR43" s="133" t="n"/>
      <c r="GS43" s="134" t="n"/>
      <c r="GT43" s="133" t="n"/>
      <c r="GU43" s="134" t="n"/>
      <c r="GV43" s="133" t="n"/>
      <c r="GW43" s="134" t="n"/>
      <c r="GX43" s="133" t="n"/>
      <c r="GY43" s="134" t="n"/>
      <c r="GZ43" s="133" t="n"/>
      <c r="HA43" s="134" t="n"/>
      <c r="HB43" s="194" t="n"/>
      <c r="HC43">
        <f>SUMIFS($G43:$HB43,$G$46:$HB$46,"&gt;="&amp;$HD$1,$G$46:$HB$46,"&lt;="&amp;$HD$2,$G$29:$HB$29,"&lt;&gt;ملاحظات",$G$28:$HB$28,"&gt;0")</f>
        <v>0</v>
      </c>
      <c r="HD43">
        <f>SUMIFS($G$28:$HB$28,$G$46:$HB$46,"&gt;="&amp;$HD$1,$G$46:$HB$46,"&lt;="&amp;$HD$2,$G$29:$HB$29,"&lt;&gt;ملاحظات",$G43:$HB43,"&gt;=0")</f>
        <v>0</v>
      </c>
    </row>
    <row r="44" ht="22.5" customHeight="1">
      <c r="A44" s="36" t="n">
        <v>15</v>
      </c>
      <c r="B44" s="181" t="str">
        <f>IF($B19="","",$B19)</f>
        <v/>
      </c>
      <c r="C44" s="136" t="str">
        <f>IF(OR($B44="",$HD44=0),"",ROUND($HC44,2)&amp;" / "&amp;$HD44)</f>
        <v/>
      </c>
      <c r="D44" s="182" t="str">
        <f>IF(OR($B44="",$HD44=0),"",$HC44/$HD44)</f>
        <v/>
      </c>
      <c r="E44" s="98" t="str">
        <f>IF($D44="","",RANK($D44,$D$30:$D$44))</f>
        <v/>
      </c>
      <c r="F44" s="99" t="str">
        <f>IF($D44="","",IF($D44&gt;=0.85,"ممتاز",IF($D44&gt;=0.75,"جيد جداً",IF($D44&gt;=0.65,"جيد",IF($D44&gt;=0.5,"مقبول","ضعيف")))))</f>
        <v/>
      </c>
      <c r="G44" s="100" t="n"/>
      <c r="H44" s="101" t="n"/>
      <c r="I44" s="100" t="n"/>
      <c r="J44" s="101" t="n"/>
      <c r="K44" s="100" t="n"/>
      <c r="L44" s="101" t="n"/>
      <c r="M44" s="100" t="n"/>
      <c r="N44" s="101" t="n"/>
      <c r="O44" s="100" t="n"/>
      <c r="P44" s="101" t="n"/>
      <c r="Q44" s="100" t="n"/>
      <c r="R44" s="101" t="n"/>
      <c r="S44" s="100" t="n"/>
      <c r="T44" s="101" t="n"/>
      <c r="U44" s="100" t="n"/>
      <c r="V44" s="101" t="n"/>
      <c r="W44" s="183" t="n"/>
      <c r="X44" s="103" t="n"/>
      <c r="Y44" s="104" t="n"/>
      <c r="Z44" s="103" t="n"/>
      <c r="AA44" s="104" t="n"/>
      <c r="AB44" s="103" t="n"/>
      <c r="AC44" s="104" t="n"/>
      <c r="AD44" s="103" t="n"/>
      <c r="AE44" s="104" t="n"/>
      <c r="AF44" s="103" t="n"/>
      <c r="AG44" s="104" t="n"/>
      <c r="AH44" s="103" t="n"/>
      <c r="AI44" s="104" t="n"/>
      <c r="AJ44" s="103" t="n"/>
      <c r="AK44" s="104" t="n"/>
      <c r="AL44" s="103" t="n"/>
      <c r="AM44" s="104" t="n"/>
      <c r="AN44" s="184" t="n"/>
      <c r="AO44" s="106" t="n"/>
      <c r="AP44" s="107" t="n"/>
      <c r="AQ44" s="106" t="n"/>
      <c r="AR44" s="107" t="n"/>
      <c r="AS44" s="106" t="n"/>
      <c r="AT44" s="107" t="n"/>
      <c r="AU44" s="106" t="n"/>
      <c r="AV44" s="107" t="n"/>
      <c r="AW44" s="106" t="n"/>
      <c r="AX44" s="107" t="n"/>
      <c r="AY44" s="106" t="n"/>
      <c r="AZ44" s="107" t="n"/>
      <c r="BA44" s="106" t="n"/>
      <c r="BB44" s="107" t="n"/>
      <c r="BC44" s="106" t="n"/>
      <c r="BD44" s="107" t="n"/>
      <c r="BE44" s="185" t="n"/>
      <c r="BF44" s="109" t="n"/>
      <c r="BG44" s="110" t="n"/>
      <c r="BH44" s="109" t="n"/>
      <c r="BI44" s="110" t="n"/>
      <c r="BJ44" s="109" t="n"/>
      <c r="BK44" s="110" t="n"/>
      <c r="BL44" s="109" t="n"/>
      <c r="BM44" s="110" t="n"/>
      <c r="BN44" s="109" t="n"/>
      <c r="BO44" s="110" t="n"/>
      <c r="BP44" s="109" t="n"/>
      <c r="BQ44" s="110" t="n"/>
      <c r="BR44" s="109" t="n"/>
      <c r="BS44" s="110" t="n"/>
      <c r="BT44" s="109" t="n"/>
      <c r="BU44" s="110" t="n"/>
      <c r="BV44" s="186" t="n"/>
      <c r="BW44" s="112" t="n"/>
      <c r="BX44" s="113" t="n"/>
      <c r="BY44" s="112" t="n"/>
      <c r="BZ44" s="113" t="n"/>
      <c r="CA44" s="112" t="n"/>
      <c r="CB44" s="113" t="n"/>
      <c r="CC44" s="112" t="n"/>
      <c r="CD44" s="113" t="n"/>
      <c r="CE44" s="112" t="n"/>
      <c r="CF44" s="113" t="n"/>
      <c r="CG44" s="112" t="n"/>
      <c r="CH44" s="113" t="n"/>
      <c r="CI44" s="112" t="n"/>
      <c r="CJ44" s="113" t="n"/>
      <c r="CK44" s="112" t="n"/>
      <c r="CL44" s="113" t="n"/>
      <c r="CM44" s="187" t="n"/>
      <c r="CN44" s="115" t="n"/>
      <c r="CO44" s="116" t="n"/>
      <c r="CP44" s="115" t="n"/>
      <c r="CQ44" s="116" t="n"/>
      <c r="CR44" s="115" t="n"/>
      <c r="CS44" s="116" t="n"/>
      <c r="CT44" s="115" t="n"/>
      <c r="CU44" s="116" t="n"/>
      <c r="CV44" s="115" t="n"/>
      <c r="CW44" s="116" t="n"/>
      <c r="CX44" s="115" t="n"/>
      <c r="CY44" s="116" t="n"/>
      <c r="CZ44" s="115" t="n"/>
      <c r="DA44" s="116" t="n"/>
      <c r="DB44" s="115" t="n"/>
      <c r="DC44" s="116" t="n"/>
      <c r="DD44" s="188" t="n"/>
      <c r="DE44" s="118" t="n"/>
      <c r="DF44" s="119" t="n"/>
      <c r="DG44" s="118" t="n"/>
      <c r="DH44" s="119" t="n"/>
      <c r="DI44" s="118" t="n"/>
      <c r="DJ44" s="119" t="n"/>
      <c r="DK44" s="118" t="n"/>
      <c r="DL44" s="119" t="n"/>
      <c r="DM44" s="118" t="n"/>
      <c r="DN44" s="119" t="n"/>
      <c r="DO44" s="118" t="n"/>
      <c r="DP44" s="119" t="n"/>
      <c r="DQ44" s="118" t="n"/>
      <c r="DR44" s="119" t="n"/>
      <c r="DS44" s="118" t="n"/>
      <c r="DT44" s="119" t="n"/>
      <c r="DU44" s="189" t="n"/>
      <c r="DV44" s="121" t="n"/>
      <c r="DW44" s="122" t="n"/>
      <c r="DX44" s="121" t="n"/>
      <c r="DY44" s="122" t="n"/>
      <c r="DZ44" s="121" t="n"/>
      <c r="EA44" s="122" t="n"/>
      <c r="EB44" s="121" t="n"/>
      <c r="EC44" s="122" t="n"/>
      <c r="ED44" s="121" t="n"/>
      <c r="EE44" s="122" t="n"/>
      <c r="EF44" s="121" t="n"/>
      <c r="EG44" s="122" t="n"/>
      <c r="EH44" s="121" t="n"/>
      <c r="EI44" s="122" t="n"/>
      <c r="EJ44" s="121" t="n"/>
      <c r="EK44" s="122" t="n"/>
      <c r="EL44" s="190" t="n"/>
      <c r="EM44" s="124" t="n"/>
      <c r="EN44" s="125" t="n"/>
      <c r="EO44" s="124" t="n"/>
      <c r="EP44" s="125" t="n"/>
      <c r="EQ44" s="124" t="n"/>
      <c r="ER44" s="125" t="n"/>
      <c r="ES44" s="124" t="n"/>
      <c r="ET44" s="125" t="n"/>
      <c r="EU44" s="124" t="n"/>
      <c r="EV44" s="125" t="n"/>
      <c r="EW44" s="124" t="n"/>
      <c r="EX44" s="125" t="n"/>
      <c r="EY44" s="124" t="n"/>
      <c r="EZ44" s="125" t="n"/>
      <c r="FA44" s="124" t="n"/>
      <c r="FB44" s="125" t="n"/>
      <c r="FC44" s="191" t="n"/>
      <c r="FD44" s="127" t="n"/>
      <c r="FE44" s="128" t="n"/>
      <c r="FF44" s="127" t="n"/>
      <c r="FG44" s="128" t="n"/>
      <c r="FH44" s="127" t="n"/>
      <c r="FI44" s="128" t="n"/>
      <c r="FJ44" s="127" t="n"/>
      <c r="FK44" s="128" t="n"/>
      <c r="FL44" s="127" t="n"/>
      <c r="FM44" s="128" t="n"/>
      <c r="FN44" s="127" t="n"/>
      <c r="FO44" s="128" t="n"/>
      <c r="FP44" s="127" t="n"/>
      <c r="FQ44" s="128" t="n"/>
      <c r="FR44" s="127" t="n"/>
      <c r="FS44" s="128" t="n"/>
      <c r="FT44" s="192" t="n"/>
      <c r="FU44" s="130" t="n"/>
      <c r="FV44" s="131" t="n"/>
      <c r="FW44" s="130" t="n"/>
      <c r="FX44" s="131" t="n"/>
      <c r="FY44" s="130" t="n"/>
      <c r="FZ44" s="131" t="n"/>
      <c r="GA44" s="130" t="n"/>
      <c r="GB44" s="131" t="n"/>
      <c r="GC44" s="130" t="n"/>
      <c r="GD44" s="131" t="n"/>
      <c r="GE44" s="130" t="n"/>
      <c r="GF44" s="131" t="n"/>
      <c r="GG44" s="130" t="n"/>
      <c r="GH44" s="131" t="n"/>
      <c r="GI44" s="130" t="n"/>
      <c r="GJ44" s="131" t="n"/>
      <c r="GK44" s="193" t="n"/>
      <c r="GL44" s="133" t="n"/>
      <c r="GM44" s="134" t="n"/>
      <c r="GN44" s="133" t="n"/>
      <c r="GO44" s="134" t="n"/>
      <c r="GP44" s="133" t="n"/>
      <c r="GQ44" s="134" t="n"/>
      <c r="GR44" s="133" t="n"/>
      <c r="GS44" s="134" t="n"/>
      <c r="GT44" s="133" t="n"/>
      <c r="GU44" s="134" t="n"/>
      <c r="GV44" s="133" t="n"/>
      <c r="GW44" s="134" t="n"/>
      <c r="GX44" s="133" t="n"/>
      <c r="GY44" s="134" t="n"/>
      <c r="GZ44" s="133" t="n"/>
      <c r="HA44" s="134" t="n"/>
      <c r="HB44" s="194" t="n"/>
      <c r="HC44">
        <f>SUMIFS($G44:$HB44,$G$46:$HB$46,"&gt;="&amp;$HD$1,$G$46:$HB$46,"&lt;="&amp;$HD$2,$G$29:$HB$29,"&lt;&gt;ملاحظات",$G$28:$HB$28,"&gt;0")</f>
        <v>0</v>
      </c>
      <c r="HD44">
        <f>SUMIFS($G$28:$HB$28,$G$46:$HB$46,"&gt;="&amp;$HD$1,$G$46:$HB$46,"&lt;="&amp;$HD$2,$G$29:$HB$29,"&lt;&gt;ملاحظات",$G44:$HB44,"&gt;=0")</f>
        <v>0</v>
      </c>
    </row>
    <row r="45" ht="7.5" customHeight="1"/>
    <row r="46" hidden="1">
      <c r="G46" t="n">
        <v>1</v>
      </c>
      <c r="H46" t="n">
        <v>1</v>
      </c>
      <c r="I46" t="n">
        <v>1</v>
      </c>
      <c r="J46" t="n">
        <v>1</v>
      </c>
      <c r="K46" t="n">
        <v>1</v>
      </c>
      <c r="L46" t="n">
        <v>1</v>
      </c>
      <c r="M46" t="n">
        <v>1</v>
      </c>
      <c r="N46" t="n">
        <v>1</v>
      </c>
      <c r="O46" t="n">
        <v>1</v>
      </c>
      <c r="P46" t="n">
        <v>1</v>
      </c>
      <c r="Q46" t="n">
        <v>1</v>
      </c>
      <c r="R46" t="n">
        <v>1</v>
      </c>
      <c r="S46" t="n">
        <v>1</v>
      </c>
      <c r="T46" t="n">
        <v>1</v>
      </c>
      <c r="U46" t="n">
        <v>1</v>
      </c>
      <c r="V46" t="n">
        <v>1</v>
      </c>
      <c r="W46" t="n">
        <v>1</v>
      </c>
      <c r="X46" t="n">
        <v>2</v>
      </c>
      <c r="Y46" t="n">
        <v>2</v>
      </c>
      <c r="Z46" t="n">
        <v>2</v>
      </c>
      <c r="AA46" t="n">
        <v>2</v>
      </c>
      <c r="AB46" t="n">
        <v>2</v>
      </c>
      <c r="AC46" t="n">
        <v>2</v>
      </c>
      <c r="AD46" t="n">
        <v>2</v>
      </c>
      <c r="AE46" t="n">
        <v>2</v>
      </c>
      <c r="AF46" t="n">
        <v>2</v>
      </c>
      <c r="AG46" t="n">
        <v>2</v>
      </c>
      <c r="AH46" t="n">
        <v>2</v>
      </c>
      <c r="AI46" t="n">
        <v>2</v>
      </c>
      <c r="AJ46" t="n">
        <v>2</v>
      </c>
      <c r="AK46" t="n">
        <v>2</v>
      </c>
      <c r="AL46" t="n">
        <v>2</v>
      </c>
      <c r="AM46" t="n">
        <v>2</v>
      </c>
      <c r="AN46" t="n">
        <v>2</v>
      </c>
      <c r="AO46" t="n">
        <v>3</v>
      </c>
      <c r="AP46" t="n">
        <v>3</v>
      </c>
      <c r="AQ46" t="n">
        <v>3</v>
      </c>
      <c r="AR46" t="n">
        <v>3</v>
      </c>
      <c r="AS46" t="n">
        <v>3</v>
      </c>
      <c r="AT46" t="n">
        <v>3</v>
      </c>
      <c r="AU46" t="n">
        <v>3</v>
      </c>
      <c r="AV46" t="n">
        <v>3</v>
      </c>
      <c r="AW46" t="n">
        <v>3</v>
      </c>
      <c r="AX46" t="n">
        <v>3</v>
      </c>
      <c r="AY46" t="n">
        <v>3</v>
      </c>
      <c r="AZ46" t="n">
        <v>3</v>
      </c>
      <c r="BA46" t="n">
        <v>3</v>
      </c>
      <c r="BB46" t="n">
        <v>3</v>
      </c>
      <c r="BC46" t="n">
        <v>3</v>
      </c>
      <c r="BD46" t="n">
        <v>3</v>
      </c>
      <c r="BE46" t="n">
        <v>3</v>
      </c>
      <c r="BF46" t="n">
        <v>4</v>
      </c>
      <c r="BG46" t="n">
        <v>4</v>
      </c>
      <c r="BH46" t="n">
        <v>4</v>
      </c>
      <c r="BI46" t="n">
        <v>4</v>
      </c>
      <c r="BJ46" t="n">
        <v>4</v>
      </c>
      <c r="BK46" t="n">
        <v>4</v>
      </c>
      <c r="BL46" t="n">
        <v>4</v>
      </c>
      <c r="BM46" t="n">
        <v>4</v>
      </c>
      <c r="BN46" t="n">
        <v>4</v>
      </c>
      <c r="BO46" t="n">
        <v>4</v>
      </c>
      <c r="BP46" t="n">
        <v>4</v>
      </c>
      <c r="BQ46" t="n">
        <v>4</v>
      </c>
      <c r="BR46" t="n">
        <v>4</v>
      </c>
      <c r="BS46" t="n">
        <v>4</v>
      </c>
      <c r="BT46" t="n">
        <v>4</v>
      </c>
      <c r="BU46" t="n">
        <v>4</v>
      </c>
      <c r="BV46" t="n">
        <v>4</v>
      </c>
      <c r="BW46" t="n">
        <v>5</v>
      </c>
      <c r="BX46" t="n">
        <v>5</v>
      </c>
      <c r="BY46" t="n">
        <v>5</v>
      </c>
      <c r="BZ46" t="n">
        <v>5</v>
      </c>
      <c r="CA46" t="n">
        <v>5</v>
      </c>
      <c r="CB46" t="n">
        <v>5</v>
      </c>
      <c r="CC46" t="n">
        <v>5</v>
      </c>
      <c r="CD46" t="n">
        <v>5</v>
      </c>
      <c r="CE46" t="n">
        <v>5</v>
      </c>
      <c r="CF46" t="n">
        <v>5</v>
      </c>
      <c r="CG46" t="n">
        <v>5</v>
      </c>
      <c r="CH46" t="n">
        <v>5</v>
      </c>
      <c r="CI46" t="n">
        <v>5</v>
      </c>
      <c r="CJ46" t="n">
        <v>5</v>
      </c>
      <c r="CK46" t="n">
        <v>5</v>
      </c>
      <c r="CL46" t="n">
        <v>5</v>
      </c>
      <c r="CM46" t="n">
        <v>5</v>
      </c>
      <c r="CN46" t="n">
        <v>6</v>
      </c>
      <c r="CO46" t="n">
        <v>6</v>
      </c>
      <c r="CP46" t="n">
        <v>6</v>
      </c>
      <c r="CQ46" t="n">
        <v>6</v>
      </c>
      <c r="CR46" t="n">
        <v>6</v>
      </c>
      <c r="CS46" t="n">
        <v>6</v>
      </c>
      <c r="CT46" t="n">
        <v>6</v>
      </c>
      <c r="CU46" t="n">
        <v>6</v>
      </c>
      <c r="CV46" t="n">
        <v>6</v>
      </c>
      <c r="CW46" t="n">
        <v>6</v>
      </c>
      <c r="CX46" t="n">
        <v>6</v>
      </c>
      <c r="CY46" t="n">
        <v>6</v>
      </c>
      <c r="CZ46" t="n">
        <v>6</v>
      </c>
      <c r="DA46" t="n">
        <v>6</v>
      </c>
      <c r="DB46" t="n">
        <v>6</v>
      </c>
      <c r="DC46" t="n">
        <v>6</v>
      </c>
      <c r="DD46" t="n">
        <v>6</v>
      </c>
      <c r="DE46" t="n">
        <v>7</v>
      </c>
      <c r="DF46" t="n">
        <v>7</v>
      </c>
      <c r="DG46" t="n">
        <v>7</v>
      </c>
      <c r="DH46" t="n">
        <v>7</v>
      </c>
      <c r="DI46" t="n">
        <v>7</v>
      </c>
      <c r="DJ46" t="n">
        <v>7</v>
      </c>
      <c r="DK46" t="n">
        <v>7</v>
      </c>
      <c r="DL46" t="n">
        <v>7</v>
      </c>
      <c r="DM46" t="n">
        <v>7</v>
      </c>
      <c r="DN46" t="n">
        <v>7</v>
      </c>
      <c r="DO46" t="n">
        <v>7</v>
      </c>
      <c r="DP46" t="n">
        <v>7</v>
      </c>
      <c r="DQ46" t="n">
        <v>7</v>
      </c>
      <c r="DR46" t="n">
        <v>7</v>
      </c>
      <c r="DS46" t="n">
        <v>7</v>
      </c>
      <c r="DT46" t="n">
        <v>7</v>
      </c>
      <c r="DU46" t="n">
        <v>7</v>
      </c>
      <c r="DV46" t="n">
        <v>8</v>
      </c>
      <c r="DW46" t="n">
        <v>8</v>
      </c>
      <c r="DX46" t="n">
        <v>8</v>
      </c>
      <c r="DY46" t="n">
        <v>8</v>
      </c>
      <c r="DZ46" t="n">
        <v>8</v>
      </c>
      <c r="EA46" t="n">
        <v>8</v>
      </c>
      <c r="EB46" t="n">
        <v>8</v>
      </c>
      <c r="EC46" t="n">
        <v>8</v>
      </c>
      <c r="ED46" t="n">
        <v>8</v>
      </c>
      <c r="EE46" t="n">
        <v>8</v>
      </c>
      <c r="EF46" t="n">
        <v>8</v>
      </c>
      <c r="EG46" t="n">
        <v>8</v>
      </c>
      <c r="EH46" t="n">
        <v>8</v>
      </c>
      <c r="EI46" t="n">
        <v>8</v>
      </c>
      <c r="EJ46" t="n">
        <v>8</v>
      </c>
      <c r="EK46" t="n">
        <v>8</v>
      </c>
      <c r="EL46" t="n">
        <v>8</v>
      </c>
      <c r="EM46" t="n">
        <v>9</v>
      </c>
      <c r="EN46" t="n">
        <v>9</v>
      </c>
      <c r="EO46" t="n">
        <v>9</v>
      </c>
      <c r="EP46" t="n">
        <v>9</v>
      </c>
      <c r="EQ46" t="n">
        <v>9</v>
      </c>
      <c r="ER46" t="n">
        <v>9</v>
      </c>
      <c r="ES46" t="n">
        <v>9</v>
      </c>
      <c r="ET46" t="n">
        <v>9</v>
      </c>
      <c r="EU46" t="n">
        <v>9</v>
      </c>
      <c r="EV46" t="n">
        <v>9</v>
      </c>
      <c r="EW46" t="n">
        <v>9</v>
      </c>
      <c r="EX46" t="n">
        <v>9</v>
      </c>
      <c r="EY46" t="n">
        <v>9</v>
      </c>
      <c r="EZ46" t="n">
        <v>9</v>
      </c>
      <c r="FA46" t="n">
        <v>9</v>
      </c>
      <c r="FB46" t="n">
        <v>9</v>
      </c>
      <c r="FC46" t="n">
        <v>9</v>
      </c>
      <c r="FD46" t="n">
        <v>10</v>
      </c>
      <c r="FE46" t="n">
        <v>10</v>
      </c>
      <c r="FF46" t="n">
        <v>10</v>
      </c>
      <c r="FG46" t="n">
        <v>10</v>
      </c>
      <c r="FH46" t="n">
        <v>10</v>
      </c>
      <c r="FI46" t="n">
        <v>10</v>
      </c>
      <c r="FJ46" t="n">
        <v>10</v>
      </c>
      <c r="FK46" t="n">
        <v>10</v>
      </c>
      <c r="FL46" t="n">
        <v>10</v>
      </c>
      <c r="FM46" t="n">
        <v>10</v>
      </c>
      <c r="FN46" t="n">
        <v>10</v>
      </c>
      <c r="FO46" t="n">
        <v>10</v>
      </c>
      <c r="FP46" t="n">
        <v>10</v>
      </c>
      <c r="FQ46" t="n">
        <v>10</v>
      </c>
      <c r="FR46" t="n">
        <v>10</v>
      </c>
      <c r="FS46" t="n">
        <v>10</v>
      </c>
      <c r="FT46" t="n">
        <v>10</v>
      </c>
      <c r="FU46" t="n">
        <v>11</v>
      </c>
      <c r="FV46" t="n">
        <v>11</v>
      </c>
      <c r="FW46" t="n">
        <v>11</v>
      </c>
      <c r="FX46" t="n">
        <v>11</v>
      </c>
      <c r="FY46" t="n">
        <v>11</v>
      </c>
      <c r="FZ46" t="n">
        <v>11</v>
      </c>
      <c r="GA46" t="n">
        <v>11</v>
      </c>
      <c r="GB46" t="n">
        <v>11</v>
      </c>
      <c r="GC46" t="n">
        <v>11</v>
      </c>
      <c r="GD46" t="n">
        <v>11</v>
      </c>
      <c r="GE46" t="n">
        <v>11</v>
      </c>
      <c r="GF46" t="n">
        <v>11</v>
      </c>
      <c r="GG46" t="n">
        <v>11</v>
      </c>
      <c r="GH46" t="n">
        <v>11</v>
      </c>
      <c r="GI46" t="n">
        <v>11</v>
      </c>
      <c r="GJ46" t="n">
        <v>11</v>
      </c>
      <c r="GK46" t="n">
        <v>11</v>
      </c>
      <c r="GL46" t="n">
        <v>12</v>
      </c>
      <c r="GM46" t="n">
        <v>12</v>
      </c>
      <c r="GN46" t="n">
        <v>12</v>
      </c>
      <c r="GO46" t="n">
        <v>12</v>
      </c>
      <c r="GP46" t="n">
        <v>12</v>
      </c>
      <c r="GQ46" t="n">
        <v>12</v>
      </c>
      <c r="GR46" t="n">
        <v>12</v>
      </c>
      <c r="GS46" t="n">
        <v>12</v>
      </c>
      <c r="GT46" t="n">
        <v>12</v>
      </c>
      <c r="GU46" t="n">
        <v>12</v>
      </c>
      <c r="GV46" t="n">
        <v>12</v>
      </c>
      <c r="GW46" t="n">
        <v>12</v>
      </c>
      <c r="GX46" t="n">
        <v>12</v>
      </c>
      <c r="GY46" t="n">
        <v>12</v>
      </c>
      <c r="GZ46" t="n">
        <v>12</v>
      </c>
      <c r="HA46" t="n">
        <v>12</v>
      </c>
      <c r="HB46" t="n">
        <v>12</v>
      </c>
    </row>
    <row r="47" hidden="1">
      <c r="G47" t="n">
        <v>1</v>
      </c>
      <c r="H47" t="n">
        <v>1</v>
      </c>
      <c r="I47" t="n">
        <v>2</v>
      </c>
      <c r="J47" t="n">
        <v>2</v>
      </c>
      <c r="K47" t="n">
        <v>3</v>
      </c>
      <c r="L47" t="n">
        <v>3</v>
      </c>
      <c r="M47" t="n">
        <v>4</v>
      </c>
      <c r="N47" t="n">
        <v>4</v>
      </c>
      <c r="O47" t="n">
        <v>5</v>
      </c>
      <c r="P47" t="n">
        <v>5</v>
      </c>
      <c r="Q47" t="n">
        <v>6</v>
      </c>
      <c r="R47" t="n">
        <v>6</v>
      </c>
      <c r="S47" t="n">
        <v>7</v>
      </c>
      <c r="T47" t="n">
        <v>7</v>
      </c>
      <c r="U47" t="n">
        <v>8</v>
      </c>
      <c r="V47" t="n">
        <v>8</v>
      </c>
      <c r="W47" t="n">
        <v>0</v>
      </c>
      <c r="X47" t="n">
        <v>9</v>
      </c>
      <c r="Y47" t="n">
        <v>9</v>
      </c>
      <c r="Z47" t="n">
        <v>10</v>
      </c>
      <c r="AA47" t="n">
        <v>10</v>
      </c>
      <c r="AB47" t="n">
        <v>11</v>
      </c>
      <c r="AC47" t="n">
        <v>11</v>
      </c>
      <c r="AD47" t="n">
        <v>12</v>
      </c>
      <c r="AE47" t="n">
        <v>12</v>
      </c>
      <c r="AF47" t="n">
        <v>13</v>
      </c>
      <c r="AG47" t="n">
        <v>13</v>
      </c>
      <c r="AH47" t="n">
        <v>14</v>
      </c>
      <c r="AI47" t="n">
        <v>14</v>
      </c>
      <c r="AJ47" t="n">
        <v>15</v>
      </c>
      <c r="AK47" t="n">
        <v>15</v>
      </c>
      <c r="AL47" t="n">
        <v>16</v>
      </c>
      <c r="AM47" t="n">
        <v>16</v>
      </c>
      <c r="AN47" t="n">
        <v>0</v>
      </c>
      <c r="AO47" t="n">
        <v>17</v>
      </c>
      <c r="AP47" t="n">
        <v>17</v>
      </c>
      <c r="AQ47" t="n">
        <v>18</v>
      </c>
      <c r="AR47" t="n">
        <v>18</v>
      </c>
      <c r="AS47" t="n">
        <v>19</v>
      </c>
      <c r="AT47" t="n">
        <v>19</v>
      </c>
      <c r="AU47" t="n">
        <v>20</v>
      </c>
      <c r="AV47" t="n">
        <v>20</v>
      </c>
      <c r="AW47" t="n">
        <v>21</v>
      </c>
      <c r="AX47" t="n">
        <v>21</v>
      </c>
      <c r="AY47" t="n">
        <v>22</v>
      </c>
      <c r="AZ47" t="n">
        <v>22</v>
      </c>
      <c r="BA47" t="n">
        <v>23</v>
      </c>
      <c r="BB47" t="n">
        <v>23</v>
      </c>
      <c r="BC47" t="n">
        <v>24</v>
      </c>
      <c r="BD47" t="n">
        <v>24</v>
      </c>
      <c r="BE47" t="n">
        <v>0</v>
      </c>
      <c r="BF47" t="n">
        <v>25</v>
      </c>
      <c r="BG47" t="n">
        <v>25</v>
      </c>
      <c r="BH47" t="n">
        <v>26</v>
      </c>
      <c r="BI47" t="n">
        <v>26</v>
      </c>
      <c r="BJ47" t="n">
        <v>27</v>
      </c>
      <c r="BK47" t="n">
        <v>27</v>
      </c>
      <c r="BL47" t="n">
        <v>28</v>
      </c>
      <c r="BM47" t="n">
        <v>28</v>
      </c>
      <c r="BN47" t="n">
        <v>29</v>
      </c>
      <c r="BO47" t="n">
        <v>29</v>
      </c>
      <c r="BP47" t="n">
        <v>30</v>
      </c>
      <c r="BQ47" t="n">
        <v>30</v>
      </c>
      <c r="BR47" t="n">
        <v>31</v>
      </c>
      <c r="BS47" t="n">
        <v>31</v>
      </c>
      <c r="BT47" t="n">
        <v>32</v>
      </c>
      <c r="BU47" t="n">
        <v>32</v>
      </c>
      <c r="BV47" t="n">
        <v>0</v>
      </c>
      <c r="BW47" t="n">
        <v>33</v>
      </c>
      <c r="BX47" t="n">
        <v>33</v>
      </c>
      <c r="BY47" t="n">
        <v>34</v>
      </c>
      <c r="BZ47" t="n">
        <v>34</v>
      </c>
      <c r="CA47" t="n">
        <v>35</v>
      </c>
      <c r="CB47" t="n">
        <v>35</v>
      </c>
      <c r="CC47" t="n">
        <v>36</v>
      </c>
      <c r="CD47" t="n">
        <v>36</v>
      </c>
      <c r="CE47" t="n">
        <v>37</v>
      </c>
      <c r="CF47" t="n">
        <v>37</v>
      </c>
      <c r="CG47" t="n">
        <v>38</v>
      </c>
      <c r="CH47" t="n">
        <v>38</v>
      </c>
      <c r="CI47" t="n">
        <v>39</v>
      </c>
      <c r="CJ47" t="n">
        <v>39</v>
      </c>
      <c r="CK47" t="n">
        <v>40</v>
      </c>
      <c r="CL47" t="n">
        <v>40</v>
      </c>
      <c r="CM47" t="n">
        <v>0</v>
      </c>
      <c r="CN47" t="n">
        <v>41</v>
      </c>
      <c r="CO47" t="n">
        <v>41</v>
      </c>
      <c r="CP47" t="n">
        <v>42</v>
      </c>
      <c r="CQ47" t="n">
        <v>42</v>
      </c>
      <c r="CR47" t="n">
        <v>43</v>
      </c>
      <c r="CS47" t="n">
        <v>43</v>
      </c>
      <c r="CT47" t="n">
        <v>44</v>
      </c>
      <c r="CU47" t="n">
        <v>44</v>
      </c>
      <c r="CV47" t="n">
        <v>45</v>
      </c>
      <c r="CW47" t="n">
        <v>45</v>
      </c>
      <c r="CX47" t="n">
        <v>46</v>
      </c>
      <c r="CY47" t="n">
        <v>46</v>
      </c>
      <c r="CZ47" t="n">
        <v>47</v>
      </c>
      <c r="DA47" t="n">
        <v>47</v>
      </c>
      <c r="DB47" t="n">
        <v>48</v>
      </c>
      <c r="DC47" t="n">
        <v>48</v>
      </c>
      <c r="DD47" t="n">
        <v>0</v>
      </c>
      <c r="DE47" t="n">
        <v>49</v>
      </c>
      <c r="DF47" t="n">
        <v>49</v>
      </c>
      <c r="DG47" t="n">
        <v>50</v>
      </c>
      <c r="DH47" t="n">
        <v>50</v>
      </c>
      <c r="DI47" t="n">
        <v>51</v>
      </c>
      <c r="DJ47" t="n">
        <v>51</v>
      </c>
      <c r="DK47" t="n">
        <v>52</v>
      </c>
      <c r="DL47" t="n">
        <v>52</v>
      </c>
      <c r="DM47" t="n">
        <v>53</v>
      </c>
      <c r="DN47" t="n">
        <v>53</v>
      </c>
      <c r="DO47" t="n">
        <v>54</v>
      </c>
      <c r="DP47" t="n">
        <v>54</v>
      </c>
      <c r="DQ47" t="n">
        <v>55</v>
      </c>
      <c r="DR47" t="n">
        <v>55</v>
      </c>
      <c r="DS47" t="n">
        <v>56</v>
      </c>
      <c r="DT47" t="n">
        <v>56</v>
      </c>
      <c r="DU47" t="n">
        <v>0</v>
      </c>
      <c r="DV47" t="n">
        <v>57</v>
      </c>
      <c r="DW47" t="n">
        <v>57</v>
      </c>
      <c r="DX47" t="n">
        <v>58</v>
      </c>
      <c r="DY47" t="n">
        <v>58</v>
      </c>
      <c r="DZ47" t="n">
        <v>59</v>
      </c>
      <c r="EA47" t="n">
        <v>59</v>
      </c>
      <c r="EB47" t="n">
        <v>60</v>
      </c>
      <c r="EC47" t="n">
        <v>60</v>
      </c>
      <c r="ED47" t="n">
        <v>61</v>
      </c>
      <c r="EE47" t="n">
        <v>61</v>
      </c>
      <c r="EF47" t="n">
        <v>62</v>
      </c>
      <c r="EG47" t="n">
        <v>62</v>
      </c>
      <c r="EH47" t="n">
        <v>63</v>
      </c>
      <c r="EI47" t="n">
        <v>63</v>
      </c>
      <c r="EJ47" t="n">
        <v>64</v>
      </c>
      <c r="EK47" t="n">
        <v>64</v>
      </c>
      <c r="EL47" t="n">
        <v>0</v>
      </c>
      <c r="EM47" t="n">
        <v>65</v>
      </c>
      <c r="EN47" t="n">
        <v>65</v>
      </c>
      <c r="EO47" t="n">
        <v>66</v>
      </c>
      <c r="EP47" t="n">
        <v>66</v>
      </c>
      <c r="EQ47" t="n">
        <v>67</v>
      </c>
      <c r="ER47" t="n">
        <v>67</v>
      </c>
      <c r="ES47" t="n">
        <v>68</v>
      </c>
      <c r="ET47" t="n">
        <v>68</v>
      </c>
      <c r="EU47" t="n">
        <v>69</v>
      </c>
      <c r="EV47" t="n">
        <v>69</v>
      </c>
      <c r="EW47" t="n">
        <v>70</v>
      </c>
      <c r="EX47" t="n">
        <v>70</v>
      </c>
      <c r="EY47" t="n">
        <v>71</v>
      </c>
      <c r="EZ47" t="n">
        <v>71</v>
      </c>
      <c r="FA47" t="n">
        <v>72</v>
      </c>
      <c r="FB47" t="n">
        <v>72</v>
      </c>
      <c r="FC47" t="n">
        <v>0</v>
      </c>
      <c r="FD47" t="n">
        <v>73</v>
      </c>
      <c r="FE47" t="n">
        <v>73</v>
      </c>
      <c r="FF47" t="n">
        <v>74</v>
      </c>
      <c r="FG47" t="n">
        <v>74</v>
      </c>
      <c r="FH47" t="n">
        <v>75</v>
      </c>
      <c r="FI47" t="n">
        <v>75</v>
      </c>
      <c r="FJ47" t="n">
        <v>76</v>
      </c>
      <c r="FK47" t="n">
        <v>76</v>
      </c>
      <c r="FL47" t="n">
        <v>77</v>
      </c>
      <c r="FM47" t="n">
        <v>77</v>
      </c>
      <c r="FN47" t="n">
        <v>78</v>
      </c>
      <c r="FO47" t="n">
        <v>78</v>
      </c>
      <c r="FP47" t="n">
        <v>79</v>
      </c>
      <c r="FQ47" t="n">
        <v>79</v>
      </c>
      <c r="FR47" t="n">
        <v>80</v>
      </c>
      <c r="FS47" t="n">
        <v>80</v>
      </c>
      <c r="FT47" t="n">
        <v>0</v>
      </c>
      <c r="FU47" t="n">
        <v>81</v>
      </c>
      <c r="FV47" t="n">
        <v>81</v>
      </c>
      <c r="FW47" t="n">
        <v>82</v>
      </c>
      <c r="FX47" t="n">
        <v>82</v>
      </c>
      <c r="FY47" t="n">
        <v>83</v>
      </c>
      <c r="FZ47" t="n">
        <v>83</v>
      </c>
      <c r="GA47" t="n">
        <v>84</v>
      </c>
      <c r="GB47" t="n">
        <v>84</v>
      </c>
      <c r="GC47" t="n">
        <v>85</v>
      </c>
      <c r="GD47" t="n">
        <v>85</v>
      </c>
      <c r="GE47" t="n">
        <v>86</v>
      </c>
      <c r="GF47" t="n">
        <v>86</v>
      </c>
      <c r="GG47" t="n">
        <v>87</v>
      </c>
      <c r="GH47" t="n">
        <v>87</v>
      </c>
      <c r="GI47" t="n">
        <v>88</v>
      </c>
      <c r="GJ47" t="n">
        <v>88</v>
      </c>
      <c r="GK47" t="n">
        <v>0</v>
      </c>
      <c r="GL47" t="n">
        <v>89</v>
      </c>
      <c r="GM47" t="n">
        <v>89</v>
      </c>
      <c r="GN47" t="n">
        <v>90</v>
      </c>
      <c r="GO47" t="n">
        <v>90</v>
      </c>
      <c r="GP47" t="n">
        <v>91</v>
      </c>
      <c r="GQ47" t="n">
        <v>91</v>
      </c>
      <c r="GR47" t="n">
        <v>92</v>
      </c>
      <c r="GS47" t="n">
        <v>92</v>
      </c>
      <c r="GT47" t="n">
        <v>93</v>
      </c>
      <c r="GU47" t="n">
        <v>93</v>
      </c>
      <c r="GV47" t="n">
        <v>94</v>
      </c>
      <c r="GW47" t="n">
        <v>94</v>
      </c>
      <c r="GX47" t="n">
        <v>95</v>
      </c>
      <c r="GY47" t="n">
        <v>95</v>
      </c>
      <c r="GZ47" t="n">
        <v>96</v>
      </c>
      <c r="HA47" t="n">
        <v>96</v>
      </c>
      <c r="HB47" t="n">
        <v>0</v>
      </c>
    </row>
  </sheetData>
  <mergeCells count="340">
    <mergeCell ref="BW1:CM1"/>
    <mergeCell ref="X2:Y2"/>
    <mergeCell ref="FY2:FZ2"/>
    <mergeCell ref="FU1:GK1"/>
    <mergeCell ref="DV2:DW2"/>
    <mergeCell ref="CZ27:DA27"/>
    <mergeCell ref="DB27:DC27"/>
    <mergeCell ref="BH2:BI2"/>
    <mergeCell ref="BJ2:BK2"/>
    <mergeCell ref="EB3:EC3"/>
    <mergeCell ref="ED3:EE3"/>
    <mergeCell ref="FD2:FE2"/>
    <mergeCell ref="FF2:FG2"/>
    <mergeCell ref="AQ2:AR2"/>
    <mergeCell ref="AS2:AT2"/>
    <mergeCell ref="O27:P27"/>
    <mergeCell ref="GL3:GM3"/>
    <mergeCell ref="Q27:R27"/>
    <mergeCell ref="FN3:FO3"/>
    <mergeCell ref="CM27:CM28"/>
    <mergeCell ref="GR2:GS2"/>
    <mergeCell ref="A28:B28"/>
    <mergeCell ref="CC2:CD2"/>
    <mergeCell ref="CE2:CF2"/>
    <mergeCell ref="EW3:EX3"/>
    <mergeCell ref="GA2:GB2"/>
    <mergeCell ref="DI3:DJ3"/>
    <mergeCell ref="GL1:HB1"/>
    <mergeCell ref="AJ27:AK27"/>
    <mergeCell ref="DO2:DP2"/>
    <mergeCell ref="AL27:AM27"/>
    <mergeCell ref="DQ2:DR2"/>
    <mergeCell ref="GI3:GJ3"/>
    <mergeCell ref="CX2:CY2"/>
    <mergeCell ref="EM3:EN3"/>
    <mergeCell ref="CZ2:DA2"/>
    <mergeCell ref="X3:Y3"/>
    <mergeCell ref="Z3:AA3"/>
    <mergeCell ref="AF2:AG2"/>
    <mergeCell ref="EJ2:EK2"/>
    <mergeCell ref="FY3:FZ3"/>
    <mergeCell ref="BJ3:BK3"/>
    <mergeCell ref="BL3:BM3"/>
    <mergeCell ref="EM1:FC1"/>
    <mergeCell ref="X1:AN1"/>
    <mergeCell ref="HB27:HB28"/>
    <mergeCell ref="FF3:FG3"/>
    <mergeCell ref="FP3:FQ3"/>
    <mergeCell ref="FH3:FI3"/>
    <mergeCell ref="BA2:BB2"/>
    <mergeCell ref="BC27:BD27"/>
    <mergeCell ref="BC2:BD2"/>
    <mergeCell ref="A1:B1"/>
    <mergeCell ref="GR3:GS3"/>
    <mergeCell ref="GT3:GU3"/>
    <mergeCell ref="M2:N2"/>
    <mergeCell ref="CE3:CF3"/>
    <mergeCell ref="CG3:CH3"/>
    <mergeCell ref="CK2:CL2"/>
    <mergeCell ref="C20:F20"/>
    <mergeCell ref="FC27:FC28"/>
    <mergeCell ref="DQ3:DR3"/>
    <mergeCell ref="DS3:DT3"/>
    <mergeCell ref="AN27:AN28"/>
    <mergeCell ref="DK3:DL3"/>
    <mergeCell ref="C22:F22"/>
    <mergeCell ref="AH2:AI2"/>
    <mergeCell ref="FF27:FG27"/>
    <mergeCell ref="AF3:AG3"/>
    <mergeCell ref="A24:B24"/>
    <mergeCell ref="AH3:AI3"/>
    <mergeCell ref="BW27:BX27"/>
    <mergeCell ref="C27:E27"/>
    <mergeCell ref="BR3:BS3"/>
    <mergeCell ref="FN27:FO27"/>
    <mergeCell ref="BA3:BB3"/>
    <mergeCell ref="DG27:DH27"/>
    <mergeCell ref="BC3:BD3"/>
    <mergeCell ref="FT2:FT3"/>
    <mergeCell ref="DI27:DJ27"/>
    <mergeCell ref="M3:N3"/>
    <mergeCell ref="CP27:CQ27"/>
    <mergeCell ref="FC2:FC3"/>
    <mergeCell ref="FU2:FV2"/>
    <mergeCell ref="CR27:CS27"/>
    <mergeCell ref="AF27:AG27"/>
    <mergeCell ref="X27:Y27"/>
    <mergeCell ref="GI27:GJ27"/>
    <mergeCell ref="EB27:EC27"/>
    <mergeCell ref="ED27:EE27"/>
    <mergeCell ref="CN2:CO2"/>
    <mergeCell ref="FP27:FQ27"/>
    <mergeCell ref="BA27:BB27"/>
    <mergeCell ref="BE2:BE3"/>
    <mergeCell ref="BT3:BU3"/>
    <mergeCell ref="K2:L2"/>
    <mergeCell ref="EW27:EX27"/>
    <mergeCell ref="EY27:EZ27"/>
    <mergeCell ref="DG2:DH2"/>
    <mergeCell ref="FH27:FI27"/>
    <mergeCell ref="DI2:DJ2"/>
    <mergeCell ref="EJ27:EK27"/>
    <mergeCell ref="CE27:CF27"/>
    <mergeCell ref="AU2:AV2"/>
    <mergeCell ref="AQ27:AR27"/>
    <mergeCell ref="ES2:ET2"/>
    <mergeCell ref="GT27:GU27"/>
    <mergeCell ref="EU2:EV2"/>
    <mergeCell ref="EM27:EN27"/>
    <mergeCell ref="Z27:AA27"/>
    <mergeCell ref="FW3:FX3"/>
    <mergeCell ref="GC2:GD2"/>
    <mergeCell ref="DO27:DP27"/>
    <mergeCell ref="BP2:BQ2"/>
    <mergeCell ref="BJ27:BK27"/>
    <mergeCell ref="BL27:BM27"/>
    <mergeCell ref="FL2:FM2"/>
    <mergeCell ref="FN2:FO2"/>
    <mergeCell ref="FP2:FQ2"/>
    <mergeCell ref="CN3:CO3"/>
    <mergeCell ref="CP3:CQ3"/>
    <mergeCell ref="DX2:DY2"/>
    <mergeCell ref="DZ2:EA2"/>
    <mergeCell ref="CV27:CW27"/>
    <mergeCell ref="CX27:CY27"/>
    <mergeCell ref="GX2:GY2"/>
    <mergeCell ref="GZ2:HA2"/>
    <mergeCell ref="DX3:DY3"/>
    <mergeCell ref="DZ3:EA3"/>
    <mergeCell ref="CG27:CH27"/>
    <mergeCell ref="K3:L3"/>
    <mergeCell ref="CN1:DD1"/>
    <mergeCell ref="A2:B3"/>
    <mergeCell ref="AO2:AP2"/>
    <mergeCell ref="DQ27:DR27"/>
    <mergeCell ref="AW3:AX3"/>
    <mergeCell ref="AO3:AP3"/>
    <mergeCell ref="AQ3:AR3"/>
    <mergeCell ref="BY2:BZ2"/>
    <mergeCell ref="CA2:CB2"/>
    <mergeCell ref="ES3:ET3"/>
    <mergeCell ref="EU3:EV3"/>
    <mergeCell ref="GE2:GF2"/>
    <mergeCell ref="FW2:FX2"/>
    <mergeCell ref="A23:B23"/>
    <mergeCell ref="AH27:AI27"/>
    <mergeCell ref="AO1:BE1"/>
    <mergeCell ref="GE3:GF3"/>
    <mergeCell ref="GG3:GH3"/>
    <mergeCell ref="DD27:DD28"/>
    <mergeCell ref="CT2:CU2"/>
    <mergeCell ref="CV2:CW2"/>
    <mergeCell ref="C24:F25"/>
    <mergeCell ref="CV3:CW3"/>
    <mergeCell ref="CX3:CY3"/>
    <mergeCell ref="EF2:EG2"/>
    <mergeCell ref="EH2:EI2"/>
    <mergeCell ref="GZ3:HA3"/>
    <mergeCell ref="BF3:BG3"/>
    <mergeCell ref="S2:T2"/>
    <mergeCell ref="BH3:BI3"/>
    <mergeCell ref="U2:V2"/>
    <mergeCell ref="HB2:HB3"/>
    <mergeCell ref="GR27:GS27"/>
    <mergeCell ref="FD3:FE3"/>
    <mergeCell ref="BE27:BE28"/>
    <mergeCell ref="U3:V3"/>
    <mergeCell ref="AY2:AZ2"/>
    <mergeCell ref="FA2:FB2"/>
    <mergeCell ref="CA3:CB3"/>
    <mergeCell ref="CC3:CD3"/>
    <mergeCell ref="FW27:FX27"/>
    <mergeCell ref="FA3:FB3"/>
    <mergeCell ref="CT27:CU27"/>
    <mergeCell ref="DM3:DN3"/>
    <mergeCell ref="DO3:DP3"/>
    <mergeCell ref="BR2:BS2"/>
    <mergeCell ref="FD27:FE27"/>
    <mergeCell ref="W2:W3"/>
    <mergeCell ref="FT27:FT28"/>
    <mergeCell ref="DU2:DU3"/>
    <mergeCell ref="EH3:EI3"/>
    <mergeCell ref="EJ3:EK3"/>
    <mergeCell ref="FY27:FZ27"/>
    <mergeCell ref="FR3:FS3"/>
    <mergeCell ref="AY3:AZ3"/>
    <mergeCell ref="DE27:DF27"/>
    <mergeCell ref="ES27:ET27"/>
    <mergeCell ref="C28:F28"/>
    <mergeCell ref="CN27:CO27"/>
    <mergeCell ref="GE27:GF27"/>
    <mergeCell ref="GG27:GH27"/>
    <mergeCell ref="DX27:DY27"/>
    <mergeCell ref="GK2:GK3"/>
    <mergeCell ref="DZ27:EA27"/>
    <mergeCell ref="K27:L27"/>
    <mergeCell ref="M27:N27"/>
    <mergeCell ref="GL2:GM2"/>
    <mergeCell ref="GN2:GO2"/>
    <mergeCell ref="FL27:FM27"/>
    <mergeCell ref="AW27:AX27"/>
    <mergeCell ref="AO27:AP27"/>
    <mergeCell ref="AY27:AZ27"/>
    <mergeCell ref="BF1:BV1"/>
    <mergeCell ref="GZ27:HA27"/>
    <mergeCell ref="GN3:GO3"/>
    <mergeCell ref="G2:H2"/>
    <mergeCell ref="GP3:GQ3"/>
    <mergeCell ref="I2:J2"/>
    <mergeCell ref="EU27:EV27"/>
    <mergeCell ref="FD1:FT1"/>
    <mergeCell ref="DE2:DF2"/>
    <mergeCell ref="CK27:CL27"/>
    <mergeCell ref="GT2:GU2"/>
    <mergeCell ref="BR27:BS27"/>
    <mergeCell ref="BV2:BV3"/>
    <mergeCell ref="EM2:EN2"/>
    <mergeCell ref="BT27:BU27"/>
    <mergeCell ref="EO2:EP2"/>
    <mergeCell ref="EQ2:ER2"/>
    <mergeCell ref="Z2:AA2"/>
    <mergeCell ref="AB2:AC2"/>
    <mergeCell ref="AD2:AE2"/>
    <mergeCell ref="FU3:FV3"/>
    <mergeCell ref="FA27:FB27"/>
    <mergeCell ref="BL2:BM2"/>
    <mergeCell ref="BN2:BO2"/>
    <mergeCell ref="BF2:BG2"/>
    <mergeCell ref="BH27:BI27"/>
    <mergeCell ref="FH2:FI2"/>
    <mergeCell ref="FJ2:FK2"/>
    <mergeCell ref="AW2:AX2"/>
    <mergeCell ref="S27:T27"/>
    <mergeCell ref="U27:V27"/>
    <mergeCell ref="GV2:GW2"/>
    <mergeCell ref="CG2:CH2"/>
    <mergeCell ref="DV3:DW3"/>
    <mergeCell ref="CI2:CJ2"/>
    <mergeCell ref="CA27:CB27"/>
    <mergeCell ref="CC27:CD27"/>
    <mergeCell ref="G3:H3"/>
    <mergeCell ref="I3:J3"/>
    <mergeCell ref="DE3:DF3"/>
    <mergeCell ref="DS2:DT2"/>
    <mergeCell ref="DK2:DL2"/>
    <mergeCell ref="DM2:DN2"/>
    <mergeCell ref="AS3:AT3"/>
    <mergeCell ref="AU3:AV3"/>
    <mergeCell ref="DV1:EL1"/>
    <mergeCell ref="G1:W1"/>
    <mergeCell ref="GK27:GK28"/>
    <mergeCell ref="EO3:EP3"/>
    <mergeCell ref="DB2:DC2"/>
    <mergeCell ref="EQ3:ER3"/>
    <mergeCell ref="AB3:AC3"/>
    <mergeCell ref="AD3:AE3"/>
    <mergeCell ref="DE1:DU1"/>
    <mergeCell ref="AJ2:AK2"/>
    <mergeCell ref="AL2:AM2"/>
    <mergeCell ref="GA3:GB3"/>
    <mergeCell ref="GC3:GD3"/>
    <mergeCell ref="EH27:EI27"/>
    <mergeCell ref="BN3:BO3"/>
    <mergeCell ref="BP3:BQ3"/>
    <mergeCell ref="CR2:CS2"/>
    <mergeCell ref="FJ3:FK3"/>
    <mergeCell ref="FL3:FM3"/>
    <mergeCell ref="A27:B27"/>
    <mergeCell ref="FR2:FS2"/>
    <mergeCell ref="EL27:EL28"/>
    <mergeCell ref="CZ3:DA3"/>
    <mergeCell ref="CR3:CS3"/>
    <mergeCell ref="DB3:DC3"/>
    <mergeCell ref="W27:W28"/>
    <mergeCell ref="CT3:CU3"/>
    <mergeCell ref="ED2:EE2"/>
    <mergeCell ref="A22:B22"/>
    <mergeCell ref="GV3:GW3"/>
    <mergeCell ref="O2:P2"/>
    <mergeCell ref="GX3:GY3"/>
    <mergeCell ref="Q2:R2"/>
    <mergeCell ref="DU27:DU28"/>
    <mergeCell ref="GL27:GM27"/>
    <mergeCell ref="CI3:CJ3"/>
    <mergeCell ref="GN27:GO27"/>
    <mergeCell ref="C1:F3"/>
    <mergeCell ref="CK3:CL3"/>
    <mergeCell ref="O3:P3"/>
    <mergeCell ref="Q3:R3"/>
    <mergeCell ref="EW2:EX2"/>
    <mergeCell ref="EY2:EZ2"/>
    <mergeCell ref="BF27:BG27"/>
    <mergeCell ref="BY3:BZ3"/>
    <mergeCell ref="EY3:EZ3"/>
    <mergeCell ref="BV27:BV28"/>
    <mergeCell ref="AJ3:AK3"/>
    <mergeCell ref="AL3:AM3"/>
    <mergeCell ref="BT2:BU2"/>
    <mergeCell ref="GP27:GQ27"/>
    <mergeCell ref="BY27:BZ27"/>
    <mergeCell ref="EL2:EL3"/>
    <mergeCell ref="FR27:FS27"/>
    <mergeCell ref="FJ27:FK27"/>
    <mergeCell ref="DK27:DL27"/>
    <mergeCell ref="DM27:DN27"/>
    <mergeCell ref="EF3:EG3"/>
    <mergeCell ref="S3:T3"/>
    <mergeCell ref="FU27:FV27"/>
    <mergeCell ref="CM2:CM3"/>
    <mergeCell ref="AN2:AN3"/>
    <mergeCell ref="AB27:AC27"/>
    <mergeCell ref="AD27:AE27"/>
    <mergeCell ref="EF27:EG27"/>
    <mergeCell ref="EO27:EP27"/>
    <mergeCell ref="CP2:CQ2"/>
    <mergeCell ref="GA27:GB27"/>
    <mergeCell ref="EB2:EC2"/>
    <mergeCell ref="GC27:GD27"/>
    <mergeCell ref="C23:F23"/>
    <mergeCell ref="DV27:DW27"/>
    <mergeCell ref="G27:H27"/>
    <mergeCell ref="I27:J27"/>
    <mergeCell ref="A25:B25"/>
    <mergeCell ref="CI27:CJ27"/>
    <mergeCell ref="BW2:BX2"/>
    <mergeCell ref="DD2:DD3"/>
    <mergeCell ref="AS27:AT27"/>
    <mergeCell ref="AU27:AV27"/>
    <mergeCell ref="GV27:GW27"/>
    <mergeCell ref="GX27:GY27"/>
    <mergeCell ref="EQ27:ER27"/>
    <mergeCell ref="BW3:BX3"/>
    <mergeCell ref="A20:B20"/>
    <mergeCell ref="GG2:GH2"/>
    <mergeCell ref="GI2:GJ2"/>
    <mergeCell ref="DS27:DT27"/>
    <mergeCell ref="DG3:DH3"/>
    <mergeCell ref="GP2:GQ2"/>
    <mergeCell ref="BN27:BO27"/>
    <mergeCell ref="BP27:BQ27"/>
  </mergeCells>
  <conditionalFormatting sqref="G5:HB19">
    <cfRule type="expression" priority="1" dxfId="1">
      <formula>AND($B5&lt;&gt;"",G$4="ح",G$20&gt;0,N(G5)=0)</formula>
    </cfRule>
  </conditionalFormatting>
  <conditionalFormatting sqref="W5:W19">
    <cfRule type="expression" priority="2" dxfId="2">
      <formula>AND($B5&lt;&gt;"",N($W5)=0,SUMPRODUCT(--$G5:$V5)&gt;0)</formula>
    </cfRule>
  </conditionalFormatting>
  <conditionalFormatting sqref="AN5:AN19">
    <cfRule type="expression" priority="3" dxfId="2">
      <formula>AND($B5&lt;&gt;"",N($AN5)=0,SUMPRODUCT(--$X5:$AM5)&gt;0)</formula>
    </cfRule>
  </conditionalFormatting>
  <conditionalFormatting sqref="BE5:BE19">
    <cfRule type="expression" priority="4" dxfId="2">
      <formula>AND($B5&lt;&gt;"",N($BE5)=0,SUMPRODUCT(--$AO5:$BD5)&gt;0)</formula>
    </cfRule>
  </conditionalFormatting>
  <conditionalFormatting sqref="BV5:BV19">
    <cfRule type="expression" priority="5" dxfId="2">
      <formula>AND($B5&lt;&gt;"",N($BV5)=0,SUMPRODUCT(--$BF5:$BU5)&gt;0)</formula>
    </cfRule>
  </conditionalFormatting>
  <conditionalFormatting sqref="CM5:CM19">
    <cfRule type="expression" priority="6" dxfId="2">
      <formula>AND($B5&lt;&gt;"",N($CM5)=0,SUMPRODUCT(--$BW5:$CL5)&gt;0)</formula>
    </cfRule>
  </conditionalFormatting>
  <conditionalFormatting sqref="DD5:DD19">
    <cfRule type="expression" priority="7" dxfId="2">
      <formula>AND($B5&lt;&gt;"",N($DD5)=0,SUMPRODUCT(--$CN5:$DC5)&gt;0)</formula>
    </cfRule>
  </conditionalFormatting>
  <conditionalFormatting sqref="DU5:DU19">
    <cfRule type="expression" priority="8" dxfId="2">
      <formula>AND($B5&lt;&gt;"",N($DU5)=0,SUMPRODUCT(--$DE5:$DT5)&gt;0)</formula>
    </cfRule>
  </conditionalFormatting>
  <conditionalFormatting sqref="EL5:EL19">
    <cfRule type="expression" priority="9" dxfId="2">
      <formula>AND($B5&lt;&gt;"",N($EL5)=0,SUMPRODUCT(--$DV5:$EK5)&gt;0)</formula>
    </cfRule>
  </conditionalFormatting>
  <conditionalFormatting sqref="FC5:FC19">
    <cfRule type="expression" priority="10" dxfId="2">
      <formula>AND($B5&lt;&gt;"",N($FC5)=0,SUMPRODUCT(--$EM5:$FB5)&gt;0)</formula>
    </cfRule>
  </conditionalFormatting>
  <conditionalFormatting sqref="FT5:FT19">
    <cfRule type="expression" priority="11" dxfId="2">
      <formula>AND($B5&lt;&gt;"",N($FT5)=0,SUMPRODUCT(--$FD5:$FS5)&gt;0)</formula>
    </cfRule>
  </conditionalFormatting>
  <conditionalFormatting sqref="GK5:GK19">
    <cfRule type="expression" priority="12" dxfId="2">
      <formula>AND($B5&lt;&gt;"",N($GK5)=0,SUMPRODUCT(--$FU5:$GJ5)&gt;0)</formula>
    </cfRule>
  </conditionalFormatting>
  <conditionalFormatting sqref="HB5:HB19">
    <cfRule type="expression" priority="13" dxfId="2">
      <formula>AND($B5&lt;&gt;"",N($HB5)=0,SUMPRODUCT(--$GL5:$HA5)&gt;0)</formula>
    </cfRule>
  </conditionalFormatting>
  <conditionalFormatting sqref="G3:HB3">
    <cfRule type="expression" priority="14" dxfId="0">
      <formula>AND(G3&lt;&gt;"",G3=TODAY())</formula>
    </cfRule>
  </conditionalFormatting>
  <conditionalFormatting sqref="D5:D19">
    <cfRule type="expression" priority="15" dxfId="1">
      <formula>AND(ISNUMBER(D5),D5&gt;=$HG$1)</formula>
    </cfRule>
  </conditionalFormatting>
  <conditionalFormatting sqref="E5:E19">
    <cfRule type="expression" priority="16" dxfId="0">
      <formula>AND(ISNUMBER(E5),E5&gt;=2)</formula>
    </cfRule>
  </conditionalFormatting>
  <conditionalFormatting sqref="F5:F19">
    <cfRule type="expression" priority="17" dxfId="2">
      <formula>AND(F5&lt;&gt;"",F5&lt;&gt;"تمام",F5&lt;&gt;"-")</formula>
    </cfRule>
  </conditionalFormatting>
  <conditionalFormatting sqref="G30:HB44">
    <cfRule type="expression" priority="18" dxfId="1">
      <formula>AND(G$29&lt;&gt;"ملاحظات",ISNUMBER(G30),ISNUMBER(G$28),G30&gt;G$28)</formula>
    </cfRule>
    <cfRule type="expression" priority="19" dxfId="3">
      <formula>AND(G$29&lt;&gt;"ملاحظات",ISNUMBER(G30),ISNUMBER(G$28),G30&lt;G$28/2)</formula>
    </cfRule>
  </conditionalFormatting>
  <conditionalFormatting sqref="E30:E44">
    <cfRule type="expression" priority="20" dxfId="0">
      <formula>AND(ISNUMBER(E30),E30&lt;=3)</formula>
    </cfRule>
  </conditionalFormatting>
  <conditionalFormatting sqref="G28:HB28">
    <cfRule type="expression" priority="21" dxfId="2">
      <formula>AND(G$29&lt;&gt;"ملاحظات",NOT(ISNUMBER(G28)),COUNT(G$30:G$44)&gt;0)</formula>
    </cfRule>
  </conditionalFormatting>
  <dataValidations count="4">
    <dataValidation sqref="G27 I27 K27 M27 O27 Q27 S27 U27 X27 Z27 AB27 AD27 AF27 AH27 AJ27 AL27 AO27 AQ27 AS27 AU27 AW27 AY27 BA27 BC27 BF27 BH27 BJ27 BL27 BN27 BP27 BR27 BT27 BW27 BY27 CA27 CC27 CE27 CG27 CI27 CK27 CN27 CP27 CR27 CT27 CV27 CX27 CZ27 DB27 DE27 DG27 DI27 DK27 DM27 DO27 DQ27 DS27 DV27 DX27 DZ27 EB27 ED27 EF27 EH27 EJ27 EM27 EO27 EQ27 ES27 EU27 EW27 EY27 FA27 FD27 FF27 FH27 FJ27 FL27 FN27 FP27 FR27 FU27 FW27 FY27 GA27 GC27 GE27 GG27 GI27 GL27 GN27 GP27 GR27 GT27 GV27 GX27 GZ27" showDropDown="0" showInputMessage="0" showErrorMessage="1" allowBlank="1" type="list" errorStyle="warning">
      <formula1>"وحدة,شهر"</formula1>
    </dataValidation>
    <dataValidation sqref="F27" showDropDown="0" showInputMessage="0" showErrorMessage="1" allowBlank="0" type="list">
      <formula1>'حسابات'!$F$2:$F$14</formula1>
    </dataValidation>
    <dataValidation sqref="G28:V28 G30:V44 X28:AM28 X30:AM44 AO28:BD28 AO30:BD44 BF28:BU28 BF30:BU44 BW28:CL28 BW30:CL44 CN28:DC28 CN30:DC44 DE28:DT28 DE30:DT44 DV28:EK28 DV30:EK44 EM28:FB28 EM30:FB44 FD28:FS28 FD30:FS44 FU28:GJ28 FU30:GJ44 GL28:HA28 GL30:HA44" showDropDown="0" showInputMessage="0" showErrorMessage="1" allowBlank="1" errorTitle="الدرجة" error="اكتبي رقم بس، بالشكل ده: 8 أو 8.5" type="decimal" operator="between">
      <formula1>0</formula1>
      <formula2>1000</formula2>
    </dataValidation>
    <dataValidation sqref="G3:V3 X3:AM3 AO3:BD3 BF3:BU3 BW3:CL3 CN3:DC3 DE3:DT3 DV3:EK3 EM3:FB3 FD3:FS3 FU3:GJ3 GL3:HA3" showDropDown="0" showInputMessage="0" showErrorMessage="1" allowBlank="1" errorTitle="التاريخ" error="اكتبي التاريخ كده: 5/10" type="date" operator="greaterThan">
      <formula1>40000</formula1>
    </dataValidation>
  </dataValidations>
  <pageMargins left="0.75" right="0.75" top="1" bottom="1" header="0.5" footer="0.5"/>
</worksheet>
</file>

<file path=xl/worksheets/sheet8.xml><?xml version="1.0" encoding="utf-8"?>
<worksheet xmlns="http://schemas.openxmlformats.org/spreadsheetml/2006/main">
  <sheetPr>
    <tabColor rgb="00A9DEF9"/>
    <outlinePr summaryBelow="1" summaryRight="1"/>
    <pageSetUpPr/>
  </sheetPr>
  <dimension ref="A1:HG47"/>
  <sheetViews>
    <sheetView showGridLines="0" rightToLeft="1" workbookViewId="0">
      <pane xSplit="2" ySplit="3" topLeftCell="C4" activePane="bottomRight" state="frozen"/>
      <selection pane="topRight"/>
      <selection pane="bottomLeft"/>
      <selection pane="bottomRight" activeCell="A1" sqref="A1"/>
    </sheetView>
  </sheetViews>
  <sheetFormatPr baseColWidth="8" defaultRowHeight="15"/>
  <cols>
    <col width="3.57" customWidth="1" min="1" max="1"/>
    <col width="19.29" customWidth="1" min="2" max="2"/>
    <col width="14.71" customWidth="1" min="3" max="3"/>
    <col width="5.86" customWidth="1" min="4" max="4"/>
    <col width="5.86" customWidth="1" min="5" max="5"/>
    <col width="10.71" customWidth="1" min="6" max="6"/>
    <col outlineLevel="1" width="5" customWidth="1" min="7" max="7"/>
    <col outlineLevel="1" width="5" customWidth="1" min="8" max="8"/>
    <col outlineLevel="1" width="5" customWidth="1" min="9" max="9"/>
    <col outlineLevel="1" width="5" customWidth="1" min="10" max="10"/>
    <col outlineLevel="1" width="5" customWidth="1" min="11" max="11"/>
    <col outlineLevel="1" width="5" customWidth="1" min="12" max="12"/>
    <col outlineLevel="1" width="5" customWidth="1" min="13" max="13"/>
    <col outlineLevel="1" width="5" customWidth="1" min="14" max="14"/>
    <col outlineLevel="1" width="5" customWidth="1" min="15" max="15"/>
    <col outlineLevel="1" width="5" customWidth="1" min="16" max="16"/>
    <col outlineLevel="1" width="5" customWidth="1" min="17" max="17"/>
    <col outlineLevel="1" width="5" customWidth="1" min="18" max="18"/>
    <col outlineLevel="1" width="5" customWidth="1" min="19" max="19"/>
    <col outlineLevel="1" width="5" customWidth="1" min="20" max="20"/>
    <col outlineLevel="1" width="5" customWidth="1" min="21" max="21"/>
    <col outlineLevel="1" width="5" customWidth="1" min="22" max="22"/>
    <col width="14.14" customWidth="1" min="23" max="23"/>
    <col outlineLevel="1" width="5" customWidth="1" min="24" max="24"/>
    <col outlineLevel="1" width="5" customWidth="1" min="25" max="25"/>
    <col outlineLevel="1" width="5" customWidth="1" min="26" max="26"/>
    <col outlineLevel="1" width="5" customWidth="1" min="27" max="27"/>
    <col outlineLevel="1" width="5" customWidth="1" min="28" max="28"/>
    <col outlineLevel="1" width="5" customWidth="1" min="29" max="29"/>
    <col outlineLevel="1" width="5" customWidth="1" min="30" max="30"/>
    <col outlineLevel="1" width="5" customWidth="1" min="31" max="31"/>
    <col outlineLevel="1" width="5" customWidth="1" min="32" max="32"/>
    <col outlineLevel="1" width="5" customWidth="1" min="33" max="33"/>
    <col outlineLevel="1" width="5" customWidth="1" min="34" max="34"/>
    <col outlineLevel="1" width="5" customWidth="1" min="35" max="35"/>
    <col outlineLevel="1" width="5" customWidth="1" min="36" max="36"/>
    <col outlineLevel="1" width="5" customWidth="1" min="37" max="37"/>
    <col outlineLevel="1" width="5" customWidth="1" min="38" max="38"/>
    <col outlineLevel="1" width="5" customWidth="1" min="39" max="39"/>
    <col width="14.14" customWidth="1" min="40" max="40"/>
    <col outlineLevel="1" width="5" customWidth="1" min="41" max="41"/>
    <col outlineLevel="1" width="5" customWidth="1" min="42" max="42"/>
    <col outlineLevel="1" width="5" customWidth="1" min="43" max="43"/>
    <col outlineLevel="1" width="5" customWidth="1" min="44" max="44"/>
    <col outlineLevel="1" width="5" customWidth="1" min="45" max="45"/>
    <col outlineLevel="1" width="5" customWidth="1" min="46" max="46"/>
    <col outlineLevel="1" width="5" customWidth="1" min="47" max="47"/>
    <col outlineLevel="1" width="5" customWidth="1" min="48" max="48"/>
    <col outlineLevel="1" width="5" customWidth="1" min="49" max="49"/>
    <col outlineLevel="1" width="5" customWidth="1" min="50" max="50"/>
    <col outlineLevel="1" width="5" customWidth="1" min="51" max="51"/>
    <col outlineLevel="1" width="5" customWidth="1" min="52" max="52"/>
    <col outlineLevel="1" width="5" customWidth="1" min="53" max="53"/>
    <col outlineLevel="1" width="5" customWidth="1" min="54" max="54"/>
    <col outlineLevel="1" width="5" customWidth="1" min="55" max="55"/>
    <col outlineLevel="1" width="5" customWidth="1" min="56" max="56"/>
    <col width="14.14" customWidth="1" min="57" max="57"/>
    <col outlineLevel="1" width="5" customWidth="1" min="58" max="58"/>
    <col outlineLevel="1" width="5" customWidth="1" min="59" max="59"/>
    <col outlineLevel="1" width="5" customWidth="1" min="60" max="60"/>
    <col outlineLevel="1" width="5" customWidth="1" min="61" max="61"/>
    <col outlineLevel="1" width="5" customWidth="1" min="62" max="62"/>
    <col outlineLevel="1" width="5" customWidth="1" min="63" max="63"/>
    <col outlineLevel="1" width="5" customWidth="1" min="64" max="64"/>
    <col outlineLevel="1" width="5" customWidth="1" min="65" max="65"/>
    <col outlineLevel="1" width="5" customWidth="1" min="66" max="66"/>
    <col outlineLevel="1" width="5" customWidth="1" min="67" max="67"/>
    <col outlineLevel="1" width="5" customWidth="1" min="68" max="68"/>
    <col outlineLevel="1" width="5" customWidth="1" min="69" max="69"/>
    <col outlineLevel="1" width="5" customWidth="1" min="70" max="70"/>
    <col outlineLevel="1" width="5" customWidth="1" min="71" max="71"/>
    <col outlineLevel="1" width="5" customWidth="1" min="72" max="72"/>
    <col outlineLevel="1" width="5" customWidth="1" min="73" max="73"/>
    <col width="14.14" customWidth="1" min="74" max="74"/>
    <col outlineLevel="1" width="5" customWidth="1" min="75" max="75"/>
    <col outlineLevel="1" width="5" customWidth="1" min="76" max="76"/>
    <col outlineLevel="1" width="5" customWidth="1" min="77" max="77"/>
    <col outlineLevel="1" width="5" customWidth="1" min="78" max="78"/>
    <col outlineLevel="1" width="5" customWidth="1" min="79" max="79"/>
    <col outlineLevel="1" width="5" customWidth="1" min="80" max="80"/>
    <col outlineLevel="1" width="5" customWidth="1" min="81" max="81"/>
    <col outlineLevel="1" width="5" customWidth="1" min="82" max="82"/>
    <col outlineLevel="1" width="5" customWidth="1" min="83" max="83"/>
    <col outlineLevel="1" width="5" customWidth="1" min="84" max="84"/>
    <col outlineLevel="1" width="5" customWidth="1" min="85" max="85"/>
    <col outlineLevel="1" width="5" customWidth="1" min="86" max="86"/>
    <col outlineLevel="1" width="5" customWidth="1" min="87" max="87"/>
    <col outlineLevel="1" width="5" customWidth="1" min="88" max="88"/>
    <col outlineLevel="1" width="5" customWidth="1" min="89" max="89"/>
    <col outlineLevel="1" width="5" customWidth="1" min="90" max="90"/>
    <col width="14.14" customWidth="1" min="91" max="91"/>
    <col outlineLevel="1" width="5" customWidth="1" min="92" max="92"/>
    <col outlineLevel="1" width="5" customWidth="1" min="93" max="93"/>
    <col outlineLevel="1" width="5" customWidth="1" min="94" max="94"/>
    <col outlineLevel="1" width="5" customWidth="1" min="95" max="95"/>
    <col outlineLevel="1" width="5" customWidth="1" min="96" max="96"/>
    <col outlineLevel="1" width="5" customWidth="1" min="97" max="97"/>
    <col outlineLevel="1" width="5" customWidth="1" min="98" max="98"/>
    <col outlineLevel="1" width="5" customWidth="1" min="99" max="99"/>
    <col outlineLevel="1" width="5" customWidth="1" min="100" max="100"/>
    <col outlineLevel="1" width="5" customWidth="1" min="101" max="101"/>
    <col outlineLevel="1" width="5" customWidth="1" min="102" max="102"/>
    <col outlineLevel="1" width="5" customWidth="1" min="103" max="103"/>
    <col outlineLevel="1" width="5" customWidth="1" min="104" max="104"/>
    <col outlineLevel="1" width="5" customWidth="1" min="105" max="105"/>
    <col outlineLevel="1" width="5" customWidth="1" min="106" max="106"/>
    <col outlineLevel="1" width="5" customWidth="1" min="107" max="107"/>
    <col width="14.14" customWidth="1" min="108" max="108"/>
    <col outlineLevel="1" width="5" customWidth="1" min="109" max="109"/>
    <col outlineLevel="1" width="5" customWidth="1" min="110" max="110"/>
    <col outlineLevel="1" width="5" customWidth="1" min="111" max="111"/>
    <col outlineLevel="1" width="5" customWidth="1" min="112" max="112"/>
    <col outlineLevel="1" width="5" customWidth="1" min="113" max="113"/>
    <col outlineLevel="1" width="5" customWidth="1" min="114" max="114"/>
    <col outlineLevel="1" width="5" customWidth="1" min="115" max="115"/>
    <col outlineLevel="1" width="5" customWidth="1" min="116" max="116"/>
    <col outlineLevel="1" width="5" customWidth="1" min="117" max="117"/>
    <col outlineLevel="1" width="5" customWidth="1" min="118" max="118"/>
    <col outlineLevel="1" width="5" customWidth="1" min="119" max="119"/>
    <col outlineLevel="1" width="5" customWidth="1" min="120" max="120"/>
    <col outlineLevel="1" width="5" customWidth="1" min="121" max="121"/>
    <col outlineLevel="1" width="5" customWidth="1" min="122" max="122"/>
    <col outlineLevel="1" width="5" customWidth="1" min="123" max="123"/>
    <col outlineLevel="1" width="5" customWidth="1" min="124" max="124"/>
    <col width="14.14" customWidth="1" min="125" max="125"/>
    <col outlineLevel="1" width="5" customWidth="1" min="126" max="126"/>
    <col outlineLevel="1" width="5" customWidth="1" min="127" max="127"/>
    <col outlineLevel="1" width="5" customWidth="1" min="128" max="128"/>
    <col outlineLevel="1" width="5" customWidth="1" min="129" max="129"/>
    <col outlineLevel="1" width="5" customWidth="1" min="130" max="130"/>
    <col outlineLevel="1" width="5" customWidth="1" min="131" max="131"/>
    <col outlineLevel="1" width="5" customWidth="1" min="132" max="132"/>
    <col outlineLevel="1" width="5" customWidth="1" min="133" max="133"/>
    <col outlineLevel="1" width="5" customWidth="1" min="134" max="134"/>
    <col outlineLevel="1" width="5" customWidth="1" min="135" max="135"/>
    <col outlineLevel="1" width="5" customWidth="1" min="136" max="136"/>
    <col outlineLevel="1" width="5" customWidth="1" min="137" max="137"/>
    <col outlineLevel="1" width="5" customWidth="1" min="138" max="138"/>
    <col outlineLevel="1" width="5" customWidth="1" min="139" max="139"/>
    <col outlineLevel="1" width="5" customWidth="1" min="140" max="140"/>
    <col outlineLevel="1" width="5" customWidth="1" min="141" max="141"/>
    <col width="14.14" customWidth="1" min="142" max="142"/>
    <col outlineLevel="1" width="5" customWidth="1" min="143" max="143"/>
    <col outlineLevel="1" width="5" customWidth="1" min="144" max="144"/>
    <col outlineLevel="1" width="5" customWidth="1" min="145" max="145"/>
    <col outlineLevel="1" width="5" customWidth="1" min="146" max="146"/>
    <col outlineLevel="1" width="5" customWidth="1" min="147" max="147"/>
    <col outlineLevel="1" width="5" customWidth="1" min="148" max="148"/>
    <col outlineLevel="1" width="5" customWidth="1" min="149" max="149"/>
    <col outlineLevel="1" width="5" customWidth="1" min="150" max="150"/>
    <col outlineLevel="1" width="5" customWidth="1" min="151" max="151"/>
    <col outlineLevel="1" width="5" customWidth="1" min="152" max="152"/>
    <col outlineLevel="1" width="5" customWidth="1" min="153" max="153"/>
    <col outlineLevel="1" width="5" customWidth="1" min="154" max="154"/>
    <col outlineLevel="1" width="5" customWidth="1" min="155" max="155"/>
    <col outlineLevel="1" width="5" customWidth="1" min="156" max="156"/>
    <col outlineLevel="1" width="5" customWidth="1" min="157" max="157"/>
    <col outlineLevel="1" width="5" customWidth="1" min="158" max="158"/>
    <col width="14.14" customWidth="1" min="159" max="159"/>
    <col outlineLevel="1" width="5" customWidth="1" min="160" max="160"/>
    <col outlineLevel="1" width="5" customWidth="1" min="161" max="161"/>
    <col outlineLevel="1" width="5" customWidth="1" min="162" max="162"/>
    <col outlineLevel="1" width="5" customWidth="1" min="163" max="163"/>
    <col outlineLevel="1" width="5" customWidth="1" min="164" max="164"/>
    <col outlineLevel="1" width="5" customWidth="1" min="165" max="165"/>
    <col outlineLevel="1" width="5" customWidth="1" min="166" max="166"/>
    <col outlineLevel="1" width="5" customWidth="1" min="167" max="167"/>
    <col outlineLevel="1" width="5" customWidth="1" min="168" max="168"/>
    <col outlineLevel="1" width="5" customWidth="1" min="169" max="169"/>
    <col outlineLevel="1" width="5" customWidth="1" min="170" max="170"/>
    <col outlineLevel="1" width="5" customWidth="1" min="171" max="171"/>
    <col outlineLevel="1" width="5" customWidth="1" min="172" max="172"/>
    <col outlineLevel="1" width="5" customWidth="1" min="173" max="173"/>
    <col outlineLevel="1" width="5" customWidth="1" min="174" max="174"/>
    <col outlineLevel="1" width="5" customWidth="1" min="175" max="175"/>
    <col width="14.14" customWidth="1" min="176" max="176"/>
    <col outlineLevel="1" width="5" customWidth="1" min="177" max="177"/>
    <col outlineLevel="1" width="5" customWidth="1" min="178" max="178"/>
    <col outlineLevel="1" width="5" customWidth="1" min="179" max="179"/>
    <col outlineLevel="1" width="5" customWidth="1" min="180" max="180"/>
    <col outlineLevel="1" width="5" customWidth="1" min="181" max="181"/>
    <col outlineLevel="1" width="5" customWidth="1" min="182" max="182"/>
    <col outlineLevel="1" width="5" customWidth="1" min="183" max="183"/>
    <col outlineLevel="1" width="5" customWidth="1" min="184" max="184"/>
    <col outlineLevel="1" width="5" customWidth="1" min="185" max="185"/>
    <col outlineLevel="1" width="5" customWidth="1" min="186" max="186"/>
    <col outlineLevel="1" width="5" customWidth="1" min="187" max="187"/>
    <col outlineLevel="1" width="5" customWidth="1" min="188" max="188"/>
    <col outlineLevel="1" width="5" customWidth="1" min="189" max="189"/>
    <col outlineLevel="1" width="5" customWidth="1" min="190" max="190"/>
    <col outlineLevel="1" width="5" customWidth="1" min="191" max="191"/>
    <col outlineLevel="1" width="5" customWidth="1" min="192" max="192"/>
    <col width="14.14" customWidth="1" min="193" max="193"/>
    <col outlineLevel="1" width="5" customWidth="1" min="194" max="194"/>
    <col outlineLevel="1" width="5" customWidth="1" min="195" max="195"/>
    <col outlineLevel="1" width="5" customWidth="1" min="196" max="196"/>
    <col outlineLevel="1" width="5" customWidth="1" min="197" max="197"/>
    <col outlineLevel="1" width="5" customWidth="1" min="198" max="198"/>
    <col outlineLevel="1" width="5" customWidth="1" min="199" max="199"/>
    <col outlineLevel="1" width="5" customWidth="1" min="200" max="200"/>
    <col outlineLevel="1" width="5" customWidth="1" min="201" max="201"/>
    <col outlineLevel="1" width="5" customWidth="1" min="202" max="202"/>
    <col outlineLevel="1" width="5" customWidth="1" min="203" max="203"/>
    <col outlineLevel="1" width="5" customWidth="1" min="204" max="204"/>
    <col outlineLevel="1" width="5" customWidth="1" min="205" max="205"/>
    <col outlineLevel="1" width="5" customWidth="1" min="206" max="206"/>
    <col outlineLevel="1" width="5" customWidth="1" min="207" max="207"/>
    <col outlineLevel="1" width="5" customWidth="1" min="208" max="208"/>
    <col outlineLevel="1" width="5" customWidth="1" min="209" max="209"/>
    <col width="14.14" customWidth="1" min="210" max="210"/>
    <col hidden="1" width="7.86" customWidth="1" min="211" max="211"/>
    <col hidden="1" width="7.86" customWidth="1" min="212" max="212"/>
    <col hidden="1" width="7.86" customWidth="1" min="213" max="213"/>
    <col hidden="1" width="7.86" customWidth="1" min="214" max="214"/>
    <col hidden="1" width="7.86" customWidth="1" min="215" max="215"/>
  </cols>
  <sheetData>
    <row r="1" ht="24" customHeight="1">
      <c r="A1" s="40" t="inlineStr">
        <is>
          <t>مجموعة 6</t>
        </is>
      </c>
      <c r="B1" s="4" t="n"/>
      <c r="C1" s="41" t="str">
        <f>"عدد الطلاب: "&amp;$HE$1&amp;CHAR(10)&amp;"الغياب والواجب الناقص: في آخر 8 حصص"</f>
        <v>عدد الطلاب: 0
الغياب والواجب الناقص: في آخر 8 حصص</v>
      </c>
      <c r="D1" s="42" t="n"/>
      <c r="E1" s="42" t="n"/>
      <c r="F1" s="43" t="n"/>
      <c r="G1" s="44" t="inlineStr">
        <is>
          <t>الشهر 1</t>
        </is>
      </c>
      <c r="H1" s="13" t="n"/>
      <c r="I1" s="13" t="n"/>
      <c r="J1" s="13" t="n"/>
      <c r="K1" s="13" t="n"/>
      <c r="L1" s="13" t="n"/>
      <c r="M1" s="13" t="n"/>
      <c r="N1" s="13" t="n"/>
      <c r="O1" s="13" t="n"/>
      <c r="P1" s="13" t="n"/>
      <c r="Q1" s="13" t="n"/>
      <c r="R1" s="13" t="n"/>
      <c r="S1" s="13" t="n"/>
      <c r="T1" s="13" t="n"/>
      <c r="U1" s="13" t="n"/>
      <c r="V1" s="13" t="n"/>
      <c r="W1" s="4" t="n"/>
      <c r="X1" s="45" t="inlineStr">
        <is>
          <t>الشهر 2</t>
        </is>
      </c>
      <c r="Y1" s="13" t="n"/>
      <c r="Z1" s="13" t="n"/>
      <c r="AA1" s="13" t="n"/>
      <c r="AB1" s="13" t="n"/>
      <c r="AC1" s="13" t="n"/>
      <c r="AD1" s="13" t="n"/>
      <c r="AE1" s="13" t="n"/>
      <c r="AF1" s="13" t="n"/>
      <c r="AG1" s="13" t="n"/>
      <c r="AH1" s="13" t="n"/>
      <c r="AI1" s="13" t="n"/>
      <c r="AJ1" s="13" t="n"/>
      <c r="AK1" s="13" t="n"/>
      <c r="AL1" s="13" t="n"/>
      <c r="AM1" s="13" t="n"/>
      <c r="AN1" s="4" t="n"/>
      <c r="AO1" s="46" t="inlineStr">
        <is>
          <t>الشهر 3</t>
        </is>
      </c>
      <c r="AP1" s="13" t="n"/>
      <c r="AQ1" s="13" t="n"/>
      <c r="AR1" s="13" t="n"/>
      <c r="AS1" s="13" t="n"/>
      <c r="AT1" s="13" t="n"/>
      <c r="AU1" s="13" t="n"/>
      <c r="AV1" s="13" t="n"/>
      <c r="AW1" s="13" t="n"/>
      <c r="AX1" s="13" t="n"/>
      <c r="AY1" s="13" t="n"/>
      <c r="AZ1" s="13" t="n"/>
      <c r="BA1" s="13" t="n"/>
      <c r="BB1" s="13" t="n"/>
      <c r="BC1" s="13" t="n"/>
      <c r="BD1" s="13" t="n"/>
      <c r="BE1" s="4" t="n"/>
      <c r="BF1" s="47" t="inlineStr">
        <is>
          <t>الشهر 4</t>
        </is>
      </c>
      <c r="BG1" s="13" t="n"/>
      <c r="BH1" s="13" t="n"/>
      <c r="BI1" s="13" t="n"/>
      <c r="BJ1" s="13" t="n"/>
      <c r="BK1" s="13" t="n"/>
      <c r="BL1" s="13" t="n"/>
      <c r="BM1" s="13" t="n"/>
      <c r="BN1" s="13" t="n"/>
      <c r="BO1" s="13" t="n"/>
      <c r="BP1" s="13" t="n"/>
      <c r="BQ1" s="13" t="n"/>
      <c r="BR1" s="13" t="n"/>
      <c r="BS1" s="13" t="n"/>
      <c r="BT1" s="13" t="n"/>
      <c r="BU1" s="13" t="n"/>
      <c r="BV1" s="4" t="n"/>
      <c r="BW1" s="48" t="inlineStr">
        <is>
          <t>الشهر 5</t>
        </is>
      </c>
      <c r="BX1" s="13" t="n"/>
      <c r="BY1" s="13" t="n"/>
      <c r="BZ1" s="13" t="n"/>
      <c r="CA1" s="13" t="n"/>
      <c r="CB1" s="13" t="n"/>
      <c r="CC1" s="13" t="n"/>
      <c r="CD1" s="13" t="n"/>
      <c r="CE1" s="13" t="n"/>
      <c r="CF1" s="13" t="n"/>
      <c r="CG1" s="13" t="n"/>
      <c r="CH1" s="13" t="n"/>
      <c r="CI1" s="13" t="n"/>
      <c r="CJ1" s="13" t="n"/>
      <c r="CK1" s="13" t="n"/>
      <c r="CL1" s="13" t="n"/>
      <c r="CM1" s="4" t="n"/>
      <c r="CN1" s="49" t="inlineStr">
        <is>
          <t>الشهر 6</t>
        </is>
      </c>
      <c r="CO1" s="13" t="n"/>
      <c r="CP1" s="13" t="n"/>
      <c r="CQ1" s="13" t="n"/>
      <c r="CR1" s="13" t="n"/>
      <c r="CS1" s="13" t="n"/>
      <c r="CT1" s="13" t="n"/>
      <c r="CU1" s="13" t="n"/>
      <c r="CV1" s="13" t="n"/>
      <c r="CW1" s="13" t="n"/>
      <c r="CX1" s="13" t="n"/>
      <c r="CY1" s="13" t="n"/>
      <c r="CZ1" s="13" t="n"/>
      <c r="DA1" s="13" t="n"/>
      <c r="DB1" s="13" t="n"/>
      <c r="DC1" s="13" t="n"/>
      <c r="DD1" s="4" t="n"/>
      <c r="DE1" s="50" t="inlineStr">
        <is>
          <t>الشهر 7</t>
        </is>
      </c>
      <c r="DF1" s="13" t="n"/>
      <c r="DG1" s="13" t="n"/>
      <c r="DH1" s="13" t="n"/>
      <c r="DI1" s="13" t="n"/>
      <c r="DJ1" s="13" t="n"/>
      <c r="DK1" s="13" t="n"/>
      <c r="DL1" s="13" t="n"/>
      <c r="DM1" s="13" t="n"/>
      <c r="DN1" s="13" t="n"/>
      <c r="DO1" s="13" t="n"/>
      <c r="DP1" s="13" t="n"/>
      <c r="DQ1" s="13" t="n"/>
      <c r="DR1" s="13" t="n"/>
      <c r="DS1" s="13" t="n"/>
      <c r="DT1" s="13" t="n"/>
      <c r="DU1" s="4" t="n"/>
      <c r="DV1" s="51" t="inlineStr">
        <is>
          <t>الشهر 8</t>
        </is>
      </c>
      <c r="DW1" s="13" t="n"/>
      <c r="DX1" s="13" t="n"/>
      <c r="DY1" s="13" t="n"/>
      <c r="DZ1" s="13" t="n"/>
      <c r="EA1" s="13" t="n"/>
      <c r="EB1" s="13" t="n"/>
      <c r="EC1" s="13" t="n"/>
      <c r="ED1" s="13" t="n"/>
      <c r="EE1" s="13" t="n"/>
      <c r="EF1" s="13" t="n"/>
      <c r="EG1" s="13" t="n"/>
      <c r="EH1" s="13" t="n"/>
      <c r="EI1" s="13" t="n"/>
      <c r="EJ1" s="13" t="n"/>
      <c r="EK1" s="13" t="n"/>
      <c r="EL1" s="4" t="n"/>
      <c r="EM1" s="52" t="inlineStr">
        <is>
          <t>الشهر 9</t>
        </is>
      </c>
      <c r="EN1" s="13" t="n"/>
      <c r="EO1" s="13" t="n"/>
      <c r="EP1" s="13" t="n"/>
      <c r="EQ1" s="13" t="n"/>
      <c r="ER1" s="13" t="n"/>
      <c r="ES1" s="13" t="n"/>
      <c r="ET1" s="13" t="n"/>
      <c r="EU1" s="13" t="n"/>
      <c r="EV1" s="13" t="n"/>
      <c r="EW1" s="13" t="n"/>
      <c r="EX1" s="13" t="n"/>
      <c r="EY1" s="13" t="n"/>
      <c r="EZ1" s="13" t="n"/>
      <c r="FA1" s="13" t="n"/>
      <c r="FB1" s="13" t="n"/>
      <c r="FC1" s="4" t="n"/>
      <c r="FD1" s="53" t="inlineStr">
        <is>
          <t>الشهر 10</t>
        </is>
      </c>
      <c r="FE1" s="13" t="n"/>
      <c r="FF1" s="13" t="n"/>
      <c r="FG1" s="13" t="n"/>
      <c r="FH1" s="13" t="n"/>
      <c r="FI1" s="13" t="n"/>
      <c r="FJ1" s="13" t="n"/>
      <c r="FK1" s="13" t="n"/>
      <c r="FL1" s="13" t="n"/>
      <c r="FM1" s="13" t="n"/>
      <c r="FN1" s="13" t="n"/>
      <c r="FO1" s="13" t="n"/>
      <c r="FP1" s="13" t="n"/>
      <c r="FQ1" s="13" t="n"/>
      <c r="FR1" s="13" t="n"/>
      <c r="FS1" s="13" t="n"/>
      <c r="FT1" s="4" t="n"/>
      <c r="FU1" s="54" t="inlineStr">
        <is>
          <t>الشهر 11</t>
        </is>
      </c>
      <c r="FV1" s="13" t="n"/>
      <c r="FW1" s="13" t="n"/>
      <c r="FX1" s="13" t="n"/>
      <c r="FY1" s="13" t="n"/>
      <c r="FZ1" s="13" t="n"/>
      <c r="GA1" s="13" t="n"/>
      <c r="GB1" s="13" t="n"/>
      <c r="GC1" s="13" t="n"/>
      <c r="GD1" s="13" t="n"/>
      <c r="GE1" s="13" t="n"/>
      <c r="GF1" s="13" t="n"/>
      <c r="GG1" s="13" t="n"/>
      <c r="GH1" s="13" t="n"/>
      <c r="GI1" s="13" t="n"/>
      <c r="GJ1" s="13" t="n"/>
      <c r="GK1" s="4" t="n"/>
      <c r="GL1" s="55" t="inlineStr">
        <is>
          <t>الشهر 12</t>
        </is>
      </c>
      <c r="GM1" s="13" t="n"/>
      <c r="GN1" s="13" t="n"/>
      <c r="GO1" s="13" t="n"/>
      <c r="GP1" s="13" t="n"/>
      <c r="GQ1" s="13" t="n"/>
      <c r="GR1" s="13" t="n"/>
      <c r="GS1" s="13" t="n"/>
      <c r="GT1" s="13" t="n"/>
      <c r="GU1" s="13" t="n"/>
      <c r="GV1" s="13" t="n"/>
      <c r="GW1" s="13" t="n"/>
      <c r="GX1" s="13" t="n"/>
      <c r="GY1" s="13" t="n"/>
      <c r="GZ1" s="13" t="n"/>
      <c r="HA1" s="13" t="n"/>
      <c r="HB1" s="4" t="n"/>
      <c r="HC1">
        <f>SUMPRODUCT(MAX(($G$4:$HB$4="ح")*($G$20:$HB$20&gt;0)*$G$47:$HB$47))</f>
        <v>0</v>
      </c>
      <c r="HD1">
        <f>IF(OR($F$27="",$F$27="الكل"),1,IFERROR(MATCH($F$27,'حسابات'!$F$2:$F$14,0)-1,1))</f>
        <v>1</v>
      </c>
      <c r="HE1">
        <f>SUMPRODUCT(--($B$5:$B$19&lt;&gt;""))</f>
        <v>0</v>
      </c>
      <c r="HF1" t="str">
        <f>IF($HE$3=0,"",8-$HE$3)</f>
        <v/>
      </c>
      <c r="HG1">
        <f>'الرئيسية'!$H$27</f>
        <v>2</v>
      </c>
    </row>
    <row r="2" ht="16.5" customHeight="1">
      <c r="A2" s="56" t="str">
        <f>IF($HC$1=0,"لسه ما بدأتش",IF(INDEX($G$1:$HB$1,1,17*($HC$2-1)+1)="","شهر "&amp;$HC$2,INDEX($G$1:$HB$1,1,17*($HC$2-1)+1))&amp;" · حصة "&amp;$HC$3&amp;" من 8")</f>
        <v>لسه ما بدأتش</v>
      </c>
      <c r="B2" s="43" t="n"/>
      <c r="C2" s="57" t="n"/>
      <c r="F2" s="58" t="n"/>
      <c r="G2" s="59" t="inlineStr">
        <is>
          <t>حصة 1</t>
        </is>
      </c>
      <c r="H2" s="4" t="n"/>
      <c r="I2" s="59" t="inlineStr">
        <is>
          <t>حصة 2</t>
        </is>
      </c>
      <c r="J2" s="4" t="n"/>
      <c r="K2" s="59" t="inlineStr">
        <is>
          <t>حصة 3</t>
        </is>
      </c>
      <c r="L2" s="4" t="n"/>
      <c r="M2" s="59" t="inlineStr">
        <is>
          <t>حصة 4</t>
        </is>
      </c>
      <c r="N2" s="4" t="n"/>
      <c r="O2" s="59" t="inlineStr">
        <is>
          <t>حصة 5</t>
        </is>
      </c>
      <c r="P2" s="4" t="n"/>
      <c r="Q2" s="59" t="inlineStr">
        <is>
          <t>حصة 6</t>
        </is>
      </c>
      <c r="R2" s="4" t="n"/>
      <c r="S2" s="59" t="inlineStr">
        <is>
          <t>حصة 7</t>
        </is>
      </c>
      <c r="T2" s="4" t="n"/>
      <c r="U2" s="59" t="inlineStr">
        <is>
          <t>حصة 8</t>
        </is>
      </c>
      <c r="V2" s="4" t="n"/>
      <c r="W2" s="59" t="inlineStr">
        <is>
          <t>المصاريف</t>
        </is>
      </c>
      <c r="X2" s="60" t="inlineStr">
        <is>
          <t>حصة 1</t>
        </is>
      </c>
      <c r="Y2" s="4" t="n"/>
      <c r="Z2" s="60" t="inlineStr">
        <is>
          <t>حصة 2</t>
        </is>
      </c>
      <c r="AA2" s="4" t="n"/>
      <c r="AB2" s="60" t="inlineStr">
        <is>
          <t>حصة 3</t>
        </is>
      </c>
      <c r="AC2" s="4" t="n"/>
      <c r="AD2" s="60" t="inlineStr">
        <is>
          <t>حصة 4</t>
        </is>
      </c>
      <c r="AE2" s="4" t="n"/>
      <c r="AF2" s="60" t="inlineStr">
        <is>
          <t>حصة 5</t>
        </is>
      </c>
      <c r="AG2" s="4" t="n"/>
      <c r="AH2" s="60" t="inlineStr">
        <is>
          <t>حصة 6</t>
        </is>
      </c>
      <c r="AI2" s="4" t="n"/>
      <c r="AJ2" s="60" t="inlineStr">
        <is>
          <t>حصة 7</t>
        </is>
      </c>
      <c r="AK2" s="4" t="n"/>
      <c r="AL2" s="60" t="inlineStr">
        <is>
          <t>حصة 8</t>
        </is>
      </c>
      <c r="AM2" s="4" t="n"/>
      <c r="AN2" s="60" t="inlineStr">
        <is>
          <t>المصاريف</t>
        </is>
      </c>
      <c r="AO2" s="61" t="inlineStr">
        <is>
          <t>حصة 1</t>
        </is>
      </c>
      <c r="AP2" s="4" t="n"/>
      <c r="AQ2" s="61" t="inlineStr">
        <is>
          <t>حصة 2</t>
        </is>
      </c>
      <c r="AR2" s="4" t="n"/>
      <c r="AS2" s="61" t="inlineStr">
        <is>
          <t>حصة 3</t>
        </is>
      </c>
      <c r="AT2" s="4" t="n"/>
      <c r="AU2" s="61" t="inlineStr">
        <is>
          <t>حصة 4</t>
        </is>
      </c>
      <c r="AV2" s="4" t="n"/>
      <c r="AW2" s="61" t="inlineStr">
        <is>
          <t>حصة 5</t>
        </is>
      </c>
      <c r="AX2" s="4" t="n"/>
      <c r="AY2" s="61" t="inlineStr">
        <is>
          <t>حصة 6</t>
        </is>
      </c>
      <c r="AZ2" s="4" t="n"/>
      <c r="BA2" s="61" t="inlineStr">
        <is>
          <t>حصة 7</t>
        </is>
      </c>
      <c r="BB2" s="4" t="n"/>
      <c r="BC2" s="61" t="inlineStr">
        <is>
          <t>حصة 8</t>
        </is>
      </c>
      <c r="BD2" s="4" t="n"/>
      <c r="BE2" s="61" t="inlineStr">
        <is>
          <t>المصاريف</t>
        </is>
      </c>
      <c r="BF2" s="62" t="inlineStr">
        <is>
          <t>حصة 1</t>
        </is>
      </c>
      <c r="BG2" s="4" t="n"/>
      <c r="BH2" s="62" t="inlineStr">
        <is>
          <t>حصة 2</t>
        </is>
      </c>
      <c r="BI2" s="4" t="n"/>
      <c r="BJ2" s="62" t="inlineStr">
        <is>
          <t>حصة 3</t>
        </is>
      </c>
      <c r="BK2" s="4" t="n"/>
      <c r="BL2" s="62" t="inlineStr">
        <is>
          <t>حصة 4</t>
        </is>
      </c>
      <c r="BM2" s="4" t="n"/>
      <c r="BN2" s="62" t="inlineStr">
        <is>
          <t>حصة 5</t>
        </is>
      </c>
      <c r="BO2" s="4" t="n"/>
      <c r="BP2" s="62" t="inlineStr">
        <is>
          <t>حصة 6</t>
        </is>
      </c>
      <c r="BQ2" s="4" t="n"/>
      <c r="BR2" s="62" t="inlineStr">
        <is>
          <t>حصة 7</t>
        </is>
      </c>
      <c r="BS2" s="4" t="n"/>
      <c r="BT2" s="62" t="inlineStr">
        <is>
          <t>حصة 8</t>
        </is>
      </c>
      <c r="BU2" s="4" t="n"/>
      <c r="BV2" s="62" t="inlineStr">
        <is>
          <t>المصاريف</t>
        </is>
      </c>
      <c r="BW2" s="63" t="inlineStr">
        <is>
          <t>حصة 1</t>
        </is>
      </c>
      <c r="BX2" s="4" t="n"/>
      <c r="BY2" s="63" t="inlineStr">
        <is>
          <t>حصة 2</t>
        </is>
      </c>
      <c r="BZ2" s="4" t="n"/>
      <c r="CA2" s="63" t="inlineStr">
        <is>
          <t>حصة 3</t>
        </is>
      </c>
      <c r="CB2" s="4" t="n"/>
      <c r="CC2" s="63" t="inlineStr">
        <is>
          <t>حصة 4</t>
        </is>
      </c>
      <c r="CD2" s="4" t="n"/>
      <c r="CE2" s="63" t="inlineStr">
        <is>
          <t>حصة 5</t>
        </is>
      </c>
      <c r="CF2" s="4" t="n"/>
      <c r="CG2" s="63" t="inlineStr">
        <is>
          <t>حصة 6</t>
        </is>
      </c>
      <c r="CH2" s="4" t="n"/>
      <c r="CI2" s="63" t="inlineStr">
        <is>
          <t>حصة 7</t>
        </is>
      </c>
      <c r="CJ2" s="4" t="n"/>
      <c r="CK2" s="63" t="inlineStr">
        <is>
          <t>حصة 8</t>
        </is>
      </c>
      <c r="CL2" s="4" t="n"/>
      <c r="CM2" s="63" t="inlineStr">
        <is>
          <t>المصاريف</t>
        </is>
      </c>
      <c r="CN2" s="64" t="inlineStr">
        <is>
          <t>حصة 1</t>
        </is>
      </c>
      <c r="CO2" s="4" t="n"/>
      <c r="CP2" s="64" t="inlineStr">
        <is>
          <t>حصة 2</t>
        </is>
      </c>
      <c r="CQ2" s="4" t="n"/>
      <c r="CR2" s="64" t="inlineStr">
        <is>
          <t>حصة 3</t>
        </is>
      </c>
      <c r="CS2" s="4" t="n"/>
      <c r="CT2" s="64" t="inlineStr">
        <is>
          <t>حصة 4</t>
        </is>
      </c>
      <c r="CU2" s="4" t="n"/>
      <c r="CV2" s="64" t="inlineStr">
        <is>
          <t>حصة 5</t>
        </is>
      </c>
      <c r="CW2" s="4" t="n"/>
      <c r="CX2" s="64" t="inlineStr">
        <is>
          <t>حصة 6</t>
        </is>
      </c>
      <c r="CY2" s="4" t="n"/>
      <c r="CZ2" s="64" t="inlineStr">
        <is>
          <t>حصة 7</t>
        </is>
      </c>
      <c r="DA2" s="4" t="n"/>
      <c r="DB2" s="64" t="inlineStr">
        <is>
          <t>حصة 8</t>
        </is>
      </c>
      <c r="DC2" s="4" t="n"/>
      <c r="DD2" s="64" t="inlineStr">
        <is>
          <t>المصاريف</t>
        </is>
      </c>
      <c r="DE2" s="65" t="inlineStr">
        <is>
          <t>حصة 1</t>
        </is>
      </c>
      <c r="DF2" s="4" t="n"/>
      <c r="DG2" s="65" t="inlineStr">
        <is>
          <t>حصة 2</t>
        </is>
      </c>
      <c r="DH2" s="4" t="n"/>
      <c r="DI2" s="65" t="inlineStr">
        <is>
          <t>حصة 3</t>
        </is>
      </c>
      <c r="DJ2" s="4" t="n"/>
      <c r="DK2" s="65" t="inlineStr">
        <is>
          <t>حصة 4</t>
        </is>
      </c>
      <c r="DL2" s="4" t="n"/>
      <c r="DM2" s="65" t="inlineStr">
        <is>
          <t>حصة 5</t>
        </is>
      </c>
      <c r="DN2" s="4" t="n"/>
      <c r="DO2" s="65" t="inlineStr">
        <is>
          <t>حصة 6</t>
        </is>
      </c>
      <c r="DP2" s="4" t="n"/>
      <c r="DQ2" s="65" t="inlineStr">
        <is>
          <t>حصة 7</t>
        </is>
      </c>
      <c r="DR2" s="4" t="n"/>
      <c r="DS2" s="65" t="inlineStr">
        <is>
          <t>حصة 8</t>
        </is>
      </c>
      <c r="DT2" s="4" t="n"/>
      <c r="DU2" s="65" t="inlineStr">
        <is>
          <t>المصاريف</t>
        </is>
      </c>
      <c r="DV2" s="66" t="inlineStr">
        <is>
          <t>حصة 1</t>
        </is>
      </c>
      <c r="DW2" s="4" t="n"/>
      <c r="DX2" s="66" t="inlineStr">
        <is>
          <t>حصة 2</t>
        </is>
      </c>
      <c r="DY2" s="4" t="n"/>
      <c r="DZ2" s="66" t="inlineStr">
        <is>
          <t>حصة 3</t>
        </is>
      </c>
      <c r="EA2" s="4" t="n"/>
      <c r="EB2" s="66" t="inlineStr">
        <is>
          <t>حصة 4</t>
        </is>
      </c>
      <c r="EC2" s="4" t="n"/>
      <c r="ED2" s="66" t="inlineStr">
        <is>
          <t>حصة 5</t>
        </is>
      </c>
      <c r="EE2" s="4" t="n"/>
      <c r="EF2" s="66" t="inlineStr">
        <is>
          <t>حصة 6</t>
        </is>
      </c>
      <c r="EG2" s="4" t="n"/>
      <c r="EH2" s="66" t="inlineStr">
        <is>
          <t>حصة 7</t>
        </is>
      </c>
      <c r="EI2" s="4" t="n"/>
      <c r="EJ2" s="66" t="inlineStr">
        <is>
          <t>حصة 8</t>
        </is>
      </c>
      <c r="EK2" s="4" t="n"/>
      <c r="EL2" s="66" t="inlineStr">
        <is>
          <t>المصاريف</t>
        </is>
      </c>
      <c r="EM2" s="67" t="inlineStr">
        <is>
          <t>حصة 1</t>
        </is>
      </c>
      <c r="EN2" s="4" t="n"/>
      <c r="EO2" s="67" t="inlineStr">
        <is>
          <t>حصة 2</t>
        </is>
      </c>
      <c r="EP2" s="4" t="n"/>
      <c r="EQ2" s="67" t="inlineStr">
        <is>
          <t>حصة 3</t>
        </is>
      </c>
      <c r="ER2" s="4" t="n"/>
      <c r="ES2" s="67" t="inlineStr">
        <is>
          <t>حصة 4</t>
        </is>
      </c>
      <c r="ET2" s="4" t="n"/>
      <c r="EU2" s="67" t="inlineStr">
        <is>
          <t>حصة 5</t>
        </is>
      </c>
      <c r="EV2" s="4" t="n"/>
      <c r="EW2" s="67" t="inlineStr">
        <is>
          <t>حصة 6</t>
        </is>
      </c>
      <c r="EX2" s="4" t="n"/>
      <c r="EY2" s="67" t="inlineStr">
        <is>
          <t>حصة 7</t>
        </is>
      </c>
      <c r="EZ2" s="4" t="n"/>
      <c r="FA2" s="67" t="inlineStr">
        <is>
          <t>حصة 8</t>
        </is>
      </c>
      <c r="FB2" s="4" t="n"/>
      <c r="FC2" s="67" t="inlineStr">
        <is>
          <t>المصاريف</t>
        </is>
      </c>
      <c r="FD2" s="68" t="inlineStr">
        <is>
          <t>حصة 1</t>
        </is>
      </c>
      <c r="FE2" s="4" t="n"/>
      <c r="FF2" s="68" t="inlineStr">
        <is>
          <t>حصة 2</t>
        </is>
      </c>
      <c r="FG2" s="4" t="n"/>
      <c r="FH2" s="68" t="inlineStr">
        <is>
          <t>حصة 3</t>
        </is>
      </c>
      <c r="FI2" s="4" t="n"/>
      <c r="FJ2" s="68" t="inlineStr">
        <is>
          <t>حصة 4</t>
        </is>
      </c>
      <c r="FK2" s="4" t="n"/>
      <c r="FL2" s="68" t="inlineStr">
        <is>
          <t>حصة 5</t>
        </is>
      </c>
      <c r="FM2" s="4" t="n"/>
      <c r="FN2" s="68" t="inlineStr">
        <is>
          <t>حصة 6</t>
        </is>
      </c>
      <c r="FO2" s="4" t="n"/>
      <c r="FP2" s="68" t="inlineStr">
        <is>
          <t>حصة 7</t>
        </is>
      </c>
      <c r="FQ2" s="4" t="n"/>
      <c r="FR2" s="68" t="inlineStr">
        <is>
          <t>حصة 8</t>
        </is>
      </c>
      <c r="FS2" s="4" t="n"/>
      <c r="FT2" s="68" t="inlineStr">
        <is>
          <t>المصاريف</t>
        </is>
      </c>
      <c r="FU2" s="69" t="inlineStr">
        <is>
          <t>حصة 1</t>
        </is>
      </c>
      <c r="FV2" s="4" t="n"/>
      <c r="FW2" s="69" t="inlineStr">
        <is>
          <t>حصة 2</t>
        </is>
      </c>
      <c r="FX2" s="4" t="n"/>
      <c r="FY2" s="69" t="inlineStr">
        <is>
          <t>حصة 3</t>
        </is>
      </c>
      <c r="FZ2" s="4" t="n"/>
      <c r="GA2" s="69" t="inlineStr">
        <is>
          <t>حصة 4</t>
        </is>
      </c>
      <c r="GB2" s="4" t="n"/>
      <c r="GC2" s="69" t="inlineStr">
        <is>
          <t>حصة 5</t>
        </is>
      </c>
      <c r="GD2" s="4" t="n"/>
      <c r="GE2" s="69" t="inlineStr">
        <is>
          <t>حصة 6</t>
        </is>
      </c>
      <c r="GF2" s="4" t="n"/>
      <c r="GG2" s="69" t="inlineStr">
        <is>
          <t>حصة 7</t>
        </is>
      </c>
      <c r="GH2" s="4" t="n"/>
      <c r="GI2" s="69" t="inlineStr">
        <is>
          <t>حصة 8</t>
        </is>
      </c>
      <c r="GJ2" s="4" t="n"/>
      <c r="GK2" s="69" t="inlineStr">
        <is>
          <t>المصاريف</t>
        </is>
      </c>
      <c r="GL2" s="70" t="inlineStr">
        <is>
          <t>حصة 1</t>
        </is>
      </c>
      <c r="GM2" s="4" t="n"/>
      <c r="GN2" s="70" t="inlineStr">
        <is>
          <t>حصة 2</t>
        </is>
      </c>
      <c r="GO2" s="4" t="n"/>
      <c r="GP2" s="70" t="inlineStr">
        <is>
          <t>حصة 3</t>
        </is>
      </c>
      <c r="GQ2" s="4" t="n"/>
      <c r="GR2" s="70" t="inlineStr">
        <is>
          <t>حصة 4</t>
        </is>
      </c>
      <c r="GS2" s="4" t="n"/>
      <c r="GT2" s="70" t="inlineStr">
        <is>
          <t>حصة 5</t>
        </is>
      </c>
      <c r="GU2" s="4" t="n"/>
      <c r="GV2" s="70" t="inlineStr">
        <is>
          <t>حصة 6</t>
        </is>
      </c>
      <c r="GW2" s="4" t="n"/>
      <c r="GX2" s="70" t="inlineStr">
        <is>
          <t>حصة 7</t>
        </is>
      </c>
      <c r="GY2" s="4" t="n"/>
      <c r="GZ2" s="70" t="inlineStr">
        <is>
          <t>حصة 8</t>
        </is>
      </c>
      <c r="HA2" s="4" t="n"/>
      <c r="HB2" s="70" t="inlineStr">
        <is>
          <t>المصاريف</t>
        </is>
      </c>
      <c r="HC2">
        <f>IF($HC$1=0,1,INT(($HC$1-1)/8)+1)</f>
        <v>1</v>
      </c>
      <c r="HD2">
        <f>IF(OR($F$27="",$F$27="الكل"),12,$HD$1)</f>
        <v>12</v>
      </c>
      <c r="HE2">
        <f>IF(SUMPRODUCT(($G$3:$HB$3=TODAY())*($G$20:$HB$20&gt;0))&gt;0,1,0)</f>
        <v>0</v>
      </c>
      <c r="HF2" t="str">
        <f>IF($HF$1="","",TODAY()+$HF$1)</f>
        <v/>
      </c>
    </row>
    <row r="3" ht="19.5" customHeight="1">
      <c r="A3" s="71" t="n"/>
      <c r="B3" s="72" t="n"/>
      <c r="C3" s="71" t="n"/>
      <c r="D3" s="73" t="n"/>
      <c r="E3" s="73" t="n"/>
      <c r="F3" s="72" t="n"/>
      <c r="G3" s="74" t="n"/>
      <c r="H3" s="4" t="n"/>
      <c r="I3" s="74" t="n"/>
      <c r="J3" s="4" t="n"/>
      <c r="K3" s="74" t="n"/>
      <c r="L3" s="4" t="n"/>
      <c r="M3" s="74" t="n"/>
      <c r="N3" s="4" t="n"/>
      <c r="O3" s="74" t="n"/>
      <c r="P3" s="4" t="n"/>
      <c r="Q3" s="74" t="n"/>
      <c r="R3" s="4" t="n"/>
      <c r="S3" s="74" t="n"/>
      <c r="T3" s="4" t="n"/>
      <c r="U3" s="74" t="n"/>
      <c r="V3" s="4" t="n"/>
      <c r="W3" s="75" t="n"/>
      <c r="X3" s="74" t="n"/>
      <c r="Y3" s="4" t="n"/>
      <c r="Z3" s="74" t="n"/>
      <c r="AA3" s="4" t="n"/>
      <c r="AB3" s="74" t="n"/>
      <c r="AC3" s="4" t="n"/>
      <c r="AD3" s="74" t="n"/>
      <c r="AE3" s="4" t="n"/>
      <c r="AF3" s="74" t="n"/>
      <c r="AG3" s="4" t="n"/>
      <c r="AH3" s="74" t="n"/>
      <c r="AI3" s="4" t="n"/>
      <c r="AJ3" s="74" t="n"/>
      <c r="AK3" s="4" t="n"/>
      <c r="AL3" s="74" t="n"/>
      <c r="AM3" s="4" t="n"/>
      <c r="AN3" s="75" t="n"/>
      <c r="AO3" s="74" t="n"/>
      <c r="AP3" s="4" t="n"/>
      <c r="AQ3" s="74" t="n"/>
      <c r="AR3" s="4" t="n"/>
      <c r="AS3" s="74" t="n"/>
      <c r="AT3" s="4" t="n"/>
      <c r="AU3" s="74" t="n"/>
      <c r="AV3" s="4" t="n"/>
      <c r="AW3" s="74" t="n"/>
      <c r="AX3" s="4" t="n"/>
      <c r="AY3" s="74" t="n"/>
      <c r="AZ3" s="4" t="n"/>
      <c r="BA3" s="74" t="n"/>
      <c r="BB3" s="4" t="n"/>
      <c r="BC3" s="74" t="n"/>
      <c r="BD3" s="4" t="n"/>
      <c r="BE3" s="75" t="n"/>
      <c r="BF3" s="74" t="n"/>
      <c r="BG3" s="4" t="n"/>
      <c r="BH3" s="74" t="n"/>
      <c r="BI3" s="4" t="n"/>
      <c r="BJ3" s="74" t="n"/>
      <c r="BK3" s="4" t="n"/>
      <c r="BL3" s="74" t="n"/>
      <c r="BM3" s="4" t="n"/>
      <c r="BN3" s="74" t="n"/>
      <c r="BO3" s="4" t="n"/>
      <c r="BP3" s="74" t="n"/>
      <c r="BQ3" s="4" t="n"/>
      <c r="BR3" s="74" t="n"/>
      <c r="BS3" s="4" t="n"/>
      <c r="BT3" s="74" t="n"/>
      <c r="BU3" s="4" t="n"/>
      <c r="BV3" s="75" t="n"/>
      <c r="BW3" s="74" t="n"/>
      <c r="BX3" s="4" t="n"/>
      <c r="BY3" s="74" t="n"/>
      <c r="BZ3" s="4" t="n"/>
      <c r="CA3" s="74" t="n"/>
      <c r="CB3" s="4" t="n"/>
      <c r="CC3" s="74" t="n"/>
      <c r="CD3" s="4" t="n"/>
      <c r="CE3" s="74" t="n"/>
      <c r="CF3" s="4" t="n"/>
      <c r="CG3" s="74" t="n"/>
      <c r="CH3" s="4" t="n"/>
      <c r="CI3" s="74" t="n"/>
      <c r="CJ3" s="4" t="n"/>
      <c r="CK3" s="74" t="n"/>
      <c r="CL3" s="4" t="n"/>
      <c r="CM3" s="75" t="n"/>
      <c r="CN3" s="74" t="n"/>
      <c r="CO3" s="4" t="n"/>
      <c r="CP3" s="74" t="n"/>
      <c r="CQ3" s="4" t="n"/>
      <c r="CR3" s="74" t="n"/>
      <c r="CS3" s="4" t="n"/>
      <c r="CT3" s="74" t="n"/>
      <c r="CU3" s="4" t="n"/>
      <c r="CV3" s="74" t="n"/>
      <c r="CW3" s="4" t="n"/>
      <c r="CX3" s="74" t="n"/>
      <c r="CY3" s="4" t="n"/>
      <c r="CZ3" s="74" t="n"/>
      <c r="DA3" s="4" t="n"/>
      <c r="DB3" s="74" t="n"/>
      <c r="DC3" s="4" t="n"/>
      <c r="DD3" s="75" t="n"/>
      <c r="DE3" s="74" t="n"/>
      <c r="DF3" s="4" t="n"/>
      <c r="DG3" s="74" t="n"/>
      <c r="DH3" s="4" t="n"/>
      <c r="DI3" s="74" t="n"/>
      <c r="DJ3" s="4" t="n"/>
      <c r="DK3" s="74" t="n"/>
      <c r="DL3" s="4" t="n"/>
      <c r="DM3" s="74" t="n"/>
      <c r="DN3" s="4" t="n"/>
      <c r="DO3" s="74" t="n"/>
      <c r="DP3" s="4" t="n"/>
      <c r="DQ3" s="74" t="n"/>
      <c r="DR3" s="4" t="n"/>
      <c r="DS3" s="74" t="n"/>
      <c r="DT3" s="4" t="n"/>
      <c r="DU3" s="75" t="n"/>
      <c r="DV3" s="74" t="n"/>
      <c r="DW3" s="4" t="n"/>
      <c r="DX3" s="74" t="n"/>
      <c r="DY3" s="4" t="n"/>
      <c r="DZ3" s="74" t="n"/>
      <c r="EA3" s="4" t="n"/>
      <c r="EB3" s="74" t="n"/>
      <c r="EC3" s="4" t="n"/>
      <c r="ED3" s="74" t="n"/>
      <c r="EE3" s="4" t="n"/>
      <c r="EF3" s="74" t="n"/>
      <c r="EG3" s="4" t="n"/>
      <c r="EH3" s="74" t="n"/>
      <c r="EI3" s="4" t="n"/>
      <c r="EJ3" s="74" t="n"/>
      <c r="EK3" s="4" t="n"/>
      <c r="EL3" s="75" t="n"/>
      <c r="EM3" s="74" t="n"/>
      <c r="EN3" s="4" t="n"/>
      <c r="EO3" s="74" t="n"/>
      <c r="EP3" s="4" t="n"/>
      <c r="EQ3" s="74" t="n"/>
      <c r="ER3" s="4" t="n"/>
      <c r="ES3" s="74" t="n"/>
      <c r="ET3" s="4" t="n"/>
      <c r="EU3" s="74" t="n"/>
      <c r="EV3" s="4" t="n"/>
      <c r="EW3" s="74" t="n"/>
      <c r="EX3" s="4" t="n"/>
      <c r="EY3" s="74" t="n"/>
      <c r="EZ3" s="4" t="n"/>
      <c r="FA3" s="74" t="n"/>
      <c r="FB3" s="4" t="n"/>
      <c r="FC3" s="75" t="n"/>
      <c r="FD3" s="74" t="n"/>
      <c r="FE3" s="4" t="n"/>
      <c r="FF3" s="74" t="n"/>
      <c r="FG3" s="4" t="n"/>
      <c r="FH3" s="74" t="n"/>
      <c r="FI3" s="4" t="n"/>
      <c r="FJ3" s="74" t="n"/>
      <c r="FK3" s="4" t="n"/>
      <c r="FL3" s="74" t="n"/>
      <c r="FM3" s="4" t="n"/>
      <c r="FN3" s="74" t="n"/>
      <c r="FO3" s="4" t="n"/>
      <c r="FP3" s="74" t="n"/>
      <c r="FQ3" s="4" t="n"/>
      <c r="FR3" s="74" t="n"/>
      <c r="FS3" s="4" t="n"/>
      <c r="FT3" s="75" t="n"/>
      <c r="FU3" s="74" t="n"/>
      <c r="FV3" s="4" t="n"/>
      <c r="FW3" s="74" t="n"/>
      <c r="FX3" s="4" t="n"/>
      <c r="FY3" s="74" t="n"/>
      <c r="FZ3" s="4" t="n"/>
      <c r="GA3" s="74" t="n"/>
      <c r="GB3" s="4" t="n"/>
      <c r="GC3" s="74" t="n"/>
      <c r="GD3" s="4" t="n"/>
      <c r="GE3" s="74" t="n"/>
      <c r="GF3" s="4" t="n"/>
      <c r="GG3" s="74" t="n"/>
      <c r="GH3" s="4" t="n"/>
      <c r="GI3" s="74" t="n"/>
      <c r="GJ3" s="4" t="n"/>
      <c r="GK3" s="75" t="n"/>
      <c r="GL3" s="74" t="n"/>
      <c r="GM3" s="4" t="n"/>
      <c r="GN3" s="74" t="n"/>
      <c r="GO3" s="4" t="n"/>
      <c r="GP3" s="74" t="n"/>
      <c r="GQ3" s="4" t="n"/>
      <c r="GR3" s="74" t="n"/>
      <c r="GS3" s="4" t="n"/>
      <c r="GT3" s="74" t="n"/>
      <c r="GU3" s="4" t="n"/>
      <c r="GV3" s="74" t="n"/>
      <c r="GW3" s="4" t="n"/>
      <c r="GX3" s="74" t="n"/>
      <c r="GY3" s="4" t="n"/>
      <c r="GZ3" s="74" t="n"/>
      <c r="HA3" s="4" t="n"/>
      <c r="HB3" s="75" t="n"/>
      <c r="HC3">
        <f>$HC$1-8*($HC$2-1)</f>
        <v>0</v>
      </c>
      <c r="HE3">
        <f>IF($A$1="",0,IF($HE$2=1,SUMPRODUCT(MAX(('المواعيد'!$D$5:$D$34=$A$1)*(8-'المواعيد'!$L$5:$L$34))),SUMPRODUCT(MAX(('المواعيد'!$D$5:$D$34=$A$1)*(8-'المواعيد'!$K$5:$K$34)))))</f>
        <v>0</v>
      </c>
      <c r="HF3">
        <f>IF($HF$1="",0,SUMPRODUCT(MAX(('المواعيد'!$D$5:$D$34=$A$1)*('المواعيد'!$G$5:$G$34=WEEKDAY($HF$2))*(ROW('المواعيد'!$D$5:$D$34)-4))))</f>
        <v>0</v>
      </c>
    </row>
    <row r="4" ht="16.5" customHeight="1">
      <c r="A4" s="76" t="inlineStr">
        <is>
          <t>م</t>
        </is>
      </c>
      <c r="B4" s="76" t="inlineStr">
        <is>
          <t>الاسم</t>
        </is>
      </c>
      <c r="C4" s="76" t="inlineStr">
        <is>
          <t>ولي الأمر</t>
        </is>
      </c>
      <c r="D4" s="76" t="inlineStr">
        <is>
          <t>غياب</t>
        </is>
      </c>
      <c r="E4" s="76" t="inlineStr">
        <is>
          <t>واجب</t>
        </is>
      </c>
      <c r="F4" s="76" t="inlineStr">
        <is>
          <t>المصاريف</t>
        </is>
      </c>
      <c r="G4" s="8" t="inlineStr">
        <is>
          <t>ح</t>
        </is>
      </c>
      <c r="H4" s="77" t="inlineStr">
        <is>
          <t>و</t>
        </is>
      </c>
      <c r="I4" s="8" t="inlineStr">
        <is>
          <t>ح</t>
        </is>
      </c>
      <c r="J4" s="77" t="inlineStr">
        <is>
          <t>و</t>
        </is>
      </c>
      <c r="K4" s="8" t="inlineStr">
        <is>
          <t>ح</t>
        </is>
      </c>
      <c r="L4" s="77" t="inlineStr">
        <is>
          <t>و</t>
        </is>
      </c>
      <c r="M4" s="8" t="inlineStr">
        <is>
          <t>ح</t>
        </is>
      </c>
      <c r="N4" s="77" t="inlineStr">
        <is>
          <t>و</t>
        </is>
      </c>
      <c r="O4" s="8" t="inlineStr">
        <is>
          <t>ح</t>
        </is>
      </c>
      <c r="P4" s="77" t="inlineStr">
        <is>
          <t>و</t>
        </is>
      </c>
      <c r="Q4" s="8" t="inlineStr">
        <is>
          <t>ح</t>
        </is>
      </c>
      <c r="R4" s="77" t="inlineStr">
        <is>
          <t>و</t>
        </is>
      </c>
      <c r="S4" s="8" t="inlineStr">
        <is>
          <t>ح</t>
        </is>
      </c>
      <c r="T4" s="77" t="inlineStr">
        <is>
          <t>و</t>
        </is>
      </c>
      <c r="U4" s="8" t="inlineStr">
        <is>
          <t>ح</t>
        </is>
      </c>
      <c r="V4" s="77" t="inlineStr">
        <is>
          <t>و</t>
        </is>
      </c>
      <c r="W4" s="77" t="inlineStr">
        <is>
          <t>دفع</t>
        </is>
      </c>
      <c r="X4" s="9" t="inlineStr">
        <is>
          <t>ح</t>
        </is>
      </c>
      <c r="Y4" s="78" t="inlineStr">
        <is>
          <t>و</t>
        </is>
      </c>
      <c r="Z4" s="9" t="inlineStr">
        <is>
          <t>ح</t>
        </is>
      </c>
      <c r="AA4" s="78" t="inlineStr">
        <is>
          <t>و</t>
        </is>
      </c>
      <c r="AB4" s="9" t="inlineStr">
        <is>
          <t>ح</t>
        </is>
      </c>
      <c r="AC4" s="78" t="inlineStr">
        <is>
          <t>و</t>
        </is>
      </c>
      <c r="AD4" s="9" t="inlineStr">
        <is>
          <t>ح</t>
        </is>
      </c>
      <c r="AE4" s="78" t="inlineStr">
        <is>
          <t>و</t>
        </is>
      </c>
      <c r="AF4" s="9" t="inlineStr">
        <is>
          <t>ح</t>
        </is>
      </c>
      <c r="AG4" s="78" t="inlineStr">
        <is>
          <t>و</t>
        </is>
      </c>
      <c r="AH4" s="9" t="inlineStr">
        <is>
          <t>ح</t>
        </is>
      </c>
      <c r="AI4" s="78" t="inlineStr">
        <is>
          <t>و</t>
        </is>
      </c>
      <c r="AJ4" s="9" t="inlineStr">
        <is>
          <t>ح</t>
        </is>
      </c>
      <c r="AK4" s="78" t="inlineStr">
        <is>
          <t>و</t>
        </is>
      </c>
      <c r="AL4" s="9" t="inlineStr">
        <is>
          <t>ح</t>
        </is>
      </c>
      <c r="AM4" s="78" t="inlineStr">
        <is>
          <t>و</t>
        </is>
      </c>
      <c r="AN4" s="78" t="inlineStr">
        <is>
          <t>دفع</t>
        </is>
      </c>
      <c r="AO4" s="10" t="inlineStr">
        <is>
          <t>ح</t>
        </is>
      </c>
      <c r="AP4" s="79" t="inlineStr">
        <is>
          <t>و</t>
        </is>
      </c>
      <c r="AQ4" s="10" t="inlineStr">
        <is>
          <t>ح</t>
        </is>
      </c>
      <c r="AR4" s="79" t="inlineStr">
        <is>
          <t>و</t>
        </is>
      </c>
      <c r="AS4" s="10" t="inlineStr">
        <is>
          <t>ح</t>
        </is>
      </c>
      <c r="AT4" s="79" t="inlineStr">
        <is>
          <t>و</t>
        </is>
      </c>
      <c r="AU4" s="10" t="inlineStr">
        <is>
          <t>ح</t>
        </is>
      </c>
      <c r="AV4" s="79" t="inlineStr">
        <is>
          <t>و</t>
        </is>
      </c>
      <c r="AW4" s="10" t="inlineStr">
        <is>
          <t>ح</t>
        </is>
      </c>
      <c r="AX4" s="79" t="inlineStr">
        <is>
          <t>و</t>
        </is>
      </c>
      <c r="AY4" s="10" t="inlineStr">
        <is>
          <t>ح</t>
        </is>
      </c>
      <c r="AZ4" s="79" t="inlineStr">
        <is>
          <t>و</t>
        </is>
      </c>
      <c r="BA4" s="10" t="inlineStr">
        <is>
          <t>ح</t>
        </is>
      </c>
      <c r="BB4" s="79" t="inlineStr">
        <is>
          <t>و</t>
        </is>
      </c>
      <c r="BC4" s="10" t="inlineStr">
        <is>
          <t>ح</t>
        </is>
      </c>
      <c r="BD4" s="79" t="inlineStr">
        <is>
          <t>و</t>
        </is>
      </c>
      <c r="BE4" s="79" t="inlineStr">
        <is>
          <t>دفع</t>
        </is>
      </c>
      <c r="BF4" s="11" t="inlineStr">
        <is>
          <t>ح</t>
        </is>
      </c>
      <c r="BG4" s="80" t="inlineStr">
        <is>
          <t>و</t>
        </is>
      </c>
      <c r="BH4" s="11" t="inlineStr">
        <is>
          <t>ح</t>
        </is>
      </c>
      <c r="BI4" s="80" t="inlineStr">
        <is>
          <t>و</t>
        </is>
      </c>
      <c r="BJ4" s="11" t="inlineStr">
        <is>
          <t>ح</t>
        </is>
      </c>
      <c r="BK4" s="80" t="inlineStr">
        <is>
          <t>و</t>
        </is>
      </c>
      <c r="BL4" s="11" t="inlineStr">
        <is>
          <t>ح</t>
        </is>
      </c>
      <c r="BM4" s="80" t="inlineStr">
        <is>
          <t>و</t>
        </is>
      </c>
      <c r="BN4" s="11" t="inlineStr">
        <is>
          <t>ح</t>
        </is>
      </c>
      <c r="BO4" s="80" t="inlineStr">
        <is>
          <t>و</t>
        </is>
      </c>
      <c r="BP4" s="11" t="inlineStr">
        <is>
          <t>ح</t>
        </is>
      </c>
      <c r="BQ4" s="80" t="inlineStr">
        <is>
          <t>و</t>
        </is>
      </c>
      <c r="BR4" s="11" t="inlineStr">
        <is>
          <t>ح</t>
        </is>
      </c>
      <c r="BS4" s="80" t="inlineStr">
        <is>
          <t>و</t>
        </is>
      </c>
      <c r="BT4" s="11" t="inlineStr">
        <is>
          <t>ح</t>
        </is>
      </c>
      <c r="BU4" s="80" t="inlineStr">
        <is>
          <t>و</t>
        </is>
      </c>
      <c r="BV4" s="80" t="inlineStr">
        <is>
          <t>دفع</t>
        </is>
      </c>
      <c r="BW4" s="81" t="inlineStr">
        <is>
          <t>ح</t>
        </is>
      </c>
      <c r="BX4" s="82" t="inlineStr">
        <is>
          <t>و</t>
        </is>
      </c>
      <c r="BY4" s="81" t="inlineStr">
        <is>
          <t>ح</t>
        </is>
      </c>
      <c r="BZ4" s="82" t="inlineStr">
        <is>
          <t>و</t>
        </is>
      </c>
      <c r="CA4" s="81" t="inlineStr">
        <is>
          <t>ح</t>
        </is>
      </c>
      <c r="CB4" s="82" t="inlineStr">
        <is>
          <t>و</t>
        </is>
      </c>
      <c r="CC4" s="81" t="inlineStr">
        <is>
          <t>ح</t>
        </is>
      </c>
      <c r="CD4" s="82" t="inlineStr">
        <is>
          <t>و</t>
        </is>
      </c>
      <c r="CE4" s="81" t="inlineStr">
        <is>
          <t>ح</t>
        </is>
      </c>
      <c r="CF4" s="82" t="inlineStr">
        <is>
          <t>و</t>
        </is>
      </c>
      <c r="CG4" s="81" t="inlineStr">
        <is>
          <t>ح</t>
        </is>
      </c>
      <c r="CH4" s="82" t="inlineStr">
        <is>
          <t>و</t>
        </is>
      </c>
      <c r="CI4" s="81" t="inlineStr">
        <is>
          <t>ح</t>
        </is>
      </c>
      <c r="CJ4" s="82" t="inlineStr">
        <is>
          <t>و</t>
        </is>
      </c>
      <c r="CK4" s="81" t="inlineStr">
        <is>
          <t>ح</t>
        </is>
      </c>
      <c r="CL4" s="82" t="inlineStr">
        <is>
          <t>و</t>
        </is>
      </c>
      <c r="CM4" s="82" t="inlineStr">
        <is>
          <t>دفع</t>
        </is>
      </c>
      <c r="CN4" s="83" t="inlineStr">
        <is>
          <t>ح</t>
        </is>
      </c>
      <c r="CO4" s="84" t="inlineStr">
        <is>
          <t>و</t>
        </is>
      </c>
      <c r="CP4" s="83" t="inlineStr">
        <is>
          <t>ح</t>
        </is>
      </c>
      <c r="CQ4" s="84" t="inlineStr">
        <is>
          <t>و</t>
        </is>
      </c>
      <c r="CR4" s="83" t="inlineStr">
        <is>
          <t>ح</t>
        </is>
      </c>
      <c r="CS4" s="84" t="inlineStr">
        <is>
          <t>و</t>
        </is>
      </c>
      <c r="CT4" s="83" t="inlineStr">
        <is>
          <t>ح</t>
        </is>
      </c>
      <c r="CU4" s="84" t="inlineStr">
        <is>
          <t>و</t>
        </is>
      </c>
      <c r="CV4" s="83" t="inlineStr">
        <is>
          <t>ح</t>
        </is>
      </c>
      <c r="CW4" s="84" t="inlineStr">
        <is>
          <t>و</t>
        </is>
      </c>
      <c r="CX4" s="83" t="inlineStr">
        <is>
          <t>ح</t>
        </is>
      </c>
      <c r="CY4" s="84" t="inlineStr">
        <is>
          <t>و</t>
        </is>
      </c>
      <c r="CZ4" s="83" t="inlineStr">
        <is>
          <t>ح</t>
        </is>
      </c>
      <c r="DA4" s="84" t="inlineStr">
        <is>
          <t>و</t>
        </is>
      </c>
      <c r="DB4" s="83" t="inlineStr">
        <is>
          <t>ح</t>
        </is>
      </c>
      <c r="DC4" s="84" t="inlineStr">
        <is>
          <t>و</t>
        </is>
      </c>
      <c r="DD4" s="84" t="inlineStr">
        <is>
          <t>دفع</t>
        </is>
      </c>
      <c r="DE4" s="85" t="inlineStr">
        <is>
          <t>ح</t>
        </is>
      </c>
      <c r="DF4" s="86" t="inlineStr">
        <is>
          <t>و</t>
        </is>
      </c>
      <c r="DG4" s="85" t="inlineStr">
        <is>
          <t>ح</t>
        </is>
      </c>
      <c r="DH4" s="86" t="inlineStr">
        <is>
          <t>و</t>
        </is>
      </c>
      <c r="DI4" s="85" t="inlineStr">
        <is>
          <t>ح</t>
        </is>
      </c>
      <c r="DJ4" s="86" t="inlineStr">
        <is>
          <t>و</t>
        </is>
      </c>
      <c r="DK4" s="85" t="inlineStr">
        <is>
          <t>ح</t>
        </is>
      </c>
      <c r="DL4" s="86" t="inlineStr">
        <is>
          <t>و</t>
        </is>
      </c>
      <c r="DM4" s="85" t="inlineStr">
        <is>
          <t>ح</t>
        </is>
      </c>
      <c r="DN4" s="86" t="inlineStr">
        <is>
          <t>و</t>
        </is>
      </c>
      <c r="DO4" s="85" t="inlineStr">
        <is>
          <t>ح</t>
        </is>
      </c>
      <c r="DP4" s="86" t="inlineStr">
        <is>
          <t>و</t>
        </is>
      </c>
      <c r="DQ4" s="85" t="inlineStr">
        <is>
          <t>ح</t>
        </is>
      </c>
      <c r="DR4" s="86" t="inlineStr">
        <is>
          <t>و</t>
        </is>
      </c>
      <c r="DS4" s="85" t="inlineStr">
        <is>
          <t>ح</t>
        </is>
      </c>
      <c r="DT4" s="86" t="inlineStr">
        <is>
          <t>و</t>
        </is>
      </c>
      <c r="DU4" s="86" t="inlineStr">
        <is>
          <t>دفع</t>
        </is>
      </c>
      <c r="DV4" s="87" t="inlineStr">
        <is>
          <t>ح</t>
        </is>
      </c>
      <c r="DW4" s="88" t="inlineStr">
        <is>
          <t>و</t>
        </is>
      </c>
      <c r="DX4" s="87" t="inlineStr">
        <is>
          <t>ح</t>
        </is>
      </c>
      <c r="DY4" s="88" t="inlineStr">
        <is>
          <t>و</t>
        </is>
      </c>
      <c r="DZ4" s="87" t="inlineStr">
        <is>
          <t>ح</t>
        </is>
      </c>
      <c r="EA4" s="88" t="inlineStr">
        <is>
          <t>و</t>
        </is>
      </c>
      <c r="EB4" s="87" t="inlineStr">
        <is>
          <t>ح</t>
        </is>
      </c>
      <c r="EC4" s="88" t="inlineStr">
        <is>
          <t>و</t>
        </is>
      </c>
      <c r="ED4" s="87" t="inlineStr">
        <is>
          <t>ح</t>
        </is>
      </c>
      <c r="EE4" s="88" t="inlineStr">
        <is>
          <t>و</t>
        </is>
      </c>
      <c r="EF4" s="87" t="inlineStr">
        <is>
          <t>ح</t>
        </is>
      </c>
      <c r="EG4" s="88" t="inlineStr">
        <is>
          <t>و</t>
        </is>
      </c>
      <c r="EH4" s="87" t="inlineStr">
        <is>
          <t>ح</t>
        </is>
      </c>
      <c r="EI4" s="88" t="inlineStr">
        <is>
          <t>و</t>
        </is>
      </c>
      <c r="EJ4" s="87" t="inlineStr">
        <is>
          <t>ح</t>
        </is>
      </c>
      <c r="EK4" s="88" t="inlineStr">
        <is>
          <t>و</t>
        </is>
      </c>
      <c r="EL4" s="88" t="inlineStr">
        <is>
          <t>دفع</t>
        </is>
      </c>
      <c r="EM4" s="89" t="inlineStr">
        <is>
          <t>ح</t>
        </is>
      </c>
      <c r="EN4" s="90" t="inlineStr">
        <is>
          <t>و</t>
        </is>
      </c>
      <c r="EO4" s="89" t="inlineStr">
        <is>
          <t>ح</t>
        </is>
      </c>
      <c r="EP4" s="90" t="inlineStr">
        <is>
          <t>و</t>
        </is>
      </c>
      <c r="EQ4" s="89" t="inlineStr">
        <is>
          <t>ح</t>
        </is>
      </c>
      <c r="ER4" s="90" t="inlineStr">
        <is>
          <t>و</t>
        </is>
      </c>
      <c r="ES4" s="89" t="inlineStr">
        <is>
          <t>ح</t>
        </is>
      </c>
      <c r="ET4" s="90" t="inlineStr">
        <is>
          <t>و</t>
        </is>
      </c>
      <c r="EU4" s="89" t="inlineStr">
        <is>
          <t>ح</t>
        </is>
      </c>
      <c r="EV4" s="90" t="inlineStr">
        <is>
          <t>و</t>
        </is>
      </c>
      <c r="EW4" s="89" t="inlineStr">
        <is>
          <t>ح</t>
        </is>
      </c>
      <c r="EX4" s="90" t="inlineStr">
        <is>
          <t>و</t>
        </is>
      </c>
      <c r="EY4" s="89" t="inlineStr">
        <is>
          <t>ح</t>
        </is>
      </c>
      <c r="EZ4" s="90" t="inlineStr">
        <is>
          <t>و</t>
        </is>
      </c>
      <c r="FA4" s="89" t="inlineStr">
        <is>
          <t>ح</t>
        </is>
      </c>
      <c r="FB4" s="90" t="inlineStr">
        <is>
          <t>و</t>
        </is>
      </c>
      <c r="FC4" s="90" t="inlineStr">
        <is>
          <t>دفع</t>
        </is>
      </c>
      <c r="FD4" s="91" t="inlineStr">
        <is>
          <t>ح</t>
        </is>
      </c>
      <c r="FE4" s="92" t="inlineStr">
        <is>
          <t>و</t>
        </is>
      </c>
      <c r="FF4" s="91" t="inlineStr">
        <is>
          <t>ح</t>
        </is>
      </c>
      <c r="FG4" s="92" t="inlineStr">
        <is>
          <t>و</t>
        </is>
      </c>
      <c r="FH4" s="91" t="inlineStr">
        <is>
          <t>ح</t>
        </is>
      </c>
      <c r="FI4" s="92" t="inlineStr">
        <is>
          <t>و</t>
        </is>
      </c>
      <c r="FJ4" s="91" t="inlineStr">
        <is>
          <t>ح</t>
        </is>
      </c>
      <c r="FK4" s="92" t="inlineStr">
        <is>
          <t>و</t>
        </is>
      </c>
      <c r="FL4" s="91" t="inlineStr">
        <is>
          <t>ح</t>
        </is>
      </c>
      <c r="FM4" s="92" t="inlineStr">
        <is>
          <t>و</t>
        </is>
      </c>
      <c r="FN4" s="91" t="inlineStr">
        <is>
          <t>ح</t>
        </is>
      </c>
      <c r="FO4" s="92" t="inlineStr">
        <is>
          <t>و</t>
        </is>
      </c>
      <c r="FP4" s="91" t="inlineStr">
        <is>
          <t>ح</t>
        </is>
      </c>
      <c r="FQ4" s="92" t="inlineStr">
        <is>
          <t>و</t>
        </is>
      </c>
      <c r="FR4" s="91" t="inlineStr">
        <is>
          <t>ح</t>
        </is>
      </c>
      <c r="FS4" s="92" t="inlineStr">
        <is>
          <t>و</t>
        </is>
      </c>
      <c r="FT4" s="92" t="inlineStr">
        <is>
          <t>دفع</t>
        </is>
      </c>
      <c r="FU4" s="93" t="inlineStr">
        <is>
          <t>ح</t>
        </is>
      </c>
      <c r="FV4" s="94" t="inlineStr">
        <is>
          <t>و</t>
        </is>
      </c>
      <c r="FW4" s="93" t="inlineStr">
        <is>
          <t>ح</t>
        </is>
      </c>
      <c r="FX4" s="94" t="inlineStr">
        <is>
          <t>و</t>
        </is>
      </c>
      <c r="FY4" s="93" t="inlineStr">
        <is>
          <t>ح</t>
        </is>
      </c>
      <c r="FZ4" s="94" t="inlineStr">
        <is>
          <t>و</t>
        </is>
      </c>
      <c r="GA4" s="93" t="inlineStr">
        <is>
          <t>ح</t>
        </is>
      </c>
      <c r="GB4" s="94" t="inlineStr">
        <is>
          <t>و</t>
        </is>
      </c>
      <c r="GC4" s="93" t="inlineStr">
        <is>
          <t>ح</t>
        </is>
      </c>
      <c r="GD4" s="94" t="inlineStr">
        <is>
          <t>و</t>
        </is>
      </c>
      <c r="GE4" s="93" t="inlineStr">
        <is>
          <t>ح</t>
        </is>
      </c>
      <c r="GF4" s="94" t="inlineStr">
        <is>
          <t>و</t>
        </is>
      </c>
      <c r="GG4" s="93" t="inlineStr">
        <is>
          <t>ح</t>
        </is>
      </c>
      <c r="GH4" s="94" t="inlineStr">
        <is>
          <t>و</t>
        </is>
      </c>
      <c r="GI4" s="93" t="inlineStr">
        <is>
          <t>ح</t>
        </is>
      </c>
      <c r="GJ4" s="94" t="inlineStr">
        <is>
          <t>و</t>
        </is>
      </c>
      <c r="GK4" s="94" t="inlineStr">
        <is>
          <t>دفع</t>
        </is>
      </c>
      <c r="GL4" s="95" t="inlineStr">
        <is>
          <t>ح</t>
        </is>
      </c>
      <c r="GM4" s="96" t="inlineStr">
        <is>
          <t>و</t>
        </is>
      </c>
      <c r="GN4" s="95" t="inlineStr">
        <is>
          <t>ح</t>
        </is>
      </c>
      <c r="GO4" s="96" t="inlineStr">
        <is>
          <t>و</t>
        </is>
      </c>
      <c r="GP4" s="95" t="inlineStr">
        <is>
          <t>ح</t>
        </is>
      </c>
      <c r="GQ4" s="96" t="inlineStr">
        <is>
          <t>و</t>
        </is>
      </c>
      <c r="GR4" s="95" t="inlineStr">
        <is>
          <t>ح</t>
        </is>
      </c>
      <c r="GS4" s="96" t="inlineStr">
        <is>
          <t>و</t>
        </is>
      </c>
      <c r="GT4" s="95" t="inlineStr">
        <is>
          <t>ح</t>
        </is>
      </c>
      <c r="GU4" s="96" t="inlineStr">
        <is>
          <t>و</t>
        </is>
      </c>
      <c r="GV4" s="95" t="inlineStr">
        <is>
          <t>ح</t>
        </is>
      </c>
      <c r="GW4" s="96" t="inlineStr">
        <is>
          <t>و</t>
        </is>
      </c>
      <c r="GX4" s="95" t="inlineStr">
        <is>
          <t>ح</t>
        </is>
      </c>
      <c r="GY4" s="96" t="inlineStr">
        <is>
          <t>و</t>
        </is>
      </c>
      <c r="GZ4" s="95" t="inlineStr">
        <is>
          <t>ح</t>
        </is>
      </c>
      <c r="HA4" s="96" t="inlineStr">
        <is>
          <t>و</t>
        </is>
      </c>
      <c r="HB4" s="96" t="inlineStr">
        <is>
          <t>دفع</t>
        </is>
      </c>
      <c r="HF4" t="str">
        <f>IF($HF$1="","",IF($HF$1=0,"النهارده",IF($HF$1=1,"بكرة",INDEX('حسابات'!$A$2:$A$8,MATCH(WEEKDAY($HF$2),'حسابات'!$B$2:$B$8,0))))&amp;" "&amp;DAY($HF$2)&amp;"/"&amp;MONTH($HF$2)&amp;IF($HF$3=0,"",IF(INDEX('المواعيد'!$C$5:$C$34,$HF$3)="",""," – "&amp;INDEX('المواعيد'!$C$5:$C$34,$HF$3))))</f>
        <v/>
      </c>
    </row>
    <row r="5" ht="22.5" customHeight="1">
      <c r="A5" s="36" t="n">
        <v>1</v>
      </c>
      <c r="B5" s="97" t="n"/>
      <c r="C5" s="28" t="n"/>
      <c r="D5" s="98" t="str">
        <f>IF($B5="","",IF($HC5=97,"-",IF($HD5=0,"متوقف",SUMPRODUCT(($G$4:$HB$4="ح")*($G$20:$HB$20&gt;0)*($G5:$HB5&lt;&gt;TRUE)*($G$47:$HB$47&gt;$HC$1-8)*($G$47:$HB$47&gt;=$HC5)))))</f>
        <v/>
      </c>
      <c r="E5" s="98" t="str">
        <f>IF(OR($B5="",$HC5=97),"",SUMPRODUCT(($G$4:$HA$4="ح")*($G5:$HA5=TRUE)*($H5:$HB5&lt;&gt;TRUE)*($G$47:$HA$47&gt;$HC$1-8)))</f>
        <v/>
      </c>
      <c r="F5" s="99" t="str">
        <f>IF($B5="","",IF($HE5=0,IF($HC5=97,"-","تمام"),IF($HE5=1,IF(INDEX($G$1:$HB$1,1,17*($HF5-1)+1)="","شهر "&amp;$HF5,INDEX($G$1:$HB$1,1,17*($HF5-1)+1)),IF($HE5=2,"شهرين",$HE5&amp;" شهور"))))</f>
        <v/>
      </c>
      <c r="G5" s="100" t="n"/>
      <c r="H5" s="101" t="n"/>
      <c r="I5" s="100" t="n"/>
      <c r="J5" s="101" t="n"/>
      <c r="K5" s="100" t="n"/>
      <c r="L5" s="101" t="n"/>
      <c r="M5" s="100" t="n"/>
      <c r="N5" s="101" t="n"/>
      <c r="O5" s="100" t="n"/>
      <c r="P5" s="101" t="n"/>
      <c r="Q5" s="100" t="n"/>
      <c r="R5" s="101" t="n"/>
      <c r="S5" s="100" t="n"/>
      <c r="T5" s="101" t="n"/>
      <c r="U5" s="100" t="n"/>
      <c r="V5" s="101" t="n"/>
      <c r="W5" s="102" t="n"/>
      <c r="X5" s="103" t="n"/>
      <c r="Y5" s="104" t="n"/>
      <c r="Z5" s="103" t="n"/>
      <c r="AA5" s="104" t="n"/>
      <c r="AB5" s="103" t="n"/>
      <c r="AC5" s="104" t="n"/>
      <c r="AD5" s="103" t="n"/>
      <c r="AE5" s="104" t="n"/>
      <c r="AF5" s="103" t="n"/>
      <c r="AG5" s="104" t="n"/>
      <c r="AH5" s="103" t="n"/>
      <c r="AI5" s="104" t="n"/>
      <c r="AJ5" s="103" t="n"/>
      <c r="AK5" s="104" t="n"/>
      <c r="AL5" s="103" t="n"/>
      <c r="AM5" s="104" t="n"/>
      <c r="AN5" s="105" t="n"/>
      <c r="AO5" s="106" t="n"/>
      <c r="AP5" s="107" t="n"/>
      <c r="AQ5" s="106" t="n"/>
      <c r="AR5" s="107" t="n"/>
      <c r="AS5" s="106" t="n"/>
      <c r="AT5" s="107" t="n"/>
      <c r="AU5" s="106" t="n"/>
      <c r="AV5" s="107" t="n"/>
      <c r="AW5" s="106" t="n"/>
      <c r="AX5" s="107" t="n"/>
      <c r="AY5" s="106" t="n"/>
      <c r="AZ5" s="107" t="n"/>
      <c r="BA5" s="106" t="n"/>
      <c r="BB5" s="107" t="n"/>
      <c r="BC5" s="106" t="n"/>
      <c r="BD5" s="107" t="n"/>
      <c r="BE5" s="108" t="n"/>
      <c r="BF5" s="109" t="n"/>
      <c r="BG5" s="110" t="n"/>
      <c r="BH5" s="109" t="n"/>
      <c r="BI5" s="110" t="n"/>
      <c r="BJ5" s="109" t="n"/>
      <c r="BK5" s="110" t="n"/>
      <c r="BL5" s="109" t="n"/>
      <c r="BM5" s="110" t="n"/>
      <c r="BN5" s="109" t="n"/>
      <c r="BO5" s="110" t="n"/>
      <c r="BP5" s="109" t="n"/>
      <c r="BQ5" s="110" t="n"/>
      <c r="BR5" s="109" t="n"/>
      <c r="BS5" s="110" t="n"/>
      <c r="BT5" s="109" t="n"/>
      <c r="BU5" s="110" t="n"/>
      <c r="BV5" s="111" t="n"/>
      <c r="BW5" s="112" t="n"/>
      <c r="BX5" s="113" t="n"/>
      <c r="BY5" s="112" t="n"/>
      <c r="BZ5" s="113" t="n"/>
      <c r="CA5" s="112" t="n"/>
      <c r="CB5" s="113" t="n"/>
      <c r="CC5" s="112" t="n"/>
      <c r="CD5" s="113" t="n"/>
      <c r="CE5" s="112" t="n"/>
      <c r="CF5" s="113" t="n"/>
      <c r="CG5" s="112" t="n"/>
      <c r="CH5" s="113" t="n"/>
      <c r="CI5" s="112" t="n"/>
      <c r="CJ5" s="113" t="n"/>
      <c r="CK5" s="112" t="n"/>
      <c r="CL5" s="113" t="n"/>
      <c r="CM5" s="114" t="n"/>
      <c r="CN5" s="115" t="n"/>
      <c r="CO5" s="116" t="n"/>
      <c r="CP5" s="115" t="n"/>
      <c r="CQ5" s="116" t="n"/>
      <c r="CR5" s="115" t="n"/>
      <c r="CS5" s="116" t="n"/>
      <c r="CT5" s="115" t="n"/>
      <c r="CU5" s="116" t="n"/>
      <c r="CV5" s="115" t="n"/>
      <c r="CW5" s="116" t="n"/>
      <c r="CX5" s="115" t="n"/>
      <c r="CY5" s="116" t="n"/>
      <c r="CZ5" s="115" t="n"/>
      <c r="DA5" s="116" t="n"/>
      <c r="DB5" s="115" t="n"/>
      <c r="DC5" s="116" t="n"/>
      <c r="DD5" s="117" t="n"/>
      <c r="DE5" s="118" t="n"/>
      <c r="DF5" s="119" t="n"/>
      <c r="DG5" s="118" t="n"/>
      <c r="DH5" s="119" t="n"/>
      <c r="DI5" s="118" t="n"/>
      <c r="DJ5" s="119" t="n"/>
      <c r="DK5" s="118" t="n"/>
      <c r="DL5" s="119" t="n"/>
      <c r="DM5" s="118" t="n"/>
      <c r="DN5" s="119" t="n"/>
      <c r="DO5" s="118" t="n"/>
      <c r="DP5" s="119" t="n"/>
      <c r="DQ5" s="118" t="n"/>
      <c r="DR5" s="119" t="n"/>
      <c r="DS5" s="118" t="n"/>
      <c r="DT5" s="119" t="n"/>
      <c r="DU5" s="120" t="n"/>
      <c r="DV5" s="121" t="n"/>
      <c r="DW5" s="122" t="n"/>
      <c r="DX5" s="121" t="n"/>
      <c r="DY5" s="122" t="n"/>
      <c r="DZ5" s="121" t="n"/>
      <c r="EA5" s="122" t="n"/>
      <c r="EB5" s="121" t="n"/>
      <c r="EC5" s="122" t="n"/>
      <c r="ED5" s="121" t="n"/>
      <c r="EE5" s="122" t="n"/>
      <c r="EF5" s="121" t="n"/>
      <c r="EG5" s="122" t="n"/>
      <c r="EH5" s="121" t="n"/>
      <c r="EI5" s="122" t="n"/>
      <c r="EJ5" s="121" t="n"/>
      <c r="EK5" s="122" t="n"/>
      <c r="EL5" s="123" t="n"/>
      <c r="EM5" s="124" t="n"/>
      <c r="EN5" s="125" t="n"/>
      <c r="EO5" s="124" t="n"/>
      <c r="EP5" s="125" t="n"/>
      <c r="EQ5" s="124" t="n"/>
      <c r="ER5" s="125" t="n"/>
      <c r="ES5" s="124" t="n"/>
      <c r="ET5" s="125" t="n"/>
      <c r="EU5" s="124" t="n"/>
      <c r="EV5" s="125" t="n"/>
      <c r="EW5" s="124" t="n"/>
      <c r="EX5" s="125" t="n"/>
      <c r="EY5" s="124" t="n"/>
      <c r="EZ5" s="125" t="n"/>
      <c r="FA5" s="124" t="n"/>
      <c r="FB5" s="125" t="n"/>
      <c r="FC5" s="126" t="n"/>
      <c r="FD5" s="127" t="n"/>
      <c r="FE5" s="128" t="n"/>
      <c r="FF5" s="127" t="n"/>
      <c r="FG5" s="128" t="n"/>
      <c r="FH5" s="127" t="n"/>
      <c r="FI5" s="128" t="n"/>
      <c r="FJ5" s="127" t="n"/>
      <c r="FK5" s="128" t="n"/>
      <c r="FL5" s="127" t="n"/>
      <c r="FM5" s="128" t="n"/>
      <c r="FN5" s="127" t="n"/>
      <c r="FO5" s="128" t="n"/>
      <c r="FP5" s="127" t="n"/>
      <c r="FQ5" s="128" t="n"/>
      <c r="FR5" s="127" t="n"/>
      <c r="FS5" s="128" t="n"/>
      <c r="FT5" s="129" t="n"/>
      <c r="FU5" s="130" t="n"/>
      <c r="FV5" s="131" t="n"/>
      <c r="FW5" s="130" t="n"/>
      <c r="FX5" s="131" t="n"/>
      <c r="FY5" s="130" t="n"/>
      <c r="FZ5" s="131" t="n"/>
      <c r="GA5" s="130" t="n"/>
      <c r="GB5" s="131" t="n"/>
      <c r="GC5" s="130" t="n"/>
      <c r="GD5" s="131" t="n"/>
      <c r="GE5" s="130" t="n"/>
      <c r="GF5" s="131" t="n"/>
      <c r="GG5" s="130" t="n"/>
      <c r="GH5" s="131" t="n"/>
      <c r="GI5" s="130" t="n"/>
      <c r="GJ5" s="131" t="n"/>
      <c r="GK5" s="132" t="n"/>
      <c r="GL5" s="133" t="n"/>
      <c r="GM5" s="134" t="n"/>
      <c r="GN5" s="133" t="n"/>
      <c r="GO5" s="134" t="n"/>
      <c r="GP5" s="133" t="n"/>
      <c r="GQ5" s="134" t="n"/>
      <c r="GR5" s="133" t="n"/>
      <c r="GS5" s="134" t="n"/>
      <c r="GT5" s="133" t="n"/>
      <c r="GU5" s="134" t="n"/>
      <c r="GV5" s="133" t="n"/>
      <c r="GW5" s="134" t="n"/>
      <c r="GX5" s="133" t="n"/>
      <c r="GY5" s="134" t="n"/>
      <c r="GZ5" s="133" t="n"/>
      <c r="HA5" s="134" t="n"/>
      <c r="HB5" s="135" t="n"/>
      <c r="HC5">
        <f>97-SUMPRODUCT(MAX(($G$4:$HB$4="ح")*($G5:$HB5=TRUE)*(97-$G$47:$HB$47)))</f>
        <v>97</v>
      </c>
      <c r="HD5">
        <f>SUMPRODUCT(($G$4:$HB$4="ح")*($G5:$HB5=TRUE)*($G$47:$HB$47&gt;$HC$1-8))</f>
        <v>0</v>
      </c>
      <c r="HE5">
        <f>(COUNTIF($G5:$V5,TRUE)&gt;0)*($W5&lt;&gt;TRUE)+(COUNTIF($X5:$AM5,TRUE)&gt;0)*($AN5&lt;&gt;TRUE)+(COUNTIF($AO5:$BD5,TRUE)&gt;0)*($BE5&lt;&gt;TRUE)+(COUNTIF($BF5:$BU5,TRUE)&gt;0)*($BV5&lt;&gt;TRUE)+(COUNTIF($BW5:$CL5,TRUE)&gt;0)*($CM5&lt;&gt;TRUE)+(COUNTIF($CN5:$DC5,TRUE)&gt;0)*($DD5&lt;&gt;TRUE)+(COUNTIF($DE5:$DT5,TRUE)&gt;0)*($DU5&lt;&gt;TRUE)+(COUNTIF($DV5:$EK5,TRUE)&gt;0)*($EL5&lt;&gt;TRUE)+(COUNTIF($EM5:$FB5,TRUE)&gt;0)*($FC5&lt;&gt;TRUE)+(COUNTIF($FD5:$FS5,TRUE)&gt;0)*($FT5&lt;&gt;TRUE)+(COUNTIF($FU5:$GJ5,TRUE)&gt;0)*($GK5&lt;&gt;TRUE)+(COUNTIF($GL5:$HA5,TRUE)&gt;0)*($HB5&lt;&gt;TRUE)</f>
        <v>0</v>
      </c>
      <c r="HF5">
        <f>IF($HE5=0,0,13-MAX((COUNTIF($G5:$V5,TRUE)&gt;0)*($W5&lt;&gt;TRUE)*12,(COUNTIF($X5:$AM5,TRUE)&gt;0)*($AN5&lt;&gt;TRUE)*11,(COUNTIF($AO5:$BD5,TRUE)&gt;0)*($BE5&lt;&gt;TRUE)*10,(COUNTIF($BF5:$BU5,TRUE)&gt;0)*($BV5&lt;&gt;TRUE)*9,(COUNTIF($BW5:$CL5,TRUE)&gt;0)*($CM5&lt;&gt;TRUE)*8,(COUNTIF($CN5:$DC5,TRUE)&gt;0)*($DD5&lt;&gt;TRUE)*7,(COUNTIF($DE5:$DT5,TRUE)&gt;0)*($DU5&lt;&gt;TRUE)*6,(COUNTIF($DV5:$EK5,TRUE)&gt;0)*($EL5&lt;&gt;TRUE)*5,(COUNTIF($EM5:$FB5,TRUE)&gt;0)*($FC5&lt;&gt;TRUE)*4,(COUNTIF($FD5:$FS5,TRUE)&gt;0)*($FT5&lt;&gt;TRUE)*3,(COUNTIF($FU5:$GJ5,TRUE)&gt;0)*($GK5&lt;&gt;TRUE)*2,(COUNTIF($GL5:$HA5,TRUE)&gt;0)*($HB5&lt;&gt;TRUE)*1))</f>
        <v>0</v>
      </c>
    </row>
    <row r="6" ht="22.5" customHeight="1">
      <c r="A6" s="36" t="n">
        <v>2</v>
      </c>
      <c r="B6" s="97" t="n"/>
      <c r="C6" s="28" t="n"/>
      <c r="D6" s="98" t="str">
        <f>IF($B6="","",IF($HC6=97,"-",IF($HD6=0,"متوقف",SUMPRODUCT(($G$4:$HB$4="ح")*($G$20:$HB$20&gt;0)*($G6:$HB6&lt;&gt;TRUE)*($G$47:$HB$47&gt;$HC$1-8)*($G$47:$HB$47&gt;=$HC6)))))</f>
        <v/>
      </c>
      <c r="E6" s="98" t="str">
        <f>IF(OR($B6="",$HC6=97),"",SUMPRODUCT(($G$4:$HA$4="ح")*($G6:$HA6=TRUE)*($H6:$HB6&lt;&gt;TRUE)*($G$47:$HA$47&gt;$HC$1-8)))</f>
        <v/>
      </c>
      <c r="F6" s="99" t="str">
        <f>IF($B6="","",IF($HE6=0,IF($HC6=97,"-","تمام"),IF($HE6=1,IF(INDEX($G$1:$HB$1,1,17*($HF6-1)+1)="","شهر "&amp;$HF6,INDEX($G$1:$HB$1,1,17*($HF6-1)+1)),IF($HE6=2,"شهرين",$HE6&amp;" شهور"))))</f>
        <v/>
      </c>
      <c r="G6" s="100" t="n"/>
      <c r="H6" s="101" t="n"/>
      <c r="I6" s="100" t="n"/>
      <c r="J6" s="101" t="n"/>
      <c r="K6" s="100" t="n"/>
      <c r="L6" s="101" t="n"/>
      <c r="M6" s="100" t="n"/>
      <c r="N6" s="101" t="n"/>
      <c r="O6" s="100" t="n"/>
      <c r="P6" s="101" t="n"/>
      <c r="Q6" s="100" t="n"/>
      <c r="R6" s="101" t="n"/>
      <c r="S6" s="100" t="n"/>
      <c r="T6" s="101" t="n"/>
      <c r="U6" s="100" t="n"/>
      <c r="V6" s="101" t="n"/>
      <c r="W6" s="102" t="n"/>
      <c r="X6" s="103" t="n"/>
      <c r="Y6" s="104" t="n"/>
      <c r="Z6" s="103" t="n"/>
      <c r="AA6" s="104" t="n"/>
      <c r="AB6" s="103" t="n"/>
      <c r="AC6" s="104" t="n"/>
      <c r="AD6" s="103" t="n"/>
      <c r="AE6" s="104" t="n"/>
      <c r="AF6" s="103" t="n"/>
      <c r="AG6" s="104" t="n"/>
      <c r="AH6" s="103" t="n"/>
      <c r="AI6" s="104" t="n"/>
      <c r="AJ6" s="103" t="n"/>
      <c r="AK6" s="104" t="n"/>
      <c r="AL6" s="103" t="n"/>
      <c r="AM6" s="104" t="n"/>
      <c r="AN6" s="105" t="n"/>
      <c r="AO6" s="106" t="n"/>
      <c r="AP6" s="107" t="n"/>
      <c r="AQ6" s="106" t="n"/>
      <c r="AR6" s="107" t="n"/>
      <c r="AS6" s="106" t="n"/>
      <c r="AT6" s="107" t="n"/>
      <c r="AU6" s="106" t="n"/>
      <c r="AV6" s="107" t="n"/>
      <c r="AW6" s="106" t="n"/>
      <c r="AX6" s="107" t="n"/>
      <c r="AY6" s="106" t="n"/>
      <c r="AZ6" s="107" t="n"/>
      <c r="BA6" s="106" t="n"/>
      <c r="BB6" s="107" t="n"/>
      <c r="BC6" s="106" t="n"/>
      <c r="BD6" s="107" t="n"/>
      <c r="BE6" s="108" t="n"/>
      <c r="BF6" s="109" t="n"/>
      <c r="BG6" s="110" t="n"/>
      <c r="BH6" s="109" t="n"/>
      <c r="BI6" s="110" t="n"/>
      <c r="BJ6" s="109" t="n"/>
      <c r="BK6" s="110" t="n"/>
      <c r="BL6" s="109" t="n"/>
      <c r="BM6" s="110" t="n"/>
      <c r="BN6" s="109" t="n"/>
      <c r="BO6" s="110" t="n"/>
      <c r="BP6" s="109" t="n"/>
      <c r="BQ6" s="110" t="n"/>
      <c r="BR6" s="109" t="n"/>
      <c r="BS6" s="110" t="n"/>
      <c r="BT6" s="109" t="n"/>
      <c r="BU6" s="110" t="n"/>
      <c r="BV6" s="111" t="n"/>
      <c r="BW6" s="112" t="n"/>
      <c r="BX6" s="113" t="n"/>
      <c r="BY6" s="112" t="n"/>
      <c r="BZ6" s="113" t="n"/>
      <c r="CA6" s="112" t="n"/>
      <c r="CB6" s="113" t="n"/>
      <c r="CC6" s="112" t="n"/>
      <c r="CD6" s="113" t="n"/>
      <c r="CE6" s="112" t="n"/>
      <c r="CF6" s="113" t="n"/>
      <c r="CG6" s="112" t="n"/>
      <c r="CH6" s="113" t="n"/>
      <c r="CI6" s="112" t="n"/>
      <c r="CJ6" s="113" t="n"/>
      <c r="CK6" s="112" t="n"/>
      <c r="CL6" s="113" t="n"/>
      <c r="CM6" s="114" t="n"/>
      <c r="CN6" s="115" t="n"/>
      <c r="CO6" s="116" t="n"/>
      <c r="CP6" s="115" t="n"/>
      <c r="CQ6" s="116" t="n"/>
      <c r="CR6" s="115" t="n"/>
      <c r="CS6" s="116" t="n"/>
      <c r="CT6" s="115" t="n"/>
      <c r="CU6" s="116" t="n"/>
      <c r="CV6" s="115" t="n"/>
      <c r="CW6" s="116" t="n"/>
      <c r="CX6" s="115" t="n"/>
      <c r="CY6" s="116" t="n"/>
      <c r="CZ6" s="115" t="n"/>
      <c r="DA6" s="116" t="n"/>
      <c r="DB6" s="115" t="n"/>
      <c r="DC6" s="116" t="n"/>
      <c r="DD6" s="117" t="n"/>
      <c r="DE6" s="118" t="n"/>
      <c r="DF6" s="119" t="n"/>
      <c r="DG6" s="118" t="n"/>
      <c r="DH6" s="119" t="n"/>
      <c r="DI6" s="118" t="n"/>
      <c r="DJ6" s="119" t="n"/>
      <c r="DK6" s="118" t="n"/>
      <c r="DL6" s="119" t="n"/>
      <c r="DM6" s="118" t="n"/>
      <c r="DN6" s="119" t="n"/>
      <c r="DO6" s="118" t="n"/>
      <c r="DP6" s="119" t="n"/>
      <c r="DQ6" s="118" t="n"/>
      <c r="DR6" s="119" t="n"/>
      <c r="DS6" s="118" t="n"/>
      <c r="DT6" s="119" t="n"/>
      <c r="DU6" s="120" t="n"/>
      <c r="DV6" s="121" t="n"/>
      <c r="DW6" s="122" t="n"/>
      <c r="DX6" s="121" t="n"/>
      <c r="DY6" s="122" t="n"/>
      <c r="DZ6" s="121" t="n"/>
      <c r="EA6" s="122" t="n"/>
      <c r="EB6" s="121" t="n"/>
      <c r="EC6" s="122" t="n"/>
      <c r="ED6" s="121" t="n"/>
      <c r="EE6" s="122" t="n"/>
      <c r="EF6" s="121" t="n"/>
      <c r="EG6" s="122" t="n"/>
      <c r="EH6" s="121" t="n"/>
      <c r="EI6" s="122" t="n"/>
      <c r="EJ6" s="121" t="n"/>
      <c r="EK6" s="122" t="n"/>
      <c r="EL6" s="123" t="n"/>
      <c r="EM6" s="124" t="n"/>
      <c r="EN6" s="125" t="n"/>
      <c r="EO6" s="124" t="n"/>
      <c r="EP6" s="125" t="n"/>
      <c r="EQ6" s="124" t="n"/>
      <c r="ER6" s="125" t="n"/>
      <c r="ES6" s="124" t="n"/>
      <c r="ET6" s="125" t="n"/>
      <c r="EU6" s="124" t="n"/>
      <c r="EV6" s="125" t="n"/>
      <c r="EW6" s="124" t="n"/>
      <c r="EX6" s="125" t="n"/>
      <c r="EY6" s="124" t="n"/>
      <c r="EZ6" s="125" t="n"/>
      <c r="FA6" s="124" t="n"/>
      <c r="FB6" s="125" t="n"/>
      <c r="FC6" s="126" t="n"/>
      <c r="FD6" s="127" t="n"/>
      <c r="FE6" s="128" t="n"/>
      <c r="FF6" s="127" t="n"/>
      <c r="FG6" s="128" t="n"/>
      <c r="FH6" s="127" t="n"/>
      <c r="FI6" s="128" t="n"/>
      <c r="FJ6" s="127" t="n"/>
      <c r="FK6" s="128" t="n"/>
      <c r="FL6" s="127" t="n"/>
      <c r="FM6" s="128" t="n"/>
      <c r="FN6" s="127" t="n"/>
      <c r="FO6" s="128" t="n"/>
      <c r="FP6" s="127" t="n"/>
      <c r="FQ6" s="128" t="n"/>
      <c r="FR6" s="127" t="n"/>
      <c r="FS6" s="128" t="n"/>
      <c r="FT6" s="129" t="n"/>
      <c r="FU6" s="130" t="n"/>
      <c r="FV6" s="131" t="n"/>
      <c r="FW6" s="130" t="n"/>
      <c r="FX6" s="131" t="n"/>
      <c r="FY6" s="130" t="n"/>
      <c r="FZ6" s="131" t="n"/>
      <c r="GA6" s="130" t="n"/>
      <c r="GB6" s="131" t="n"/>
      <c r="GC6" s="130" t="n"/>
      <c r="GD6" s="131" t="n"/>
      <c r="GE6" s="130" t="n"/>
      <c r="GF6" s="131" t="n"/>
      <c r="GG6" s="130" t="n"/>
      <c r="GH6" s="131" t="n"/>
      <c r="GI6" s="130" t="n"/>
      <c r="GJ6" s="131" t="n"/>
      <c r="GK6" s="132" t="n"/>
      <c r="GL6" s="133" t="n"/>
      <c r="GM6" s="134" t="n"/>
      <c r="GN6" s="133" t="n"/>
      <c r="GO6" s="134" t="n"/>
      <c r="GP6" s="133" t="n"/>
      <c r="GQ6" s="134" t="n"/>
      <c r="GR6" s="133" t="n"/>
      <c r="GS6" s="134" t="n"/>
      <c r="GT6" s="133" t="n"/>
      <c r="GU6" s="134" t="n"/>
      <c r="GV6" s="133" t="n"/>
      <c r="GW6" s="134" t="n"/>
      <c r="GX6" s="133" t="n"/>
      <c r="GY6" s="134" t="n"/>
      <c r="GZ6" s="133" t="n"/>
      <c r="HA6" s="134" t="n"/>
      <c r="HB6" s="135" t="n"/>
      <c r="HC6">
        <f>97-SUMPRODUCT(MAX(($G$4:$HB$4="ح")*($G6:$HB6=TRUE)*(97-$G$47:$HB$47)))</f>
        <v>97</v>
      </c>
      <c r="HD6">
        <f>SUMPRODUCT(($G$4:$HB$4="ح")*($G6:$HB6=TRUE)*($G$47:$HB$47&gt;$HC$1-8))</f>
        <v>0</v>
      </c>
      <c r="HE6">
        <f>(COUNTIF($G6:$V6,TRUE)&gt;0)*($W6&lt;&gt;TRUE)+(COUNTIF($X6:$AM6,TRUE)&gt;0)*($AN6&lt;&gt;TRUE)+(COUNTIF($AO6:$BD6,TRUE)&gt;0)*($BE6&lt;&gt;TRUE)+(COUNTIF($BF6:$BU6,TRUE)&gt;0)*($BV6&lt;&gt;TRUE)+(COUNTIF($BW6:$CL6,TRUE)&gt;0)*($CM6&lt;&gt;TRUE)+(COUNTIF($CN6:$DC6,TRUE)&gt;0)*($DD6&lt;&gt;TRUE)+(COUNTIF($DE6:$DT6,TRUE)&gt;0)*($DU6&lt;&gt;TRUE)+(COUNTIF($DV6:$EK6,TRUE)&gt;0)*($EL6&lt;&gt;TRUE)+(COUNTIF($EM6:$FB6,TRUE)&gt;0)*($FC6&lt;&gt;TRUE)+(COUNTIF($FD6:$FS6,TRUE)&gt;0)*($FT6&lt;&gt;TRUE)+(COUNTIF($FU6:$GJ6,TRUE)&gt;0)*($GK6&lt;&gt;TRUE)+(COUNTIF($GL6:$HA6,TRUE)&gt;0)*($HB6&lt;&gt;TRUE)</f>
        <v>0</v>
      </c>
      <c r="HF6">
        <f>IF($HE6=0,0,13-MAX((COUNTIF($G6:$V6,TRUE)&gt;0)*($W6&lt;&gt;TRUE)*12,(COUNTIF($X6:$AM6,TRUE)&gt;0)*($AN6&lt;&gt;TRUE)*11,(COUNTIF($AO6:$BD6,TRUE)&gt;0)*($BE6&lt;&gt;TRUE)*10,(COUNTIF($BF6:$BU6,TRUE)&gt;0)*($BV6&lt;&gt;TRUE)*9,(COUNTIF($BW6:$CL6,TRUE)&gt;0)*($CM6&lt;&gt;TRUE)*8,(COUNTIF($CN6:$DC6,TRUE)&gt;0)*($DD6&lt;&gt;TRUE)*7,(COUNTIF($DE6:$DT6,TRUE)&gt;0)*($DU6&lt;&gt;TRUE)*6,(COUNTIF($DV6:$EK6,TRUE)&gt;0)*($EL6&lt;&gt;TRUE)*5,(COUNTIF($EM6:$FB6,TRUE)&gt;0)*($FC6&lt;&gt;TRUE)*4,(COUNTIF($FD6:$FS6,TRUE)&gt;0)*($FT6&lt;&gt;TRUE)*3,(COUNTIF($FU6:$GJ6,TRUE)&gt;0)*($GK6&lt;&gt;TRUE)*2,(COUNTIF($GL6:$HA6,TRUE)&gt;0)*($HB6&lt;&gt;TRUE)*1))</f>
        <v>0</v>
      </c>
    </row>
    <row r="7" ht="22.5" customHeight="1">
      <c r="A7" s="36" t="n">
        <v>3</v>
      </c>
      <c r="B7" s="97" t="n"/>
      <c r="C7" s="28" t="n"/>
      <c r="D7" s="98" t="str">
        <f>IF($B7="","",IF($HC7=97,"-",IF($HD7=0,"متوقف",SUMPRODUCT(($G$4:$HB$4="ح")*($G$20:$HB$20&gt;0)*($G7:$HB7&lt;&gt;TRUE)*($G$47:$HB$47&gt;$HC$1-8)*($G$47:$HB$47&gt;=$HC7)))))</f>
        <v/>
      </c>
      <c r="E7" s="98" t="str">
        <f>IF(OR($B7="",$HC7=97),"",SUMPRODUCT(($G$4:$HA$4="ح")*($G7:$HA7=TRUE)*($H7:$HB7&lt;&gt;TRUE)*($G$47:$HA$47&gt;$HC$1-8)))</f>
        <v/>
      </c>
      <c r="F7" s="99" t="str">
        <f>IF($B7="","",IF($HE7=0,IF($HC7=97,"-","تمام"),IF($HE7=1,IF(INDEX($G$1:$HB$1,1,17*($HF7-1)+1)="","شهر "&amp;$HF7,INDEX($G$1:$HB$1,1,17*($HF7-1)+1)),IF($HE7=2,"شهرين",$HE7&amp;" شهور"))))</f>
        <v/>
      </c>
      <c r="G7" s="100" t="n"/>
      <c r="H7" s="101" t="n"/>
      <c r="I7" s="100" t="n"/>
      <c r="J7" s="101" t="n"/>
      <c r="K7" s="100" t="n"/>
      <c r="L7" s="101" t="n"/>
      <c r="M7" s="100" t="n"/>
      <c r="N7" s="101" t="n"/>
      <c r="O7" s="100" t="n"/>
      <c r="P7" s="101" t="n"/>
      <c r="Q7" s="100" t="n"/>
      <c r="R7" s="101" t="n"/>
      <c r="S7" s="100" t="n"/>
      <c r="T7" s="101" t="n"/>
      <c r="U7" s="100" t="n"/>
      <c r="V7" s="101" t="n"/>
      <c r="W7" s="102" t="n"/>
      <c r="X7" s="103" t="n"/>
      <c r="Y7" s="104" t="n"/>
      <c r="Z7" s="103" t="n"/>
      <c r="AA7" s="104" t="n"/>
      <c r="AB7" s="103" t="n"/>
      <c r="AC7" s="104" t="n"/>
      <c r="AD7" s="103" t="n"/>
      <c r="AE7" s="104" t="n"/>
      <c r="AF7" s="103" t="n"/>
      <c r="AG7" s="104" t="n"/>
      <c r="AH7" s="103" t="n"/>
      <c r="AI7" s="104" t="n"/>
      <c r="AJ7" s="103" t="n"/>
      <c r="AK7" s="104" t="n"/>
      <c r="AL7" s="103" t="n"/>
      <c r="AM7" s="104" t="n"/>
      <c r="AN7" s="105" t="n"/>
      <c r="AO7" s="106" t="n"/>
      <c r="AP7" s="107" t="n"/>
      <c r="AQ7" s="106" t="n"/>
      <c r="AR7" s="107" t="n"/>
      <c r="AS7" s="106" t="n"/>
      <c r="AT7" s="107" t="n"/>
      <c r="AU7" s="106" t="n"/>
      <c r="AV7" s="107" t="n"/>
      <c r="AW7" s="106" t="n"/>
      <c r="AX7" s="107" t="n"/>
      <c r="AY7" s="106" t="n"/>
      <c r="AZ7" s="107" t="n"/>
      <c r="BA7" s="106" t="n"/>
      <c r="BB7" s="107" t="n"/>
      <c r="BC7" s="106" t="n"/>
      <c r="BD7" s="107" t="n"/>
      <c r="BE7" s="108" t="n"/>
      <c r="BF7" s="109" t="n"/>
      <c r="BG7" s="110" t="n"/>
      <c r="BH7" s="109" t="n"/>
      <c r="BI7" s="110" t="n"/>
      <c r="BJ7" s="109" t="n"/>
      <c r="BK7" s="110" t="n"/>
      <c r="BL7" s="109" t="n"/>
      <c r="BM7" s="110" t="n"/>
      <c r="BN7" s="109" t="n"/>
      <c r="BO7" s="110" t="n"/>
      <c r="BP7" s="109" t="n"/>
      <c r="BQ7" s="110" t="n"/>
      <c r="BR7" s="109" t="n"/>
      <c r="BS7" s="110" t="n"/>
      <c r="BT7" s="109" t="n"/>
      <c r="BU7" s="110" t="n"/>
      <c r="BV7" s="111" t="n"/>
      <c r="BW7" s="112" t="n"/>
      <c r="BX7" s="113" t="n"/>
      <c r="BY7" s="112" t="n"/>
      <c r="BZ7" s="113" t="n"/>
      <c r="CA7" s="112" t="n"/>
      <c r="CB7" s="113" t="n"/>
      <c r="CC7" s="112" t="n"/>
      <c r="CD7" s="113" t="n"/>
      <c r="CE7" s="112" t="n"/>
      <c r="CF7" s="113" t="n"/>
      <c r="CG7" s="112" t="n"/>
      <c r="CH7" s="113" t="n"/>
      <c r="CI7" s="112" t="n"/>
      <c r="CJ7" s="113" t="n"/>
      <c r="CK7" s="112" t="n"/>
      <c r="CL7" s="113" t="n"/>
      <c r="CM7" s="114" t="n"/>
      <c r="CN7" s="115" t="n"/>
      <c r="CO7" s="116" t="n"/>
      <c r="CP7" s="115" t="n"/>
      <c r="CQ7" s="116" t="n"/>
      <c r="CR7" s="115" t="n"/>
      <c r="CS7" s="116" t="n"/>
      <c r="CT7" s="115" t="n"/>
      <c r="CU7" s="116" t="n"/>
      <c r="CV7" s="115" t="n"/>
      <c r="CW7" s="116" t="n"/>
      <c r="CX7" s="115" t="n"/>
      <c r="CY7" s="116" t="n"/>
      <c r="CZ7" s="115" t="n"/>
      <c r="DA7" s="116" t="n"/>
      <c r="DB7" s="115" t="n"/>
      <c r="DC7" s="116" t="n"/>
      <c r="DD7" s="117" t="n"/>
      <c r="DE7" s="118" t="n"/>
      <c r="DF7" s="119" t="n"/>
      <c r="DG7" s="118" t="n"/>
      <c r="DH7" s="119" t="n"/>
      <c r="DI7" s="118" t="n"/>
      <c r="DJ7" s="119" t="n"/>
      <c r="DK7" s="118" t="n"/>
      <c r="DL7" s="119" t="n"/>
      <c r="DM7" s="118" t="n"/>
      <c r="DN7" s="119" t="n"/>
      <c r="DO7" s="118" t="n"/>
      <c r="DP7" s="119" t="n"/>
      <c r="DQ7" s="118" t="n"/>
      <c r="DR7" s="119" t="n"/>
      <c r="DS7" s="118" t="n"/>
      <c r="DT7" s="119" t="n"/>
      <c r="DU7" s="120" t="n"/>
      <c r="DV7" s="121" t="n"/>
      <c r="DW7" s="122" t="n"/>
      <c r="DX7" s="121" t="n"/>
      <c r="DY7" s="122" t="n"/>
      <c r="DZ7" s="121" t="n"/>
      <c r="EA7" s="122" t="n"/>
      <c r="EB7" s="121" t="n"/>
      <c r="EC7" s="122" t="n"/>
      <c r="ED7" s="121" t="n"/>
      <c r="EE7" s="122" t="n"/>
      <c r="EF7" s="121" t="n"/>
      <c r="EG7" s="122" t="n"/>
      <c r="EH7" s="121" t="n"/>
      <c r="EI7" s="122" t="n"/>
      <c r="EJ7" s="121" t="n"/>
      <c r="EK7" s="122" t="n"/>
      <c r="EL7" s="123" t="n"/>
      <c r="EM7" s="124" t="n"/>
      <c r="EN7" s="125" t="n"/>
      <c r="EO7" s="124" t="n"/>
      <c r="EP7" s="125" t="n"/>
      <c r="EQ7" s="124" t="n"/>
      <c r="ER7" s="125" t="n"/>
      <c r="ES7" s="124" t="n"/>
      <c r="ET7" s="125" t="n"/>
      <c r="EU7" s="124" t="n"/>
      <c r="EV7" s="125" t="n"/>
      <c r="EW7" s="124" t="n"/>
      <c r="EX7" s="125" t="n"/>
      <c r="EY7" s="124" t="n"/>
      <c r="EZ7" s="125" t="n"/>
      <c r="FA7" s="124" t="n"/>
      <c r="FB7" s="125" t="n"/>
      <c r="FC7" s="126" t="n"/>
      <c r="FD7" s="127" t="n"/>
      <c r="FE7" s="128" t="n"/>
      <c r="FF7" s="127" t="n"/>
      <c r="FG7" s="128" t="n"/>
      <c r="FH7" s="127" t="n"/>
      <c r="FI7" s="128" t="n"/>
      <c r="FJ7" s="127" t="n"/>
      <c r="FK7" s="128" t="n"/>
      <c r="FL7" s="127" t="n"/>
      <c r="FM7" s="128" t="n"/>
      <c r="FN7" s="127" t="n"/>
      <c r="FO7" s="128" t="n"/>
      <c r="FP7" s="127" t="n"/>
      <c r="FQ7" s="128" t="n"/>
      <c r="FR7" s="127" t="n"/>
      <c r="FS7" s="128" t="n"/>
      <c r="FT7" s="129" t="n"/>
      <c r="FU7" s="130" t="n"/>
      <c r="FV7" s="131" t="n"/>
      <c r="FW7" s="130" t="n"/>
      <c r="FX7" s="131" t="n"/>
      <c r="FY7" s="130" t="n"/>
      <c r="FZ7" s="131" t="n"/>
      <c r="GA7" s="130" t="n"/>
      <c r="GB7" s="131" t="n"/>
      <c r="GC7" s="130" t="n"/>
      <c r="GD7" s="131" t="n"/>
      <c r="GE7" s="130" t="n"/>
      <c r="GF7" s="131" t="n"/>
      <c r="GG7" s="130" t="n"/>
      <c r="GH7" s="131" t="n"/>
      <c r="GI7" s="130" t="n"/>
      <c r="GJ7" s="131" t="n"/>
      <c r="GK7" s="132" t="n"/>
      <c r="GL7" s="133" t="n"/>
      <c r="GM7" s="134" t="n"/>
      <c r="GN7" s="133" t="n"/>
      <c r="GO7" s="134" t="n"/>
      <c r="GP7" s="133" t="n"/>
      <c r="GQ7" s="134" t="n"/>
      <c r="GR7" s="133" t="n"/>
      <c r="GS7" s="134" t="n"/>
      <c r="GT7" s="133" t="n"/>
      <c r="GU7" s="134" t="n"/>
      <c r="GV7" s="133" t="n"/>
      <c r="GW7" s="134" t="n"/>
      <c r="GX7" s="133" t="n"/>
      <c r="GY7" s="134" t="n"/>
      <c r="GZ7" s="133" t="n"/>
      <c r="HA7" s="134" t="n"/>
      <c r="HB7" s="135" t="n"/>
      <c r="HC7">
        <f>97-SUMPRODUCT(MAX(($G$4:$HB$4="ح")*($G7:$HB7=TRUE)*(97-$G$47:$HB$47)))</f>
        <v>97</v>
      </c>
      <c r="HD7">
        <f>SUMPRODUCT(($G$4:$HB$4="ح")*($G7:$HB7=TRUE)*($G$47:$HB$47&gt;$HC$1-8))</f>
        <v>0</v>
      </c>
      <c r="HE7">
        <f>(COUNTIF($G7:$V7,TRUE)&gt;0)*($W7&lt;&gt;TRUE)+(COUNTIF($X7:$AM7,TRUE)&gt;0)*($AN7&lt;&gt;TRUE)+(COUNTIF($AO7:$BD7,TRUE)&gt;0)*($BE7&lt;&gt;TRUE)+(COUNTIF($BF7:$BU7,TRUE)&gt;0)*($BV7&lt;&gt;TRUE)+(COUNTIF($BW7:$CL7,TRUE)&gt;0)*($CM7&lt;&gt;TRUE)+(COUNTIF($CN7:$DC7,TRUE)&gt;0)*($DD7&lt;&gt;TRUE)+(COUNTIF($DE7:$DT7,TRUE)&gt;0)*($DU7&lt;&gt;TRUE)+(COUNTIF($DV7:$EK7,TRUE)&gt;0)*($EL7&lt;&gt;TRUE)+(COUNTIF($EM7:$FB7,TRUE)&gt;0)*($FC7&lt;&gt;TRUE)+(COUNTIF($FD7:$FS7,TRUE)&gt;0)*($FT7&lt;&gt;TRUE)+(COUNTIF($FU7:$GJ7,TRUE)&gt;0)*($GK7&lt;&gt;TRUE)+(COUNTIF($GL7:$HA7,TRUE)&gt;0)*($HB7&lt;&gt;TRUE)</f>
        <v>0</v>
      </c>
      <c r="HF7">
        <f>IF($HE7=0,0,13-MAX((COUNTIF($G7:$V7,TRUE)&gt;0)*($W7&lt;&gt;TRUE)*12,(COUNTIF($X7:$AM7,TRUE)&gt;0)*($AN7&lt;&gt;TRUE)*11,(COUNTIF($AO7:$BD7,TRUE)&gt;0)*($BE7&lt;&gt;TRUE)*10,(COUNTIF($BF7:$BU7,TRUE)&gt;0)*($BV7&lt;&gt;TRUE)*9,(COUNTIF($BW7:$CL7,TRUE)&gt;0)*($CM7&lt;&gt;TRUE)*8,(COUNTIF($CN7:$DC7,TRUE)&gt;0)*($DD7&lt;&gt;TRUE)*7,(COUNTIF($DE7:$DT7,TRUE)&gt;0)*($DU7&lt;&gt;TRUE)*6,(COUNTIF($DV7:$EK7,TRUE)&gt;0)*($EL7&lt;&gt;TRUE)*5,(COUNTIF($EM7:$FB7,TRUE)&gt;0)*($FC7&lt;&gt;TRUE)*4,(COUNTIF($FD7:$FS7,TRUE)&gt;0)*($FT7&lt;&gt;TRUE)*3,(COUNTIF($FU7:$GJ7,TRUE)&gt;0)*($GK7&lt;&gt;TRUE)*2,(COUNTIF($GL7:$HA7,TRUE)&gt;0)*($HB7&lt;&gt;TRUE)*1))</f>
        <v>0</v>
      </c>
    </row>
    <row r="8" ht="22.5" customHeight="1">
      <c r="A8" s="36" t="n">
        <v>4</v>
      </c>
      <c r="B8" s="97" t="n"/>
      <c r="C8" s="28" t="n"/>
      <c r="D8" s="98" t="str">
        <f>IF($B8="","",IF($HC8=97,"-",IF($HD8=0,"متوقف",SUMPRODUCT(($G$4:$HB$4="ح")*($G$20:$HB$20&gt;0)*($G8:$HB8&lt;&gt;TRUE)*($G$47:$HB$47&gt;$HC$1-8)*($G$47:$HB$47&gt;=$HC8)))))</f>
        <v/>
      </c>
      <c r="E8" s="98" t="str">
        <f>IF(OR($B8="",$HC8=97),"",SUMPRODUCT(($G$4:$HA$4="ح")*($G8:$HA8=TRUE)*($H8:$HB8&lt;&gt;TRUE)*($G$47:$HA$47&gt;$HC$1-8)))</f>
        <v/>
      </c>
      <c r="F8" s="99" t="str">
        <f>IF($B8="","",IF($HE8=0,IF($HC8=97,"-","تمام"),IF($HE8=1,IF(INDEX($G$1:$HB$1,1,17*($HF8-1)+1)="","شهر "&amp;$HF8,INDEX($G$1:$HB$1,1,17*($HF8-1)+1)),IF($HE8=2,"شهرين",$HE8&amp;" شهور"))))</f>
        <v/>
      </c>
      <c r="G8" s="100" t="n"/>
      <c r="H8" s="101" t="n"/>
      <c r="I8" s="100" t="n"/>
      <c r="J8" s="101" t="n"/>
      <c r="K8" s="100" t="n"/>
      <c r="L8" s="101" t="n"/>
      <c r="M8" s="100" t="n"/>
      <c r="N8" s="101" t="n"/>
      <c r="O8" s="100" t="n"/>
      <c r="P8" s="101" t="n"/>
      <c r="Q8" s="100" t="n"/>
      <c r="R8" s="101" t="n"/>
      <c r="S8" s="100" t="n"/>
      <c r="T8" s="101" t="n"/>
      <c r="U8" s="100" t="n"/>
      <c r="V8" s="101" t="n"/>
      <c r="W8" s="102" t="n"/>
      <c r="X8" s="103" t="n"/>
      <c r="Y8" s="104" t="n"/>
      <c r="Z8" s="103" t="n"/>
      <c r="AA8" s="104" t="n"/>
      <c r="AB8" s="103" t="n"/>
      <c r="AC8" s="104" t="n"/>
      <c r="AD8" s="103" t="n"/>
      <c r="AE8" s="104" t="n"/>
      <c r="AF8" s="103" t="n"/>
      <c r="AG8" s="104" t="n"/>
      <c r="AH8" s="103" t="n"/>
      <c r="AI8" s="104" t="n"/>
      <c r="AJ8" s="103" t="n"/>
      <c r="AK8" s="104" t="n"/>
      <c r="AL8" s="103" t="n"/>
      <c r="AM8" s="104" t="n"/>
      <c r="AN8" s="105" t="n"/>
      <c r="AO8" s="106" t="n"/>
      <c r="AP8" s="107" t="n"/>
      <c r="AQ8" s="106" t="n"/>
      <c r="AR8" s="107" t="n"/>
      <c r="AS8" s="106" t="n"/>
      <c r="AT8" s="107" t="n"/>
      <c r="AU8" s="106" t="n"/>
      <c r="AV8" s="107" t="n"/>
      <c r="AW8" s="106" t="n"/>
      <c r="AX8" s="107" t="n"/>
      <c r="AY8" s="106" t="n"/>
      <c r="AZ8" s="107" t="n"/>
      <c r="BA8" s="106" t="n"/>
      <c r="BB8" s="107" t="n"/>
      <c r="BC8" s="106" t="n"/>
      <c r="BD8" s="107" t="n"/>
      <c r="BE8" s="108" t="n"/>
      <c r="BF8" s="109" t="n"/>
      <c r="BG8" s="110" t="n"/>
      <c r="BH8" s="109" t="n"/>
      <c r="BI8" s="110" t="n"/>
      <c r="BJ8" s="109" t="n"/>
      <c r="BK8" s="110" t="n"/>
      <c r="BL8" s="109" t="n"/>
      <c r="BM8" s="110" t="n"/>
      <c r="BN8" s="109" t="n"/>
      <c r="BO8" s="110" t="n"/>
      <c r="BP8" s="109" t="n"/>
      <c r="BQ8" s="110" t="n"/>
      <c r="BR8" s="109" t="n"/>
      <c r="BS8" s="110" t="n"/>
      <c r="BT8" s="109" t="n"/>
      <c r="BU8" s="110" t="n"/>
      <c r="BV8" s="111" t="n"/>
      <c r="BW8" s="112" t="n"/>
      <c r="BX8" s="113" t="n"/>
      <c r="BY8" s="112" t="n"/>
      <c r="BZ8" s="113" t="n"/>
      <c r="CA8" s="112" t="n"/>
      <c r="CB8" s="113" t="n"/>
      <c r="CC8" s="112" t="n"/>
      <c r="CD8" s="113" t="n"/>
      <c r="CE8" s="112" t="n"/>
      <c r="CF8" s="113" t="n"/>
      <c r="CG8" s="112" t="n"/>
      <c r="CH8" s="113" t="n"/>
      <c r="CI8" s="112" t="n"/>
      <c r="CJ8" s="113" t="n"/>
      <c r="CK8" s="112" t="n"/>
      <c r="CL8" s="113" t="n"/>
      <c r="CM8" s="114" t="n"/>
      <c r="CN8" s="115" t="n"/>
      <c r="CO8" s="116" t="n"/>
      <c r="CP8" s="115" t="n"/>
      <c r="CQ8" s="116" t="n"/>
      <c r="CR8" s="115" t="n"/>
      <c r="CS8" s="116" t="n"/>
      <c r="CT8" s="115" t="n"/>
      <c r="CU8" s="116" t="n"/>
      <c r="CV8" s="115" t="n"/>
      <c r="CW8" s="116" t="n"/>
      <c r="CX8" s="115" t="n"/>
      <c r="CY8" s="116" t="n"/>
      <c r="CZ8" s="115" t="n"/>
      <c r="DA8" s="116" t="n"/>
      <c r="DB8" s="115" t="n"/>
      <c r="DC8" s="116" t="n"/>
      <c r="DD8" s="117" t="n"/>
      <c r="DE8" s="118" t="n"/>
      <c r="DF8" s="119" t="n"/>
      <c r="DG8" s="118" t="n"/>
      <c r="DH8" s="119" t="n"/>
      <c r="DI8" s="118" t="n"/>
      <c r="DJ8" s="119" t="n"/>
      <c r="DK8" s="118" t="n"/>
      <c r="DL8" s="119" t="n"/>
      <c r="DM8" s="118" t="n"/>
      <c r="DN8" s="119" t="n"/>
      <c r="DO8" s="118" t="n"/>
      <c r="DP8" s="119" t="n"/>
      <c r="DQ8" s="118" t="n"/>
      <c r="DR8" s="119" t="n"/>
      <c r="DS8" s="118" t="n"/>
      <c r="DT8" s="119" t="n"/>
      <c r="DU8" s="120" t="n"/>
      <c r="DV8" s="121" t="n"/>
      <c r="DW8" s="122" t="n"/>
      <c r="DX8" s="121" t="n"/>
      <c r="DY8" s="122" t="n"/>
      <c r="DZ8" s="121" t="n"/>
      <c r="EA8" s="122" t="n"/>
      <c r="EB8" s="121" t="n"/>
      <c r="EC8" s="122" t="n"/>
      <c r="ED8" s="121" t="n"/>
      <c r="EE8" s="122" t="n"/>
      <c r="EF8" s="121" t="n"/>
      <c r="EG8" s="122" t="n"/>
      <c r="EH8" s="121" t="n"/>
      <c r="EI8" s="122" t="n"/>
      <c r="EJ8" s="121" t="n"/>
      <c r="EK8" s="122" t="n"/>
      <c r="EL8" s="123" t="n"/>
      <c r="EM8" s="124" t="n"/>
      <c r="EN8" s="125" t="n"/>
      <c r="EO8" s="124" t="n"/>
      <c r="EP8" s="125" t="n"/>
      <c r="EQ8" s="124" t="n"/>
      <c r="ER8" s="125" t="n"/>
      <c r="ES8" s="124" t="n"/>
      <c r="ET8" s="125" t="n"/>
      <c r="EU8" s="124" t="n"/>
      <c r="EV8" s="125" t="n"/>
      <c r="EW8" s="124" t="n"/>
      <c r="EX8" s="125" t="n"/>
      <c r="EY8" s="124" t="n"/>
      <c r="EZ8" s="125" t="n"/>
      <c r="FA8" s="124" t="n"/>
      <c r="FB8" s="125" t="n"/>
      <c r="FC8" s="126" t="n"/>
      <c r="FD8" s="127" t="n"/>
      <c r="FE8" s="128" t="n"/>
      <c r="FF8" s="127" t="n"/>
      <c r="FG8" s="128" t="n"/>
      <c r="FH8" s="127" t="n"/>
      <c r="FI8" s="128" t="n"/>
      <c r="FJ8" s="127" t="n"/>
      <c r="FK8" s="128" t="n"/>
      <c r="FL8" s="127" t="n"/>
      <c r="FM8" s="128" t="n"/>
      <c r="FN8" s="127" t="n"/>
      <c r="FO8" s="128" t="n"/>
      <c r="FP8" s="127" t="n"/>
      <c r="FQ8" s="128" t="n"/>
      <c r="FR8" s="127" t="n"/>
      <c r="FS8" s="128" t="n"/>
      <c r="FT8" s="129" t="n"/>
      <c r="FU8" s="130" t="n"/>
      <c r="FV8" s="131" t="n"/>
      <c r="FW8" s="130" t="n"/>
      <c r="FX8" s="131" t="n"/>
      <c r="FY8" s="130" t="n"/>
      <c r="FZ8" s="131" t="n"/>
      <c r="GA8" s="130" t="n"/>
      <c r="GB8" s="131" t="n"/>
      <c r="GC8" s="130" t="n"/>
      <c r="GD8" s="131" t="n"/>
      <c r="GE8" s="130" t="n"/>
      <c r="GF8" s="131" t="n"/>
      <c r="GG8" s="130" t="n"/>
      <c r="GH8" s="131" t="n"/>
      <c r="GI8" s="130" t="n"/>
      <c r="GJ8" s="131" t="n"/>
      <c r="GK8" s="132" t="n"/>
      <c r="GL8" s="133" t="n"/>
      <c r="GM8" s="134" t="n"/>
      <c r="GN8" s="133" t="n"/>
      <c r="GO8" s="134" t="n"/>
      <c r="GP8" s="133" t="n"/>
      <c r="GQ8" s="134" t="n"/>
      <c r="GR8" s="133" t="n"/>
      <c r="GS8" s="134" t="n"/>
      <c r="GT8" s="133" t="n"/>
      <c r="GU8" s="134" t="n"/>
      <c r="GV8" s="133" t="n"/>
      <c r="GW8" s="134" t="n"/>
      <c r="GX8" s="133" t="n"/>
      <c r="GY8" s="134" t="n"/>
      <c r="GZ8" s="133" t="n"/>
      <c r="HA8" s="134" t="n"/>
      <c r="HB8" s="135" t="n"/>
      <c r="HC8">
        <f>97-SUMPRODUCT(MAX(($G$4:$HB$4="ح")*($G8:$HB8=TRUE)*(97-$G$47:$HB$47)))</f>
        <v>97</v>
      </c>
      <c r="HD8">
        <f>SUMPRODUCT(($G$4:$HB$4="ح")*($G8:$HB8=TRUE)*($G$47:$HB$47&gt;$HC$1-8))</f>
        <v>0</v>
      </c>
      <c r="HE8">
        <f>(COUNTIF($G8:$V8,TRUE)&gt;0)*($W8&lt;&gt;TRUE)+(COUNTIF($X8:$AM8,TRUE)&gt;0)*($AN8&lt;&gt;TRUE)+(COUNTIF($AO8:$BD8,TRUE)&gt;0)*($BE8&lt;&gt;TRUE)+(COUNTIF($BF8:$BU8,TRUE)&gt;0)*($BV8&lt;&gt;TRUE)+(COUNTIF($BW8:$CL8,TRUE)&gt;0)*($CM8&lt;&gt;TRUE)+(COUNTIF($CN8:$DC8,TRUE)&gt;0)*($DD8&lt;&gt;TRUE)+(COUNTIF($DE8:$DT8,TRUE)&gt;0)*($DU8&lt;&gt;TRUE)+(COUNTIF($DV8:$EK8,TRUE)&gt;0)*($EL8&lt;&gt;TRUE)+(COUNTIF($EM8:$FB8,TRUE)&gt;0)*($FC8&lt;&gt;TRUE)+(COUNTIF($FD8:$FS8,TRUE)&gt;0)*($FT8&lt;&gt;TRUE)+(COUNTIF($FU8:$GJ8,TRUE)&gt;0)*($GK8&lt;&gt;TRUE)+(COUNTIF($GL8:$HA8,TRUE)&gt;0)*($HB8&lt;&gt;TRUE)</f>
        <v>0</v>
      </c>
      <c r="HF8">
        <f>IF($HE8=0,0,13-MAX((COUNTIF($G8:$V8,TRUE)&gt;0)*($W8&lt;&gt;TRUE)*12,(COUNTIF($X8:$AM8,TRUE)&gt;0)*($AN8&lt;&gt;TRUE)*11,(COUNTIF($AO8:$BD8,TRUE)&gt;0)*($BE8&lt;&gt;TRUE)*10,(COUNTIF($BF8:$BU8,TRUE)&gt;0)*($BV8&lt;&gt;TRUE)*9,(COUNTIF($BW8:$CL8,TRUE)&gt;0)*($CM8&lt;&gt;TRUE)*8,(COUNTIF($CN8:$DC8,TRUE)&gt;0)*($DD8&lt;&gt;TRUE)*7,(COUNTIF($DE8:$DT8,TRUE)&gt;0)*($DU8&lt;&gt;TRUE)*6,(COUNTIF($DV8:$EK8,TRUE)&gt;0)*($EL8&lt;&gt;TRUE)*5,(COUNTIF($EM8:$FB8,TRUE)&gt;0)*($FC8&lt;&gt;TRUE)*4,(COUNTIF($FD8:$FS8,TRUE)&gt;0)*($FT8&lt;&gt;TRUE)*3,(COUNTIF($FU8:$GJ8,TRUE)&gt;0)*($GK8&lt;&gt;TRUE)*2,(COUNTIF($GL8:$HA8,TRUE)&gt;0)*($HB8&lt;&gt;TRUE)*1))</f>
        <v>0</v>
      </c>
    </row>
    <row r="9" ht="22.5" customHeight="1">
      <c r="A9" s="36" t="n">
        <v>5</v>
      </c>
      <c r="B9" s="97" t="n"/>
      <c r="C9" s="28" t="n"/>
      <c r="D9" s="98" t="str">
        <f>IF($B9="","",IF($HC9=97,"-",IF($HD9=0,"متوقف",SUMPRODUCT(($G$4:$HB$4="ح")*($G$20:$HB$20&gt;0)*($G9:$HB9&lt;&gt;TRUE)*($G$47:$HB$47&gt;$HC$1-8)*($G$47:$HB$47&gt;=$HC9)))))</f>
        <v/>
      </c>
      <c r="E9" s="98" t="str">
        <f>IF(OR($B9="",$HC9=97),"",SUMPRODUCT(($G$4:$HA$4="ح")*($G9:$HA9=TRUE)*($H9:$HB9&lt;&gt;TRUE)*($G$47:$HA$47&gt;$HC$1-8)))</f>
        <v/>
      </c>
      <c r="F9" s="99" t="str">
        <f>IF($B9="","",IF($HE9=0,IF($HC9=97,"-","تمام"),IF($HE9=1,IF(INDEX($G$1:$HB$1,1,17*($HF9-1)+1)="","شهر "&amp;$HF9,INDEX($G$1:$HB$1,1,17*($HF9-1)+1)),IF($HE9=2,"شهرين",$HE9&amp;" شهور"))))</f>
        <v/>
      </c>
      <c r="G9" s="100" t="n"/>
      <c r="H9" s="101" t="n"/>
      <c r="I9" s="100" t="n"/>
      <c r="J9" s="101" t="n"/>
      <c r="K9" s="100" t="n"/>
      <c r="L9" s="101" t="n"/>
      <c r="M9" s="100" t="n"/>
      <c r="N9" s="101" t="n"/>
      <c r="O9" s="100" t="n"/>
      <c r="P9" s="101" t="n"/>
      <c r="Q9" s="100" t="n"/>
      <c r="R9" s="101" t="n"/>
      <c r="S9" s="100" t="n"/>
      <c r="T9" s="101" t="n"/>
      <c r="U9" s="100" t="n"/>
      <c r="V9" s="101" t="n"/>
      <c r="W9" s="102" t="n"/>
      <c r="X9" s="103" t="n"/>
      <c r="Y9" s="104" t="n"/>
      <c r="Z9" s="103" t="n"/>
      <c r="AA9" s="104" t="n"/>
      <c r="AB9" s="103" t="n"/>
      <c r="AC9" s="104" t="n"/>
      <c r="AD9" s="103" t="n"/>
      <c r="AE9" s="104" t="n"/>
      <c r="AF9" s="103" t="n"/>
      <c r="AG9" s="104" t="n"/>
      <c r="AH9" s="103" t="n"/>
      <c r="AI9" s="104" t="n"/>
      <c r="AJ9" s="103" t="n"/>
      <c r="AK9" s="104" t="n"/>
      <c r="AL9" s="103" t="n"/>
      <c r="AM9" s="104" t="n"/>
      <c r="AN9" s="105" t="n"/>
      <c r="AO9" s="106" t="n"/>
      <c r="AP9" s="107" t="n"/>
      <c r="AQ9" s="106" t="n"/>
      <c r="AR9" s="107" t="n"/>
      <c r="AS9" s="106" t="n"/>
      <c r="AT9" s="107" t="n"/>
      <c r="AU9" s="106" t="n"/>
      <c r="AV9" s="107" t="n"/>
      <c r="AW9" s="106" t="n"/>
      <c r="AX9" s="107" t="n"/>
      <c r="AY9" s="106" t="n"/>
      <c r="AZ9" s="107" t="n"/>
      <c r="BA9" s="106" t="n"/>
      <c r="BB9" s="107" t="n"/>
      <c r="BC9" s="106" t="n"/>
      <c r="BD9" s="107" t="n"/>
      <c r="BE9" s="108" t="n"/>
      <c r="BF9" s="109" t="n"/>
      <c r="BG9" s="110" t="n"/>
      <c r="BH9" s="109" t="n"/>
      <c r="BI9" s="110" t="n"/>
      <c r="BJ9" s="109" t="n"/>
      <c r="BK9" s="110" t="n"/>
      <c r="BL9" s="109" t="n"/>
      <c r="BM9" s="110" t="n"/>
      <c r="BN9" s="109" t="n"/>
      <c r="BO9" s="110" t="n"/>
      <c r="BP9" s="109" t="n"/>
      <c r="BQ9" s="110" t="n"/>
      <c r="BR9" s="109" t="n"/>
      <c r="BS9" s="110" t="n"/>
      <c r="BT9" s="109" t="n"/>
      <c r="BU9" s="110" t="n"/>
      <c r="BV9" s="111" t="n"/>
      <c r="BW9" s="112" t="n"/>
      <c r="BX9" s="113" t="n"/>
      <c r="BY9" s="112" t="n"/>
      <c r="BZ9" s="113" t="n"/>
      <c r="CA9" s="112" t="n"/>
      <c r="CB9" s="113" t="n"/>
      <c r="CC9" s="112" t="n"/>
      <c r="CD9" s="113" t="n"/>
      <c r="CE9" s="112" t="n"/>
      <c r="CF9" s="113" t="n"/>
      <c r="CG9" s="112" t="n"/>
      <c r="CH9" s="113" t="n"/>
      <c r="CI9" s="112" t="n"/>
      <c r="CJ9" s="113" t="n"/>
      <c r="CK9" s="112" t="n"/>
      <c r="CL9" s="113" t="n"/>
      <c r="CM9" s="114" t="n"/>
      <c r="CN9" s="115" t="n"/>
      <c r="CO9" s="116" t="n"/>
      <c r="CP9" s="115" t="n"/>
      <c r="CQ9" s="116" t="n"/>
      <c r="CR9" s="115" t="n"/>
      <c r="CS9" s="116" t="n"/>
      <c r="CT9" s="115" t="n"/>
      <c r="CU9" s="116" t="n"/>
      <c r="CV9" s="115" t="n"/>
      <c r="CW9" s="116" t="n"/>
      <c r="CX9" s="115" t="n"/>
      <c r="CY9" s="116" t="n"/>
      <c r="CZ9" s="115" t="n"/>
      <c r="DA9" s="116" t="n"/>
      <c r="DB9" s="115" t="n"/>
      <c r="DC9" s="116" t="n"/>
      <c r="DD9" s="117" t="n"/>
      <c r="DE9" s="118" t="n"/>
      <c r="DF9" s="119" t="n"/>
      <c r="DG9" s="118" t="n"/>
      <c r="DH9" s="119" t="n"/>
      <c r="DI9" s="118" t="n"/>
      <c r="DJ9" s="119" t="n"/>
      <c r="DK9" s="118" t="n"/>
      <c r="DL9" s="119" t="n"/>
      <c r="DM9" s="118" t="n"/>
      <c r="DN9" s="119" t="n"/>
      <c r="DO9" s="118" t="n"/>
      <c r="DP9" s="119" t="n"/>
      <c r="DQ9" s="118" t="n"/>
      <c r="DR9" s="119" t="n"/>
      <c r="DS9" s="118" t="n"/>
      <c r="DT9" s="119" t="n"/>
      <c r="DU9" s="120" t="n"/>
      <c r="DV9" s="121" t="n"/>
      <c r="DW9" s="122" t="n"/>
      <c r="DX9" s="121" t="n"/>
      <c r="DY9" s="122" t="n"/>
      <c r="DZ9" s="121" t="n"/>
      <c r="EA9" s="122" t="n"/>
      <c r="EB9" s="121" t="n"/>
      <c r="EC9" s="122" t="n"/>
      <c r="ED9" s="121" t="n"/>
      <c r="EE9" s="122" t="n"/>
      <c r="EF9" s="121" t="n"/>
      <c r="EG9" s="122" t="n"/>
      <c r="EH9" s="121" t="n"/>
      <c r="EI9" s="122" t="n"/>
      <c r="EJ9" s="121" t="n"/>
      <c r="EK9" s="122" t="n"/>
      <c r="EL9" s="123" t="n"/>
      <c r="EM9" s="124" t="n"/>
      <c r="EN9" s="125" t="n"/>
      <c r="EO9" s="124" t="n"/>
      <c r="EP9" s="125" t="n"/>
      <c r="EQ9" s="124" t="n"/>
      <c r="ER9" s="125" t="n"/>
      <c r="ES9" s="124" t="n"/>
      <c r="ET9" s="125" t="n"/>
      <c r="EU9" s="124" t="n"/>
      <c r="EV9" s="125" t="n"/>
      <c r="EW9" s="124" t="n"/>
      <c r="EX9" s="125" t="n"/>
      <c r="EY9" s="124" t="n"/>
      <c r="EZ9" s="125" t="n"/>
      <c r="FA9" s="124" t="n"/>
      <c r="FB9" s="125" t="n"/>
      <c r="FC9" s="126" t="n"/>
      <c r="FD9" s="127" t="n"/>
      <c r="FE9" s="128" t="n"/>
      <c r="FF9" s="127" t="n"/>
      <c r="FG9" s="128" t="n"/>
      <c r="FH9" s="127" t="n"/>
      <c r="FI9" s="128" t="n"/>
      <c r="FJ9" s="127" t="n"/>
      <c r="FK9" s="128" t="n"/>
      <c r="FL9" s="127" t="n"/>
      <c r="FM9" s="128" t="n"/>
      <c r="FN9" s="127" t="n"/>
      <c r="FO9" s="128" t="n"/>
      <c r="FP9" s="127" t="n"/>
      <c r="FQ9" s="128" t="n"/>
      <c r="FR9" s="127" t="n"/>
      <c r="FS9" s="128" t="n"/>
      <c r="FT9" s="129" t="n"/>
      <c r="FU9" s="130" t="n"/>
      <c r="FV9" s="131" t="n"/>
      <c r="FW9" s="130" t="n"/>
      <c r="FX9" s="131" t="n"/>
      <c r="FY9" s="130" t="n"/>
      <c r="FZ9" s="131" t="n"/>
      <c r="GA9" s="130" t="n"/>
      <c r="GB9" s="131" t="n"/>
      <c r="GC9" s="130" t="n"/>
      <c r="GD9" s="131" t="n"/>
      <c r="GE9" s="130" t="n"/>
      <c r="GF9" s="131" t="n"/>
      <c r="GG9" s="130" t="n"/>
      <c r="GH9" s="131" t="n"/>
      <c r="GI9" s="130" t="n"/>
      <c r="GJ9" s="131" t="n"/>
      <c r="GK9" s="132" t="n"/>
      <c r="GL9" s="133" t="n"/>
      <c r="GM9" s="134" t="n"/>
      <c r="GN9" s="133" t="n"/>
      <c r="GO9" s="134" t="n"/>
      <c r="GP9" s="133" t="n"/>
      <c r="GQ9" s="134" t="n"/>
      <c r="GR9" s="133" t="n"/>
      <c r="GS9" s="134" t="n"/>
      <c r="GT9" s="133" t="n"/>
      <c r="GU9" s="134" t="n"/>
      <c r="GV9" s="133" t="n"/>
      <c r="GW9" s="134" t="n"/>
      <c r="GX9" s="133" t="n"/>
      <c r="GY9" s="134" t="n"/>
      <c r="GZ9" s="133" t="n"/>
      <c r="HA9" s="134" t="n"/>
      <c r="HB9" s="135" t="n"/>
      <c r="HC9">
        <f>97-SUMPRODUCT(MAX(($G$4:$HB$4="ح")*($G9:$HB9=TRUE)*(97-$G$47:$HB$47)))</f>
        <v>97</v>
      </c>
      <c r="HD9">
        <f>SUMPRODUCT(($G$4:$HB$4="ح")*($G9:$HB9=TRUE)*($G$47:$HB$47&gt;$HC$1-8))</f>
        <v>0</v>
      </c>
      <c r="HE9">
        <f>(COUNTIF($G9:$V9,TRUE)&gt;0)*($W9&lt;&gt;TRUE)+(COUNTIF($X9:$AM9,TRUE)&gt;0)*($AN9&lt;&gt;TRUE)+(COUNTIF($AO9:$BD9,TRUE)&gt;0)*($BE9&lt;&gt;TRUE)+(COUNTIF($BF9:$BU9,TRUE)&gt;0)*($BV9&lt;&gt;TRUE)+(COUNTIF($BW9:$CL9,TRUE)&gt;0)*($CM9&lt;&gt;TRUE)+(COUNTIF($CN9:$DC9,TRUE)&gt;0)*($DD9&lt;&gt;TRUE)+(COUNTIF($DE9:$DT9,TRUE)&gt;0)*($DU9&lt;&gt;TRUE)+(COUNTIF($DV9:$EK9,TRUE)&gt;0)*($EL9&lt;&gt;TRUE)+(COUNTIF($EM9:$FB9,TRUE)&gt;0)*($FC9&lt;&gt;TRUE)+(COUNTIF($FD9:$FS9,TRUE)&gt;0)*($FT9&lt;&gt;TRUE)+(COUNTIF($FU9:$GJ9,TRUE)&gt;0)*($GK9&lt;&gt;TRUE)+(COUNTIF($GL9:$HA9,TRUE)&gt;0)*($HB9&lt;&gt;TRUE)</f>
        <v>0</v>
      </c>
      <c r="HF9">
        <f>IF($HE9=0,0,13-MAX((COUNTIF($G9:$V9,TRUE)&gt;0)*($W9&lt;&gt;TRUE)*12,(COUNTIF($X9:$AM9,TRUE)&gt;0)*($AN9&lt;&gt;TRUE)*11,(COUNTIF($AO9:$BD9,TRUE)&gt;0)*($BE9&lt;&gt;TRUE)*10,(COUNTIF($BF9:$BU9,TRUE)&gt;0)*($BV9&lt;&gt;TRUE)*9,(COUNTIF($BW9:$CL9,TRUE)&gt;0)*($CM9&lt;&gt;TRUE)*8,(COUNTIF($CN9:$DC9,TRUE)&gt;0)*($DD9&lt;&gt;TRUE)*7,(COUNTIF($DE9:$DT9,TRUE)&gt;0)*($DU9&lt;&gt;TRUE)*6,(COUNTIF($DV9:$EK9,TRUE)&gt;0)*($EL9&lt;&gt;TRUE)*5,(COUNTIF($EM9:$FB9,TRUE)&gt;0)*($FC9&lt;&gt;TRUE)*4,(COUNTIF($FD9:$FS9,TRUE)&gt;0)*($FT9&lt;&gt;TRUE)*3,(COUNTIF($FU9:$GJ9,TRUE)&gt;0)*($GK9&lt;&gt;TRUE)*2,(COUNTIF($GL9:$HA9,TRUE)&gt;0)*($HB9&lt;&gt;TRUE)*1))</f>
        <v>0</v>
      </c>
    </row>
    <row r="10" ht="22.5" customHeight="1">
      <c r="A10" s="36" t="n">
        <v>6</v>
      </c>
      <c r="B10" s="97" t="n"/>
      <c r="C10" s="28" t="n"/>
      <c r="D10" s="98" t="str">
        <f>IF($B10="","",IF($HC10=97,"-",IF($HD10=0,"متوقف",SUMPRODUCT(($G$4:$HB$4="ح")*($G$20:$HB$20&gt;0)*($G10:$HB10&lt;&gt;TRUE)*($G$47:$HB$47&gt;$HC$1-8)*($G$47:$HB$47&gt;=$HC10)))))</f>
        <v/>
      </c>
      <c r="E10" s="98" t="str">
        <f>IF(OR($B10="",$HC10=97),"",SUMPRODUCT(($G$4:$HA$4="ح")*($G10:$HA10=TRUE)*($H10:$HB10&lt;&gt;TRUE)*($G$47:$HA$47&gt;$HC$1-8)))</f>
        <v/>
      </c>
      <c r="F10" s="99" t="str">
        <f>IF($B10="","",IF($HE10=0,IF($HC10=97,"-","تمام"),IF($HE10=1,IF(INDEX($G$1:$HB$1,1,17*($HF10-1)+1)="","شهر "&amp;$HF10,INDEX($G$1:$HB$1,1,17*($HF10-1)+1)),IF($HE10=2,"شهرين",$HE10&amp;" شهور"))))</f>
        <v/>
      </c>
      <c r="G10" s="100" t="n"/>
      <c r="H10" s="101" t="n"/>
      <c r="I10" s="100" t="n"/>
      <c r="J10" s="101" t="n"/>
      <c r="K10" s="100" t="n"/>
      <c r="L10" s="101" t="n"/>
      <c r="M10" s="100" t="n"/>
      <c r="N10" s="101" t="n"/>
      <c r="O10" s="100" t="n"/>
      <c r="P10" s="101" t="n"/>
      <c r="Q10" s="100" t="n"/>
      <c r="R10" s="101" t="n"/>
      <c r="S10" s="100" t="n"/>
      <c r="T10" s="101" t="n"/>
      <c r="U10" s="100" t="n"/>
      <c r="V10" s="101" t="n"/>
      <c r="W10" s="102" t="n"/>
      <c r="X10" s="103" t="n"/>
      <c r="Y10" s="104" t="n"/>
      <c r="Z10" s="103" t="n"/>
      <c r="AA10" s="104" t="n"/>
      <c r="AB10" s="103" t="n"/>
      <c r="AC10" s="104" t="n"/>
      <c r="AD10" s="103" t="n"/>
      <c r="AE10" s="104" t="n"/>
      <c r="AF10" s="103" t="n"/>
      <c r="AG10" s="104" t="n"/>
      <c r="AH10" s="103" t="n"/>
      <c r="AI10" s="104" t="n"/>
      <c r="AJ10" s="103" t="n"/>
      <c r="AK10" s="104" t="n"/>
      <c r="AL10" s="103" t="n"/>
      <c r="AM10" s="104" t="n"/>
      <c r="AN10" s="105" t="n"/>
      <c r="AO10" s="106" t="n"/>
      <c r="AP10" s="107" t="n"/>
      <c r="AQ10" s="106" t="n"/>
      <c r="AR10" s="107" t="n"/>
      <c r="AS10" s="106" t="n"/>
      <c r="AT10" s="107" t="n"/>
      <c r="AU10" s="106" t="n"/>
      <c r="AV10" s="107" t="n"/>
      <c r="AW10" s="106" t="n"/>
      <c r="AX10" s="107" t="n"/>
      <c r="AY10" s="106" t="n"/>
      <c r="AZ10" s="107" t="n"/>
      <c r="BA10" s="106" t="n"/>
      <c r="BB10" s="107" t="n"/>
      <c r="BC10" s="106" t="n"/>
      <c r="BD10" s="107" t="n"/>
      <c r="BE10" s="108" t="n"/>
      <c r="BF10" s="109" t="n"/>
      <c r="BG10" s="110" t="n"/>
      <c r="BH10" s="109" t="n"/>
      <c r="BI10" s="110" t="n"/>
      <c r="BJ10" s="109" t="n"/>
      <c r="BK10" s="110" t="n"/>
      <c r="BL10" s="109" t="n"/>
      <c r="BM10" s="110" t="n"/>
      <c r="BN10" s="109" t="n"/>
      <c r="BO10" s="110" t="n"/>
      <c r="BP10" s="109" t="n"/>
      <c r="BQ10" s="110" t="n"/>
      <c r="BR10" s="109" t="n"/>
      <c r="BS10" s="110" t="n"/>
      <c r="BT10" s="109" t="n"/>
      <c r="BU10" s="110" t="n"/>
      <c r="BV10" s="111" t="n"/>
      <c r="BW10" s="112" t="n"/>
      <c r="BX10" s="113" t="n"/>
      <c r="BY10" s="112" t="n"/>
      <c r="BZ10" s="113" t="n"/>
      <c r="CA10" s="112" t="n"/>
      <c r="CB10" s="113" t="n"/>
      <c r="CC10" s="112" t="n"/>
      <c r="CD10" s="113" t="n"/>
      <c r="CE10" s="112" t="n"/>
      <c r="CF10" s="113" t="n"/>
      <c r="CG10" s="112" t="n"/>
      <c r="CH10" s="113" t="n"/>
      <c r="CI10" s="112" t="n"/>
      <c r="CJ10" s="113" t="n"/>
      <c r="CK10" s="112" t="n"/>
      <c r="CL10" s="113" t="n"/>
      <c r="CM10" s="114" t="n"/>
      <c r="CN10" s="115" t="n"/>
      <c r="CO10" s="116" t="n"/>
      <c r="CP10" s="115" t="n"/>
      <c r="CQ10" s="116" t="n"/>
      <c r="CR10" s="115" t="n"/>
      <c r="CS10" s="116" t="n"/>
      <c r="CT10" s="115" t="n"/>
      <c r="CU10" s="116" t="n"/>
      <c r="CV10" s="115" t="n"/>
      <c r="CW10" s="116" t="n"/>
      <c r="CX10" s="115" t="n"/>
      <c r="CY10" s="116" t="n"/>
      <c r="CZ10" s="115" t="n"/>
      <c r="DA10" s="116" t="n"/>
      <c r="DB10" s="115" t="n"/>
      <c r="DC10" s="116" t="n"/>
      <c r="DD10" s="117" t="n"/>
      <c r="DE10" s="118" t="n"/>
      <c r="DF10" s="119" t="n"/>
      <c r="DG10" s="118" t="n"/>
      <c r="DH10" s="119" t="n"/>
      <c r="DI10" s="118" t="n"/>
      <c r="DJ10" s="119" t="n"/>
      <c r="DK10" s="118" t="n"/>
      <c r="DL10" s="119" t="n"/>
      <c r="DM10" s="118" t="n"/>
      <c r="DN10" s="119" t="n"/>
      <c r="DO10" s="118" t="n"/>
      <c r="DP10" s="119" t="n"/>
      <c r="DQ10" s="118" t="n"/>
      <c r="DR10" s="119" t="n"/>
      <c r="DS10" s="118" t="n"/>
      <c r="DT10" s="119" t="n"/>
      <c r="DU10" s="120" t="n"/>
      <c r="DV10" s="121" t="n"/>
      <c r="DW10" s="122" t="n"/>
      <c r="DX10" s="121" t="n"/>
      <c r="DY10" s="122" t="n"/>
      <c r="DZ10" s="121" t="n"/>
      <c r="EA10" s="122" t="n"/>
      <c r="EB10" s="121" t="n"/>
      <c r="EC10" s="122" t="n"/>
      <c r="ED10" s="121" t="n"/>
      <c r="EE10" s="122" t="n"/>
      <c r="EF10" s="121" t="n"/>
      <c r="EG10" s="122" t="n"/>
      <c r="EH10" s="121" t="n"/>
      <c r="EI10" s="122" t="n"/>
      <c r="EJ10" s="121" t="n"/>
      <c r="EK10" s="122" t="n"/>
      <c r="EL10" s="123" t="n"/>
      <c r="EM10" s="124" t="n"/>
      <c r="EN10" s="125" t="n"/>
      <c r="EO10" s="124" t="n"/>
      <c r="EP10" s="125" t="n"/>
      <c r="EQ10" s="124" t="n"/>
      <c r="ER10" s="125" t="n"/>
      <c r="ES10" s="124" t="n"/>
      <c r="ET10" s="125" t="n"/>
      <c r="EU10" s="124" t="n"/>
      <c r="EV10" s="125" t="n"/>
      <c r="EW10" s="124" t="n"/>
      <c r="EX10" s="125" t="n"/>
      <c r="EY10" s="124" t="n"/>
      <c r="EZ10" s="125" t="n"/>
      <c r="FA10" s="124" t="n"/>
      <c r="FB10" s="125" t="n"/>
      <c r="FC10" s="126" t="n"/>
      <c r="FD10" s="127" t="n"/>
      <c r="FE10" s="128" t="n"/>
      <c r="FF10" s="127" t="n"/>
      <c r="FG10" s="128" t="n"/>
      <c r="FH10" s="127" t="n"/>
      <c r="FI10" s="128" t="n"/>
      <c r="FJ10" s="127" t="n"/>
      <c r="FK10" s="128" t="n"/>
      <c r="FL10" s="127" t="n"/>
      <c r="FM10" s="128" t="n"/>
      <c r="FN10" s="127" t="n"/>
      <c r="FO10" s="128" t="n"/>
      <c r="FP10" s="127" t="n"/>
      <c r="FQ10" s="128" t="n"/>
      <c r="FR10" s="127" t="n"/>
      <c r="FS10" s="128" t="n"/>
      <c r="FT10" s="129" t="n"/>
      <c r="FU10" s="130" t="n"/>
      <c r="FV10" s="131" t="n"/>
      <c r="FW10" s="130" t="n"/>
      <c r="FX10" s="131" t="n"/>
      <c r="FY10" s="130" t="n"/>
      <c r="FZ10" s="131" t="n"/>
      <c r="GA10" s="130" t="n"/>
      <c r="GB10" s="131" t="n"/>
      <c r="GC10" s="130" t="n"/>
      <c r="GD10" s="131" t="n"/>
      <c r="GE10" s="130" t="n"/>
      <c r="GF10" s="131" t="n"/>
      <c r="GG10" s="130" t="n"/>
      <c r="GH10" s="131" t="n"/>
      <c r="GI10" s="130" t="n"/>
      <c r="GJ10" s="131" t="n"/>
      <c r="GK10" s="132" t="n"/>
      <c r="GL10" s="133" t="n"/>
      <c r="GM10" s="134" t="n"/>
      <c r="GN10" s="133" t="n"/>
      <c r="GO10" s="134" t="n"/>
      <c r="GP10" s="133" t="n"/>
      <c r="GQ10" s="134" t="n"/>
      <c r="GR10" s="133" t="n"/>
      <c r="GS10" s="134" t="n"/>
      <c r="GT10" s="133" t="n"/>
      <c r="GU10" s="134" t="n"/>
      <c r="GV10" s="133" t="n"/>
      <c r="GW10" s="134" t="n"/>
      <c r="GX10" s="133" t="n"/>
      <c r="GY10" s="134" t="n"/>
      <c r="GZ10" s="133" t="n"/>
      <c r="HA10" s="134" t="n"/>
      <c r="HB10" s="135" t="n"/>
      <c r="HC10">
        <f>97-SUMPRODUCT(MAX(($G$4:$HB$4="ح")*($G10:$HB10=TRUE)*(97-$G$47:$HB$47)))</f>
        <v>97</v>
      </c>
      <c r="HD10">
        <f>SUMPRODUCT(($G$4:$HB$4="ح")*($G10:$HB10=TRUE)*($G$47:$HB$47&gt;$HC$1-8))</f>
        <v>0</v>
      </c>
      <c r="HE10">
        <f>(COUNTIF($G10:$V10,TRUE)&gt;0)*($W10&lt;&gt;TRUE)+(COUNTIF($X10:$AM10,TRUE)&gt;0)*($AN10&lt;&gt;TRUE)+(COUNTIF($AO10:$BD10,TRUE)&gt;0)*($BE10&lt;&gt;TRUE)+(COUNTIF($BF10:$BU10,TRUE)&gt;0)*($BV10&lt;&gt;TRUE)+(COUNTIF($BW10:$CL10,TRUE)&gt;0)*($CM10&lt;&gt;TRUE)+(COUNTIF($CN10:$DC10,TRUE)&gt;0)*($DD10&lt;&gt;TRUE)+(COUNTIF($DE10:$DT10,TRUE)&gt;0)*($DU10&lt;&gt;TRUE)+(COUNTIF($DV10:$EK10,TRUE)&gt;0)*($EL10&lt;&gt;TRUE)+(COUNTIF($EM10:$FB10,TRUE)&gt;0)*($FC10&lt;&gt;TRUE)+(COUNTIF($FD10:$FS10,TRUE)&gt;0)*($FT10&lt;&gt;TRUE)+(COUNTIF($FU10:$GJ10,TRUE)&gt;0)*($GK10&lt;&gt;TRUE)+(COUNTIF($GL10:$HA10,TRUE)&gt;0)*($HB10&lt;&gt;TRUE)</f>
        <v>0</v>
      </c>
      <c r="HF10">
        <f>IF($HE10=0,0,13-MAX((COUNTIF($G10:$V10,TRUE)&gt;0)*($W10&lt;&gt;TRUE)*12,(COUNTIF($X10:$AM10,TRUE)&gt;0)*($AN10&lt;&gt;TRUE)*11,(COUNTIF($AO10:$BD10,TRUE)&gt;0)*($BE10&lt;&gt;TRUE)*10,(COUNTIF($BF10:$BU10,TRUE)&gt;0)*($BV10&lt;&gt;TRUE)*9,(COUNTIF($BW10:$CL10,TRUE)&gt;0)*($CM10&lt;&gt;TRUE)*8,(COUNTIF($CN10:$DC10,TRUE)&gt;0)*($DD10&lt;&gt;TRUE)*7,(COUNTIF($DE10:$DT10,TRUE)&gt;0)*($DU10&lt;&gt;TRUE)*6,(COUNTIF($DV10:$EK10,TRUE)&gt;0)*($EL10&lt;&gt;TRUE)*5,(COUNTIF($EM10:$FB10,TRUE)&gt;0)*($FC10&lt;&gt;TRUE)*4,(COUNTIF($FD10:$FS10,TRUE)&gt;0)*($FT10&lt;&gt;TRUE)*3,(COUNTIF($FU10:$GJ10,TRUE)&gt;0)*($GK10&lt;&gt;TRUE)*2,(COUNTIF($GL10:$HA10,TRUE)&gt;0)*($HB10&lt;&gt;TRUE)*1))</f>
        <v>0</v>
      </c>
    </row>
    <row r="11" ht="22.5" customHeight="1">
      <c r="A11" s="36" t="n">
        <v>7</v>
      </c>
      <c r="B11" s="97" t="n"/>
      <c r="C11" s="28" t="n"/>
      <c r="D11" s="98" t="str">
        <f>IF($B11="","",IF($HC11=97,"-",IF($HD11=0,"متوقف",SUMPRODUCT(($G$4:$HB$4="ح")*($G$20:$HB$20&gt;0)*($G11:$HB11&lt;&gt;TRUE)*($G$47:$HB$47&gt;$HC$1-8)*($G$47:$HB$47&gt;=$HC11)))))</f>
        <v/>
      </c>
      <c r="E11" s="98" t="str">
        <f>IF(OR($B11="",$HC11=97),"",SUMPRODUCT(($G$4:$HA$4="ح")*($G11:$HA11=TRUE)*($H11:$HB11&lt;&gt;TRUE)*($G$47:$HA$47&gt;$HC$1-8)))</f>
        <v/>
      </c>
      <c r="F11" s="99" t="str">
        <f>IF($B11="","",IF($HE11=0,IF($HC11=97,"-","تمام"),IF($HE11=1,IF(INDEX($G$1:$HB$1,1,17*($HF11-1)+1)="","شهر "&amp;$HF11,INDEX($G$1:$HB$1,1,17*($HF11-1)+1)),IF($HE11=2,"شهرين",$HE11&amp;" شهور"))))</f>
        <v/>
      </c>
      <c r="G11" s="100" t="n"/>
      <c r="H11" s="101" t="n"/>
      <c r="I11" s="100" t="n"/>
      <c r="J11" s="101" t="n"/>
      <c r="K11" s="100" t="n"/>
      <c r="L11" s="101" t="n"/>
      <c r="M11" s="100" t="n"/>
      <c r="N11" s="101" t="n"/>
      <c r="O11" s="100" t="n"/>
      <c r="P11" s="101" t="n"/>
      <c r="Q11" s="100" t="n"/>
      <c r="R11" s="101" t="n"/>
      <c r="S11" s="100" t="n"/>
      <c r="T11" s="101" t="n"/>
      <c r="U11" s="100" t="n"/>
      <c r="V11" s="101" t="n"/>
      <c r="W11" s="102" t="n"/>
      <c r="X11" s="103" t="n"/>
      <c r="Y11" s="104" t="n"/>
      <c r="Z11" s="103" t="n"/>
      <c r="AA11" s="104" t="n"/>
      <c r="AB11" s="103" t="n"/>
      <c r="AC11" s="104" t="n"/>
      <c r="AD11" s="103" t="n"/>
      <c r="AE11" s="104" t="n"/>
      <c r="AF11" s="103" t="n"/>
      <c r="AG11" s="104" t="n"/>
      <c r="AH11" s="103" t="n"/>
      <c r="AI11" s="104" t="n"/>
      <c r="AJ11" s="103" t="n"/>
      <c r="AK11" s="104" t="n"/>
      <c r="AL11" s="103" t="n"/>
      <c r="AM11" s="104" t="n"/>
      <c r="AN11" s="105" t="n"/>
      <c r="AO11" s="106" t="n"/>
      <c r="AP11" s="107" t="n"/>
      <c r="AQ11" s="106" t="n"/>
      <c r="AR11" s="107" t="n"/>
      <c r="AS11" s="106" t="n"/>
      <c r="AT11" s="107" t="n"/>
      <c r="AU11" s="106" t="n"/>
      <c r="AV11" s="107" t="n"/>
      <c r="AW11" s="106" t="n"/>
      <c r="AX11" s="107" t="n"/>
      <c r="AY11" s="106" t="n"/>
      <c r="AZ11" s="107" t="n"/>
      <c r="BA11" s="106" t="n"/>
      <c r="BB11" s="107" t="n"/>
      <c r="BC11" s="106" t="n"/>
      <c r="BD11" s="107" t="n"/>
      <c r="BE11" s="108" t="n"/>
      <c r="BF11" s="109" t="n"/>
      <c r="BG11" s="110" t="n"/>
      <c r="BH11" s="109" t="n"/>
      <c r="BI11" s="110" t="n"/>
      <c r="BJ11" s="109" t="n"/>
      <c r="BK11" s="110" t="n"/>
      <c r="BL11" s="109" t="n"/>
      <c r="BM11" s="110" t="n"/>
      <c r="BN11" s="109" t="n"/>
      <c r="BO11" s="110" t="n"/>
      <c r="BP11" s="109" t="n"/>
      <c r="BQ11" s="110" t="n"/>
      <c r="BR11" s="109" t="n"/>
      <c r="BS11" s="110" t="n"/>
      <c r="BT11" s="109" t="n"/>
      <c r="BU11" s="110" t="n"/>
      <c r="BV11" s="111" t="n"/>
      <c r="BW11" s="112" t="n"/>
      <c r="BX11" s="113" t="n"/>
      <c r="BY11" s="112" t="n"/>
      <c r="BZ11" s="113" t="n"/>
      <c r="CA11" s="112" t="n"/>
      <c r="CB11" s="113" t="n"/>
      <c r="CC11" s="112" t="n"/>
      <c r="CD11" s="113" t="n"/>
      <c r="CE11" s="112" t="n"/>
      <c r="CF11" s="113" t="n"/>
      <c r="CG11" s="112" t="n"/>
      <c r="CH11" s="113" t="n"/>
      <c r="CI11" s="112" t="n"/>
      <c r="CJ11" s="113" t="n"/>
      <c r="CK11" s="112" t="n"/>
      <c r="CL11" s="113" t="n"/>
      <c r="CM11" s="114" t="n"/>
      <c r="CN11" s="115" t="n"/>
      <c r="CO11" s="116" t="n"/>
      <c r="CP11" s="115" t="n"/>
      <c r="CQ11" s="116" t="n"/>
      <c r="CR11" s="115" t="n"/>
      <c r="CS11" s="116" t="n"/>
      <c r="CT11" s="115" t="n"/>
      <c r="CU11" s="116" t="n"/>
      <c r="CV11" s="115" t="n"/>
      <c r="CW11" s="116" t="n"/>
      <c r="CX11" s="115" t="n"/>
      <c r="CY11" s="116" t="n"/>
      <c r="CZ11" s="115" t="n"/>
      <c r="DA11" s="116" t="n"/>
      <c r="DB11" s="115" t="n"/>
      <c r="DC11" s="116" t="n"/>
      <c r="DD11" s="117" t="n"/>
      <c r="DE11" s="118" t="n"/>
      <c r="DF11" s="119" t="n"/>
      <c r="DG11" s="118" t="n"/>
      <c r="DH11" s="119" t="n"/>
      <c r="DI11" s="118" t="n"/>
      <c r="DJ11" s="119" t="n"/>
      <c r="DK11" s="118" t="n"/>
      <c r="DL11" s="119" t="n"/>
      <c r="DM11" s="118" t="n"/>
      <c r="DN11" s="119" t="n"/>
      <c r="DO11" s="118" t="n"/>
      <c r="DP11" s="119" t="n"/>
      <c r="DQ11" s="118" t="n"/>
      <c r="DR11" s="119" t="n"/>
      <c r="DS11" s="118" t="n"/>
      <c r="DT11" s="119" t="n"/>
      <c r="DU11" s="120" t="n"/>
      <c r="DV11" s="121" t="n"/>
      <c r="DW11" s="122" t="n"/>
      <c r="DX11" s="121" t="n"/>
      <c r="DY11" s="122" t="n"/>
      <c r="DZ11" s="121" t="n"/>
      <c r="EA11" s="122" t="n"/>
      <c r="EB11" s="121" t="n"/>
      <c r="EC11" s="122" t="n"/>
      <c r="ED11" s="121" t="n"/>
      <c r="EE11" s="122" t="n"/>
      <c r="EF11" s="121" t="n"/>
      <c r="EG11" s="122" t="n"/>
      <c r="EH11" s="121" t="n"/>
      <c r="EI11" s="122" t="n"/>
      <c r="EJ11" s="121" t="n"/>
      <c r="EK11" s="122" t="n"/>
      <c r="EL11" s="123" t="n"/>
      <c r="EM11" s="124" t="n"/>
      <c r="EN11" s="125" t="n"/>
      <c r="EO11" s="124" t="n"/>
      <c r="EP11" s="125" t="n"/>
      <c r="EQ11" s="124" t="n"/>
      <c r="ER11" s="125" t="n"/>
      <c r="ES11" s="124" t="n"/>
      <c r="ET11" s="125" t="n"/>
      <c r="EU11" s="124" t="n"/>
      <c r="EV11" s="125" t="n"/>
      <c r="EW11" s="124" t="n"/>
      <c r="EX11" s="125" t="n"/>
      <c r="EY11" s="124" t="n"/>
      <c r="EZ11" s="125" t="n"/>
      <c r="FA11" s="124" t="n"/>
      <c r="FB11" s="125" t="n"/>
      <c r="FC11" s="126" t="n"/>
      <c r="FD11" s="127" t="n"/>
      <c r="FE11" s="128" t="n"/>
      <c r="FF11" s="127" t="n"/>
      <c r="FG11" s="128" t="n"/>
      <c r="FH11" s="127" t="n"/>
      <c r="FI11" s="128" t="n"/>
      <c r="FJ11" s="127" t="n"/>
      <c r="FK11" s="128" t="n"/>
      <c r="FL11" s="127" t="n"/>
      <c r="FM11" s="128" t="n"/>
      <c r="FN11" s="127" t="n"/>
      <c r="FO11" s="128" t="n"/>
      <c r="FP11" s="127" t="n"/>
      <c r="FQ11" s="128" t="n"/>
      <c r="FR11" s="127" t="n"/>
      <c r="FS11" s="128" t="n"/>
      <c r="FT11" s="129" t="n"/>
      <c r="FU11" s="130" t="n"/>
      <c r="FV11" s="131" t="n"/>
      <c r="FW11" s="130" t="n"/>
      <c r="FX11" s="131" t="n"/>
      <c r="FY11" s="130" t="n"/>
      <c r="FZ11" s="131" t="n"/>
      <c r="GA11" s="130" t="n"/>
      <c r="GB11" s="131" t="n"/>
      <c r="GC11" s="130" t="n"/>
      <c r="GD11" s="131" t="n"/>
      <c r="GE11" s="130" t="n"/>
      <c r="GF11" s="131" t="n"/>
      <c r="GG11" s="130" t="n"/>
      <c r="GH11" s="131" t="n"/>
      <c r="GI11" s="130" t="n"/>
      <c r="GJ11" s="131" t="n"/>
      <c r="GK11" s="132" t="n"/>
      <c r="GL11" s="133" t="n"/>
      <c r="GM11" s="134" t="n"/>
      <c r="GN11" s="133" t="n"/>
      <c r="GO11" s="134" t="n"/>
      <c r="GP11" s="133" t="n"/>
      <c r="GQ11" s="134" t="n"/>
      <c r="GR11" s="133" t="n"/>
      <c r="GS11" s="134" t="n"/>
      <c r="GT11" s="133" t="n"/>
      <c r="GU11" s="134" t="n"/>
      <c r="GV11" s="133" t="n"/>
      <c r="GW11" s="134" t="n"/>
      <c r="GX11" s="133" t="n"/>
      <c r="GY11" s="134" t="n"/>
      <c r="GZ11" s="133" t="n"/>
      <c r="HA11" s="134" t="n"/>
      <c r="HB11" s="135" t="n"/>
      <c r="HC11">
        <f>97-SUMPRODUCT(MAX(($G$4:$HB$4="ح")*($G11:$HB11=TRUE)*(97-$G$47:$HB$47)))</f>
        <v>97</v>
      </c>
      <c r="HD11">
        <f>SUMPRODUCT(($G$4:$HB$4="ح")*($G11:$HB11=TRUE)*($G$47:$HB$47&gt;$HC$1-8))</f>
        <v>0</v>
      </c>
      <c r="HE11">
        <f>(COUNTIF($G11:$V11,TRUE)&gt;0)*($W11&lt;&gt;TRUE)+(COUNTIF($X11:$AM11,TRUE)&gt;0)*($AN11&lt;&gt;TRUE)+(COUNTIF($AO11:$BD11,TRUE)&gt;0)*($BE11&lt;&gt;TRUE)+(COUNTIF($BF11:$BU11,TRUE)&gt;0)*($BV11&lt;&gt;TRUE)+(COUNTIF($BW11:$CL11,TRUE)&gt;0)*($CM11&lt;&gt;TRUE)+(COUNTIF($CN11:$DC11,TRUE)&gt;0)*($DD11&lt;&gt;TRUE)+(COUNTIF($DE11:$DT11,TRUE)&gt;0)*($DU11&lt;&gt;TRUE)+(COUNTIF($DV11:$EK11,TRUE)&gt;0)*($EL11&lt;&gt;TRUE)+(COUNTIF($EM11:$FB11,TRUE)&gt;0)*($FC11&lt;&gt;TRUE)+(COUNTIF($FD11:$FS11,TRUE)&gt;0)*($FT11&lt;&gt;TRUE)+(COUNTIF($FU11:$GJ11,TRUE)&gt;0)*($GK11&lt;&gt;TRUE)+(COUNTIF($GL11:$HA11,TRUE)&gt;0)*($HB11&lt;&gt;TRUE)</f>
        <v>0</v>
      </c>
      <c r="HF11">
        <f>IF($HE11=0,0,13-MAX((COUNTIF($G11:$V11,TRUE)&gt;0)*($W11&lt;&gt;TRUE)*12,(COUNTIF($X11:$AM11,TRUE)&gt;0)*($AN11&lt;&gt;TRUE)*11,(COUNTIF($AO11:$BD11,TRUE)&gt;0)*($BE11&lt;&gt;TRUE)*10,(COUNTIF($BF11:$BU11,TRUE)&gt;0)*($BV11&lt;&gt;TRUE)*9,(COUNTIF($BW11:$CL11,TRUE)&gt;0)*($CM11&lt;&gt;TRUE)*8,(COUNTIF($CN11:$DC11,TRUE)&gt;0)*($DD11&lt;&gt;TRUE)*7,(COUNTIF($DE11:$DT11,TRUE)&gt;0)*($DU11&lt;&gt;TRUE)*6,(COUNTIF($DV11:$EK11,TRUE)&gt;0)*($EL11&lt;&gt;TRUE)*5,(COUNTIF($EM11:$FB11,TRUE)&gt;0)*($FC11&lt;&gt;TRUE)*4,(COUNTIF($FD11:$FS11,TRUE)&gt;0)*($FT11&lt;&gt;TRUE)*3,(COUNTIF($FU11:$GJ11,TRUE)&gt;0)*($GK11&lt;&gt;TRUE)*2,(COUNTIF($GL11:$HA11,TRUE)&gt;0)*($HB11&lt;&gt;TRUE)*1))</f>
        <v>0</v>
      </c>
    </row>
    <row r="12" ht="22.5" customHeight="1">
      <c r="A12" s="36" t="n">
        <v>8</v>
      </c>
      <c r="B12" s="97" t="n"/>
      <c r="C12" s="28" t="n"/>
      <c r="D12" s="98" t="str">
        <f>IF($B12="","",IF($HC12=97,"-",IF($HD12=0,"متوقف",SUMPRODUCT(($G$4:$HB$4="ح")*($G$20:$HB$20&gt;0)*($G12:$HB12&lt;&gt;TRUE)*($G$47:$HB$47&gt;$HC$1-8)*($G$47:$HB$47&gt;=$HC12)))))</f>
        <v/>
      </c>
      <c r="E12" s="98" t="str">
        <f>IF(OR($B12="",$HC12=97),"",SUMPRODUCT(($G$4:$HA$4="ح")*($G12:$HA12=TRUE)*($H12:$HB12&lt;&gt;TRUE)*($G$47:$HA$47&gt;$HC$1-8)))</f>
        <v/>
      </c>
      <c r="F12" s="99" t="str">
        <f>IF($B12="","",IF($HE12=0,IF($HC12=97,"-","تمام"),IF($HE12=1,IF(INDEX($G$1:$HB$1,1,17*($HF12-1)+1)="","شهر "&amp;$HF12,INDEX($G$1:$HB$1,1,17*($HF12-1)+1)),IF($HE12=2,"شهرين",$HE12&amp;" شهور"))))</f>
        <v/>
      </c>
      <c r="G12" s="100" t="n"/>
      <c r="H12" s="101" t="n"/>
      <c r="I12" s="100" t="n"/>
      <c r="J12" s="101" t="n"/>
      <c r="K12" s="100" t="n"/>
      <c r="L12" s="101" t="n"/>
      <c r="M12" s="100" t="n"/>
      <c r="N12" s="101" t="n"/>
      <c r="O12" s="100" t="n"/>
      <c r="P12" s="101" t="n"/>
      <c r="Q12" s="100" t="n"/>
      <c r="R12" s="101" t="n"/>
      <c r="S12" s="100" t="n"/>
      <c r="T12" s="101" t="n"/>
      <c r="U12" s="100" t="n"/>
      <c r="V12" s="101" t="n"/>
      <c r="W12" s="102" t="n"/>
      <c r="X12" s="103" t="n"/>
      <c r="Y12" s="104" t="n"/>
      <c r="Z12" s="103" t="n"/>
      <c r="AA12" s="104" t="n"/>
      <c r="AB12" s="103" t="n"/>
      <c r="AC12" s="104" t="n"/>
      <c r="AD12" s="103" t="n"/>
      <c r="AE12" s="104" t="n"/>
      <c r="AF12" s="103" t="n"/>
      <c r="AG12" s="104" t="n"/>
      <c r="AH12" s="103" t="n"/>
      <c r="AI12" s="104" t="n"/>
      <c r="AJ12" s="103" t="n"/>
      <c r="AK12" s="104" t="n"/>
      <c r="AL12" s="103" t="n"/>
      <c r="AM12" s="104" t="n"/>
      <c r="AN12" s="105" t="n"/>
      <c r="AO12" s="106" t="n"/>
      <c r="AP12" s="107" t="n"/>
      <c r="AQ12" s="106" t="n"/>
      <c r="AR12" s="107" t="n"/>
      <c r="AS12" s="106" t="n"/>
      <c r="AT12" s="107" t="n"/>
      <c r="AU12" s="106" t="n"/>
      <c r="AV12" s="107" t="n"/>
      <c r="AW12" s="106" t="n"/>
      <c r="AX12" s="107" t="n"/>
      <c r="AY12" s="106" t="n"/>
      <c r="AZ12" s="107" t="n"/>
      <c r="BA12" s="106" t="n"/>
      <c r="BB12" s="107" t="n"/>
      <c r="BC12" s="106" t="n"/>
      <c r="BD12" s="107" t="n"/>
      <c r="BE12" s="108" t="n"/>
      <c r="BF12" s="109" t="n"/>
      <c r="BG12" s="110" t="n"/>
      <c r="BH12" s="109" t="n"/>
      <c r="BI12" s="110" t="n"/>
      <c r="BJ12" s="109" t="n"/>
      <c r="BK12" s="110" t="n"/>
      <c r="BL12" s="109" t="n"/>
      <c r="BM12" s="110" t="n"/>
      <c r="BN12" s="109" t="n"/>
      <c r="BO12" s="110" t="n"/>
      <c r="BP12" s="109" t="n"/>
      <c r="BQ12" s="110" t="n"/>
      <c r="BR12" s="109" t="n"/>
      <c r="BS12" s="110" t="n"/>
      <c r="BT12" s="109" t="n"/>
      <c r="BU12" s="110" t="n"/>
      <c r="BV12" s="111" t="n"/>
      <c r="BW12" s="112" t="n"/>
      <c r="BX12" s="113" t="n"/>
      <c r="BY12" s="112" t="n"/>
      <c r="BZ12" s="113" t="n"/>
      <c r="CA12" s="112" t="n"/>
      <c r="CB12" s="113" t="n"/>
      <c r="CC12" s="112" t="n"/>
      <c r="CD12" s="113" t="n"/>
      <c r="CE12" s="112" t="n"/>
      <c r="CF12" s="113" t="n"/>
      <c r="CG12" s="112" t="n"/>
      <c r="CH12" s="113" t="n"/>
      <c r="CI12" s="112" t="n"/>
      <c r="CJ12" s="113" t="n"/>
      <c r="CK12" s="112" t="n"/>
      <c r="CL12" s="113" t="n"/>
      <c r="CM12" s="114" t="n"/>
      <c r="CN12" s="115" t="n"/>
      <c r="CO12" s="116" t="n"/>
      <c r="CP12" s="115" t="n"/>
      <c r="CQ12" s="116" t="n"/>
      <c r="CR12" s="115" t="n"/>
      <c r="CS12" s="116" t="n"/>
      <c r="CT12" s="115" t="n"/>
      <c r="CU12" s="116" t="n"/>
      <c r="CV12" s="115" t="n"/>
      <c r="CW12" s="116" t="n"/>
      <c r="CX12" s="115" t="n"/>
      <c r="CY12" s="116" t="n"/>
      <c r="CZ12" s="115" t="n"/>
      <c r="DA12" s="116" t="n"/>
      <c r="DB12" s="115" t="n"/>
      <c r="DC12" s="116" t="n"/>
      <c r="DD12" s="117" t="n"/>
      <c r="DE12" s="118" t="n"/>
      <c r="DF12" s="119" t="n"/>
      <c r="DG12" s="118" t="n"/>
      <c r="DH12" s="119" t="n"/>
      <c r="DI12" s="118" t="n"/>
      <c r="DJ12" s="119" t="n"/>
      <c r="DK12" s="118" t="n"/>
      <c r="DL12" s="119" t="n"/>
      <c r="DM12" s="118" t="n"/>
      <c r="DN12" s="119" t="n"/>
      <c r="DO12" s="118" t="n"/>
      <c r="DP12" s="119" t="n"/>
      <c r="DQ12" s="118" t="n"/>
      <c r="DR12" s="119" t="n"/>
      <c r="DS12" s="118" t="n"/>
      <c r="DT12" s="119" t="n"/>
      <c r="DU12" s="120" t="n"/>
      <c r="DV12" s="121" t="n"/>
      <c r="DW12" s="122" t="n"/>
      <c r="DX12" s="121" t="n"/>
      <c r="DY12" s="122" t="n"/>
      <c r="DZ12" s="121" t="n"/>
      <c r="EA12" s="122" t="n"/>
      <c r="EB12" s="121" t="n"/>
      <c r="EC12" s="122" t="n"/>
      <c r="ED12" s="121" t="n"/>
      <c r="EE12" s="122" t="n"/>
      <c r="EF12" s="121" t="n"/>
      <c r="EG12" s="122" t="n"/>
      <c r="EH12" s="121" t="n"/>
      <c r="EI12" s="122" t="n"/>
      <c r="EJ12" s="121" t="n"/>
      <c r="EK12" s="122" t="n"/>
      <c r="EL12" s="123" t="n"/>
      <c r="EM12" s="124" t="n"/>
      <c r="EN12" s="125" t="n"/>
      <c r="EO12" s="124" t="n"/>
      <c r="EP12" s="125" t="n"/>
      <c r="EQ12" s="124" t="n"/>
      <c r="ER12" s="125" t="n"/>
      <c r="ES12" s="124" t="n"/>
      <c r="ET12" s="125" t="n"/>
      <c r="EU12" s="124" t="n"/>
      <c r="EV12" s="125" t="n"/>
      <c r="EW12" s="124" t="n"/>
      <c r="EX12" s="125" t="n"/>
      <c r="EY12" s="124" t="n"/>
      <c r="EZ12" s="125" t="n"/>
      <c r="FA12" s="124" t="n"/>
      <c r="FB12" s="125" t="n"/>
      <c r="FC12" s="126" t="n"/>
      <c r="FD12" s="127" t="n"/>
      <c r="FE12" s="128" t="n"/>
      <c r="FF12" s="127" t="n"/>
      <c r="FG12" s="128" t="n"/>
      <c r="FH12" s="127" t="n"/>
      <c r="FI12" s="128" t="n"/>
      <c r="FJ12" s="127" t="n"/>
      <c r="FK12" s="128" t="n"/>
      <c r="FL12" s="127" t="n"/>
      <c r="FM12" s="128" t="n"/>
      <c r="FN12" s="127" t="n"/>
      <c r="FO12" s="128" t="n"/>
      <c r="FP12" s="127" t="n"/>
      <c r="FQ12" s="128" t="n"/>
      <c r="FR12" s="127" t="n"/>
      <c r="FS12" s="128" t="n"/>
      <c r="FT12" s="129" t="n"/>
      <c r="FU12" s="130" t="n"/>
      <c r="FV12" s="131" t="n"/>
      <c r="FW12" s="130" t="n"/>
      <c r="FX12" s="131" t="n"/>
      <c r="FY12" s="130" t="n"/>
      <c r="FZ12" s="131" t="n"/>
      <c r="GA12" s="130" t="n"/>
      <c r="GB12" s="131" t="n"/>
      <c r="GC12" s="130" t="n"/>
      <c r="GD12" s="131" t="n"/>
      <c r="GE12" s="130" t="n"/>
      <c r="GF12" s="131" t="n"/>
      <c r="GG12" s="130" t="n"/>
      <c r="GH12" s="131" t="n"/>
      <c r="GI12" s="130" t="n"/>
      <c r="GJ12" s="131" t="n"/>
      <c r="GK12" s="132" t="n"/>
      <c r="GL12" s="133" t="n"/>
      <c r="GM12" s="134" t="n"/>
      <c r="GN12" s="133" t="n"/>
      <c r="GO12" s="134" t="n"/>
      <c r="GP12" s="133" t="n"/>
      <c r="GQ12" s="134" t="n"/>
      <c r="GR12" s="133" t="n"/>
      <c r="GS12" s="134" t="n"/>
      <c r="GT12" s="133" t="n"/>
      <c r="GU12" s="134" t="n"/>
      <c r="GV12" s="133" t="n"/>
      <c r="GW12" s="134" t="n"/>
      <c r="GX12" s="133" t="n"/>
      <c r="GY12" s="134" t="n"/>
      <c r="GZ12" s="133" t="n"/>
      <c r="HA12" s="134" t="n"/>
      <c r="HB12" s="135" t="n"/>
      <c r="HC12">
        <f>97-SUMPRODUCT(MAX(($G$4:$HB$4="ح")*($G12:$HB12=TRUE)*(97-$G$47:$HB$47)))</f>
        <v>97</v>
      </c>
      <c r="HD12">
        <f>SUMPRODUCT(($G$4:$HB$4="ح")*($G12:$HB12=TRUE)*($G$47:$HB$47&gt;$HC$1-8))</f>
        <v>0</v>
      </c>
      <c r="HE12">
        <f>(COUNTIF($G12:$V12,TRUE)&gt;0)*($W12&lt;&gt;TRUE)+(COUNTIF($X12:$AM12,TRUE)&gt;0)*($AN12&lt;&gt;TRUE)+(COUNTIF($AO12:$BD12,TRUE)&gt;0)*($BE12&lt;&gt;TRUE)+(COUNTIF($BF12:$BU12,TRUE)&gt;0)*($BV12&lt;&gt;TRUE)+(COUNTIF($BW12:$CL12,TRUE)&gt;0)*($CM12&lt;&gt;TRUE)+(COUNTIF($CN12:$DC12,TRUE)&gt;0)*($DD12&lt;&gt;TRUE)+(COUNTIF($DE12:$DT12,TRUE)&gt;0)*($DU12&lt;&gt;TRUE)+(COUNTIF($DV12:$EK12,TRUE)&gt;0)*($EL12&lt;&gt;TRUE)+(COUNTIF($EM12:$FB12,TRUE)&gt;0)*($FC12&lt;&gt;TRUE)+(COUNTIF($FD12:$FS12,TRUE)&gt;0)*($FT12&lt;&gt;TRUE)+(COUNTIF($FU12:$GJ12,TRUE)&gt;0)*($GK12&lt;&gt;TRUE)+(COUNTIF($GL12:$HA12,TRUE)&gt;0)*($HB12&lt;&gt;TRUE)</f>
        <v>0</v>
      </c>
      <c r="HF12">
        <f>IF($HE12=0,0,13-MAX((COUNTIF($G12:$V12,TRUE)&gt;0)*($W12&lt;&gt;TRUE)*12,(COUNTIF($X12:$AM12,TRUE)&gt;0)*($AN12&lt;&gt;TRUE)*11,(COUNTIF($AO12:$BD12,TRUE)&gt;0)*($BE12&lt;&gt;TRUE)*10,(COUNTIF($BF12:$BU12,TRUE)&gt;0)*($BV12&lt;&gt;TRUE)*9,(COUNTIF($BW12:$CL12,TRUE)&gt;0)*($CM12&lt;&gt;TRUE)*8,(COUNTIF($CN12:$DC12,TRUE)&gt;0)*($DD12&lt;&gt;TRUE)*7,(COUNTIF($DE12:$DT12,TRUE)&gt;0)*($DU12&lt;&gt;TRUE)*6,(COUNTIF($DV12:$EK12,TRUE)&gt;0)*($EL12&lt;&gt;TRUE)*5,(COUNTIF($EM12:$FB12,TRUE)&gt;0)*($FC12&lt;&gt;TRUE)*4,(COUNTIF($FD12:$FS12,TRUE)&gt;0)*($FT12&lt;&gt;TRUE)*3,(COUNTIF($FU12:$GJ12,TRUE)&gt;0)*($GK12&lt;&gt;TRUE)*2,(COUNTIF($GL12:$HA12,TRUE)&gt;0)*($HB12&lt;&gt;TRUE)*1))</f>
        <v>0</v>
      </c>
    </row>
    <row r="13" ht="22.5" customHeight="1">
      <c r="A13" s="36" t="n">
        <v>9</v>
      </c>
      <c r="B13" s="97" t="n"/>
      <c r="C13" s="28" t="n"/>
      <c r="D13" s="98" t="str">
        <f>IF($B13="","",IF($HC13=97,"-",IF($HD13=0,"متوقف",SUMPRODUCT(($G$4:$HB$4="ح")*($G$20:$HB$20&gt;0)*($G13:$HB13&lt;&gt;TRUE)*($G$47:$HB$47&gt;$HC$1-8)*($G$47:$HB$47&gt;=$HC13)))))</f>
        <v/>
      </c>
      <c r="E13" s="98" t="str">
        <f>IF(OR($B13="",$HC13=97),"",SUMPRODUCT(($G$4:$HA$4="ح")*($G13:$HA13=TRUE)*($H13:$HB13&lt;&gt;TRUE)*($G$47:$HA$47&gt;$HC$1-8)))</f>
        <v/>
      </c>
      <c r="F13" s="99" t="str">
        <f>IF($B13="","",IF($HE13=0,IF($HC13=97,"-","تمام"),IF($HE13=1,IF(INDEX($G$1:$HB$1,1,17*($HF13-1)+1)="","شهر "&amp;$HF13,INDEX($G$1:$HB$1,1,17*($HF13-1)+1)),IF($HE13=2,"شهرين",$HE13&amp;" شهور"))))</f>
        <v/>
      </c>
      <c r="G13" s="100" t="n"/>
      <c r="H13" s="101" t="n"/>
      <c r="I13" s="100" t="n"/>
      <c r="J13" s="101" t="n"/>
      <c r="K13" s="100" t="n"/>
      <c r="L13" s="101" t="n"/>
      <c r="M13" s="100" t="n"/>
      <c r="N13" s="101" t="n"/>
      <c r="O13" s="100" t="n"/>
      <c r="P13" s="101" t="n"/>
      <c r="Q13" s="100" t="n"/>
      <c r="R13" s="101" t="n"/>
      <c r="S13" s="100" t="n"/>
      <c r="T13" s="101" t="n"/>
      <c r="U13" s="100" t="n"/>
      <c r="V13" s="101" t="n"/>
      <c r="W13" s="102" t="n"/>
      <c r="X13" s="103" t="n"/>
      <c r="Y13" s="104" t="n"/>
      <c r="Z13" s="103" t="n"/>
      <c r="AA13" s="104" t="n"/>
      <c r="AB13" s="103" t="n"/>
      <c r="AC13" s="104" t="n"/>
      <c r="AD13" s="103" t="n"/>
      <c r="AE13" s="104" t="n"/>
      <c r="AF13" s="103" t="n"/>
      <c r="AG13" s="104" t="n"/>
      <c r="AH13" s="103" t="n"/>
      <c r="AI13" s="104" t="n"/>
      <c r="AJ13" s="103" t="n"/>
      <c r="AK13" s="104" t="n"/>
      <c r="AL13" s="103" t="n"/>
      <c r="AM13" s="104" t="n"/>
      <c r="AN13" s="105" t="n"/>
      <c r="AO13" s="106" t="n"/>
      <c r="AP13" s="107" t="n"/>
      <c r="AQ13" s="106" t="n"/>
      <c r="AR13" s="107" t="n"/>
      <c r="AS13" s="106" t="n"/>
      <c r="AT13" s="107" t="n"/>
      <c r="AU13" s="106" t="n"/>
      <c r="AV13" s="107" t="n"/>
      <c r="AW13" s="106" t="n"/>
      <c r="AX13" s="107" t="n"/>
      <c r="AY13" s="106" t="n"/>
      <c r="AZ13" s="107" t="n"/>
      <c r="BA13" s="106" t="n"/>
      <c r="BB13" s="107" t="n"/>
      <c r="BC13" s="106" t="n"/>
      <c r="BD13" s="107" t="n"/>
      <c r="BE13" s="108" t="n"/>
      <c r="BF13" s="109" t="n"/>
      <c r="BG13" s="110" t="n"/>
      <c r="BH13" s="109" t="n"/>
      <c r="BI13" s="110" t="n"/>
      <c r="BJ13" s="109" t="n"/>
      <c r="BK13" s="110" t="n"/>
      <c r="BL13" s="109" t="n"/>
      <c r="BM13" s="110" t="n"/>
      <c r="BN13" s="109" t="n"/>
      <c r="BO13" s="110" t="n"/>
      <c r="BP13" s="109" t="n"/>
      <c r="BQ13" s="110" t="n"/>
      <c r="BR13" s="109" t="n"/>
      <c r="BS13" s="110" t="n"/>
      <c r="BT13" s="109" t="n"/>
      <c r="BU13" s="110" t="n"/>
      <c r="BV13" s="111" t="n"/>
      <c r="BW13" s="112" t="n"/>
      <c r="BX13" s="113" t="n"/>
      <c r="BY13" s="112" t="n"/>
      <c r="BZ13" s="113" t="n"/>
      <c r="CA13" s="112" t="n"/>
      <c r="CB13" s="113" t="n"/>
      <c r="CC13" s="112" t="n"/>
      <c r="CD13" s="113" t="n"/>
      <c r="CE13" s="112" t="n"/>
      <c r="CF13" s="113" t="n"/>
      <c r="CG13" s="112" t="n"/>
      <c r="CH13" s="113" t="n"/>
      <c r="CI13" s="112" t="n"/>
      <c r="CJ13" s="113" t="n"/>
      <c r="CK13" s="112" t="n"/>
      <c r="CL13" s="113" t="n"/>
      <c r="CM13" s="114" t="n"/>
      <c r="CN13" s="115" t="n"/>
      <c r="CO13" s="116" t="n"/>
      <c r="CP13" s="115" t="n"/>
      <c r="CQ13" s="116" t="n"/>
      <c r="CR13" s="115" t="n"/>
      <c r="CS13" s="116" t="n"/>
      <c r="CT13" s="115" t="n"/>
      <c r="CU13" s="116" t="n"/>
      <c r="CV13" s="115" t="n"/>
      <c r="CW13" s="116" t="n"/>
      <c r="CX13" s="115" t="n"/>
      <c r="CY13" s="116" t="n"/>
      <c r="CZ13" s="115" t="n"/>
      <c r="DA13" s="116" t="n"/>
      <c r="DB13" s="115" t="n"/>
      <c r="DC13" s="116" t="n"/>
      <c r="DD13" s="117" t="n"/>
      <c r="DE13" s="118" t="n"/>
      <c r="DF13" s="119" t="n"/>
      <c r="DG13" s="118" t="n"/>
      <c r="DH13" s="119" t="n"/>
      <c r="DI13" s="118" t="n"/>
      <c r="DJ13" s="119" t="n"/>
      <c r="DK13" s="118" t="n"/>
      <c r="DL13" s="119" t="n"/>
      <c r="DM13" s="118" t="n"/>
      <c r="DN13" s="119" t="n"/>
      <c r="DO13" s="118" t="n"/>
      <c r="DP13" s="119" t="n"/>
      <c r="DQ13" s="118" t="n"/>
      <c r="DR13" s="119" t="n"/>
      <c r="DS13" s="118" t="n"/>
      <c r="DT13" s="119" t="n"/>
      <c r="DU13" s="120" t="n"/>
      <c r="DV13" s="121" t="n"/>
      <c r="DW13" s="122" t="n"/>
      <c r="DX13" s="121" t="n"/>
      <c r="DY13" s="122" t="n"/>
      <c r="DZ13" s="121" t="n"/>
      <c r="EA13" s="122" t="n"/>
      <c r="EB13" s="121" t="n"/>
      <c r="EC13" s="122" t="n"/>
      <c r="ED13" s="121" t="n"/>
      <c r="EE13" s="122" t="n"/>
      <c r="EF13" s="121" t="n"/>
      <c r="EG13" s="122" t="n"/>
      <c r="EH13" s="121" t="n"/>
      <c r="EI13" s="122" t="n"/>
      <c r="EJ13" s="121" t="n"/>
      <c r="EK13" s="122" t="n"/>
      <c r="EL13" s="123" t="n"/>
      <c r="EM13" s="124" t="n"/>
      <c r="EN13" s="125" t="n"/>
      <c r="EO13" s="124" t="n"/>
      <c r="EP13" s="125" t="n"/>
      <c r="EQ13" s="124" t="n"/>
      <c r="ER13" s="125" t="n"/>
      <c r="ES13" s="124" t="n"/>
      <c r="ET13" s="125" t="n"/>
      <c r="EU13" s="124" t="n"/>
      <c r="EV13" s="125" t="n"/>
      <c r="EW13" s="124" t="n"/>
      <c r="EX13" s="125" t="n"/>
      <c r="EY13" s="124" t="n"/>
      <c r="EZ13" s="125" t="n"/>
      <c r="FA13" s="124" t="n"/>
      <c r="FB13" s="125" t="n"/>
      <c r="FC13" s="126" t="n"/>
      <c r="FD13" s="127" t="n"/>
      <c r="FE13" s="128" t="n"/>
      <c r="FF13" s="127" t="n"/>
      <c r="FG13" s="128" t="n"/>
      <c r="FH13" s="127" t="n"/>
      <c r="FI13" s="128" t="n"/>
      <c r="FJ13" s="127" t="n"/>
      <c r="FK13" s="128" t="n"/>
      <c r="FL13" s="127" t="n"/>
      <c r="FM13" s="128" t="n"/>
      <c r="FN13" s="127" t="n"/>
      <c r="FO13" s="128" t="n"/>
      <c r="FP13" s="127" t="n"/>
      <c r="FQ13" s="128" t="n"/>
      <c r="FR13" s="127" t="n"/>
      <c r="FS13" s="128" t="n"/>
      <c r="FT13" s="129" t="n"/>
      <c r="FU13" s="130" t="n"/>
      <c r="FV13" s="131" t="n"/>
      <c r="FW13" s="130" t="n"/>
      <c r="FX13" s="131" t="n"/>
      <c r="FY13" s="130" t="n"/>
      <c r="FZ13" s="131" t="n"/>
      <c r="GA13" s="130" t="n"/>
      <c r="GB13" s="131" t="n"/>
      <c r="GC13" s="130" t="n"/>
      <c r="GD13" s="131" t="n"/>
      <c r="GE13" s="130" t="n"/>
      <c r="GF13" s="131" t="n"/>
      <c r="GG13" s="130" t="n"/>
      <c r="GH13" s="131" t="n"/>
      <c r="GI13" s="130" t="n"/>
      <c r="GJ13" s="131" t="n"/>
      <c r="GK13" s="132" t="n"/>
      <c r="GL13" s="133" t="n"/>
      <c r="GM13" s="134" t="n"/>
      <c r="GN13" s="133" t="n"/>
      <c r="GO13" s="134" t="n"/>
      <c r="GP13" s="133" t="n"/>
      <c r="GQ13" s="134" t="n"/>
      <c r="GR13" s="133" t="n"/>
      <c r="GS13" s="134" t="n"/>
      <c r="GT13" s="133" t="n"/>
      <c r="GU13" s="134" t="n"/>
      <c r="GV13" s="133" t="n"/>
      <c r="GW13" s="134" t="n"/>
      <c r="GX13" s="133" t="n"/>
      <c r="GY13" s="134" t="n"/>
      <c r="GZ13" s="133" t="n"/>
      <c r="HA13" s="134" t="n"/>
      <c r="HB13" s="135" t="n"/>
      <c r="HC13">
        <f>97-SUMPRODUCT(MAX(($G$4:$HB$4="ح")*($G13:$HB13=TRUE)*(97-$G$47:$HB$47)))</f>
        <v>97</v>
      </c>
      <c r="HD13">
        <f>SUMPRODUCT(($G$4:$HB$4="ح")*($G13:$HB13=TRUE)*($G$47:$HB$47&gt;$HC$1-8))</f>
        <v>0</v>
      </c>
      <c r="HE13">
        <f>(COUNTIF($G13:$V13,TRUE)&gt;0)*($W13&lt;&gt;TRUE)+(COUNTIF($X13:$AM13,TRUE)&gt;0)*($AN13&lt;&gt;TRUE)+(COUNTIF($AO13:$BD13,TRUE)&gt;0)*($BE13&lt;&gt;TRUE)+(COUNTIF($BF13:$BU13,TRUE)&gt;0)*($BV13&lt;&gt;TRUE)+(COUNTIF($BW13:$CL13,TRUE)&gt;0)*($CM13&lt;&gt;TRUE)+(COUNTIF($CN13:$DC13,TRUE)&gt;0)*($DD13&lt;&gt;TRUE)+(COUNTIF($DE13:$DT13,TRUE)&gt;0)*($DU13&lt;&gt;TRUE)+(COUNTIF($DV13:$EK13,TRUE)&gt;0)*($EL13&lt;&gt;TRUE)+(COUNTIF($EM13:$FB13,TRUE)&gt;0)*($FC13&lt;&gt;TRUE)+(COUNTIF($FD13:$FS13,TRUE)&gt;0)*($FT13&lt;&gt;TRUE)+(COUNTIF($FU13:$GJ13,TRUE)&gt;0)*($GK13&lt;&gt;TRUE)+(COUNTIF($GL13:$HA13,TRUE)&gt;0)*($HB13&lt;&gt;TRUE)</f>
        <v>0</v>
      </c>
      <c r="HF13">
        <f>IF($HE13=0,0,13-MAX((COUNTIF($G13:$V13,TRUE)&gt;0)*($W13&lt;&gt;TRUE)*12,(COUNTIF($X13:$AM13,TRUE)&gt;0)*($AN13&lt;&gt;TRUE)*11,(COUNTIF($AO13:$BD13,TRUE)&gt;0)*($BE13&lt;&gt;TRUE)*10,(COUNTIF($BF13:$BU13,TRUE)&gt;0)*($BV13&lt;&gt;TRUE)*9,(COUNTIF($BW13:$CL13,TRUE)&gt;0)*($CM13&lt;&gt;TRUE)*8,(COUNTIF($CN13:$DC13,TRUE)&gt;0)*($DD13&lt;&gt;TRUE)*7,(COUNTIF($DE13:$DT13,TRUE)&gt;0)*($DU13&lt;&gt;TRUE)*6,(COUNTIF($DV13:$EK13,TRUE)&gt;0)*($EL13&lt;&gt;TRUE)*5,(COUNTIF($EM13:$FB13,TRUE)&gt;0)*($FC13&lt;&gt;TRUE)*4,(COUNTIF($FD13:$FS13,TRUE)&gt;0)*($FT13&lt;&gt;TRUE)*3,(COUNTIF($FU13:$GJ13,TRUE)&gt;0)*($GK13&lt;&gt;TRUE)*2,(COUNTIF($GL13:$HA13,TRUE)&gt;0)*($HB13&lt;&gt;TRUE)*1))</f>
        <v>0</v>
      </c>
    </row>
    <row r="14" ht="22.5" customHeight="1">
      <c r="A14" s="36" t="n">
        <v>10</v>
      </c>
      <c r="B14" s="97" t="n"/>
      <c r="C14" s="28" t="n"/>
      <c r="D14" s="98" t="str">
        <f>IF($B14="","",IF($HC14=97,"-",IF($HD14=0,"متوقف",SUMPRODUCT(($G$4:$HB$4="ح")*($G$20:$HB$20&gt;0)*($G14:$HB14&lt;&gt;TRUE)*($G$47:$HB$47&gt;$HC$1-8)*($G$47:$HB$47&gt;=$HC14)))))</f>
        <v/>
      </c>
      <c r="E14" s="98" t="str">
        <f>IF(OR($B14="",$HC14=97),"",SUMPRODUCT(($G$4:$HA$4="ح")*($G14:$HA14=TRUE)*($H14:$HB14&lt;&gt;TRUE)*($G$47:$HA$47&gt;$HC$1-8)))</f>
        <v/>
      </c>
      <c r="F14" s="99" t="str">
        <f>IF($B14="","",IF($HE14=0,IF($HC14=97,"-","تمام"),IF($HE14=1,IF(INDEX($G$1:$HB$1,1,17*($HF14-1)+1)="","شهر "&amp;$HF14,INDEX($G$1:$HB$1,1,17*($HF14-1)+1)),IF($HE14=2,"شهرين",$HE14&amp;" شهور"))))</f>
        <v/>
      </c>
      <c r="G14" s="100" t="n"/>
      <c r="H14" s="101" t="n"/>
      <c r="I14" s="100" t="n"/>
      <c r="J14" s="101" t="n"/>
      <c r="K14" s="100" t="n"/>
      <c r="L14" s="101" t="n"/>
      <c r="M14" s="100" t="n"/>
      <c r="N14" s="101" t="n"/>
      <c r="O14" s="100" t="n"/>
      <c r="P14" s="101" t="n"/>
      <c r="Q14" s="100" t="n"/>
      <c r="R14" s="101" t="n"/>
      <c r="S14" s="100" t="n"/>
      <c r="T14" s="101" t="n"/>
      <c r="U14" s="100" t="n"/>
      <c r="V14" s="101" t="n"/>
      <c r="W14" s="102" t="n"/>
      <c r="X14" s="103" t="n"/>
      <c r="Y14" s="104" t="n"/>
      <c r="Z14" s="103" t="n"/>
      <c r="AA14" s="104" t="n"/>
      <c r="AB14" s="103" t="n"/>
      <c r="AC14" s="104" t="n"/>
      <c r="AD14" s="103" t="n"/>
      <c r="AE14" s="104" t="n"/>
      <c r="AF14" s="103" t="n"/>
      <c r="AG14" s="104" t="n"/>
      <c r="AH14" s="103" t="n"/>
      <c r="AI14" s="104" t="n"/>
      <c r="AJ14" s="103" t="n"/>
      <c r="AK14" s="104" t="n"/>
      <c r="AL14" s="103" t="n"/>
      <c r="AM14" s="104" t="n"/>
      <c r="AN14" s="105" t="n"/>
      <c r="AO14" s="106" t="n"/>
      <c r="AP14" s="107" t="n"/>
      <c r="AQ14" s="106" t="n"/>
      <c r="AR14" s="107" t="n"/>
      <c r="AS14" s="106" t="n"/>
      <c r="AT14" s="107" t="n"/>
      <c r="AU14" s="106" t="n"/>
      <c r="AV14" s="107" t="n"/>
      <c r="AW14" s="106" t="n"/>
      <c r="AX14" s="107" t="n"/>
      <c r="AY14" s="106" t="n"/>
      <c r="AZ14" s="107" t="n"/>
      <c r="BA14" s="106" t="n"/>
      <c r="BB14" s="107" t="n"/>
      <c r="BC14" s="106" t="n"/>
      <c r="BD14" s="107" t="n"/>
      <c r="BE14" s="108" t="n"/>
      <c r="BF14" s="109" t="n"/>
      <c r="BG14" s="110" t="n"/>
      <c r="BH14" s="109" t="n"/>
      <c r="BI14" s="110" t="n"/>
      <c r="BJ14" s="109" t="n"/>
      <c r="BK14" s="110" t="n"/>
      <c r="BL14" s="109" t="n"/>
      <c r="BM14" s="110" t="n"/>
      <c r="BN14" s="109" t="n"/>
      <c r="BO14" s="110" t="n"/>
      <c r="BP14" s="109" t="n"/>
      <c r="BQ14" s="110" t="n"/>
      <c r="BR14" s="109" t="n"/>
      <c r="BS14" s="110" t="n"/>
      <c r="BT14" s="109" t="n"/>
      <c r="BU14" s="110" t="n"/>
      <c r="BV14" s="111" t="n"/>
      <c r="BW14" s="112" t="n"/>
      <c r="BX14" s="113" t="n"/>
      <c r="BY14" s="112" t="n"/>
      <c r="BZ14" s="113" t="n"/>
      <c r="CA14" s="112" t="n"/>
      <c r="CB14" s="113" t="n"/>
      <c r="CC14" s="112" t="n"/>
      <c r="CD14" s="113" t="n"/>
      <c r="CE14" s="112" t="n"/>
      <c r="CF14" s="113" t="n"/>
      <c r="CG14" s="112" t="n"/>
      <c r="CH14" s="113" t="n"/>
      <c r="CI14" s="112" t="n"/>
      <c r="CJ14" s="113" t="n"/>
      <c r="CK14" s="112" t="n"/>
      <c r="CL14" s="113" t="n"/>
      <c r="CM14" s="114" t="n"/>
      <c r="CN14" s="115" t="n"/>
      <c r="CO14" s="116" t="n"/>
      <c r="CP14" s="115" t="n"/>
      <c r="CQ14" s="116" t="n"/>
      <c r="CR14" s="115" t="n"/>
      <c r="CS14" s="116" t="n"/>
      <c r="CT14" s="115" t="n"/>
      <c r="CU14" s="116" t="n"/>
      <c r="CV14" s="115" t="n"/>
      <c r="CW14" s="116" t="n"/>
      <c r="CX14" s="115" t="n"/>
      <c r="CY14" s="116" t="n"/>
      <c r="CZ14" s="115" t="n"/>
      <c r="DA14" s="116" t="n"/>
      <c r="DB14" s="115" t="n"/>
      <c r="DC14" s="116" t="n"/>
      <c r="DD14" s="117" t="n"/>
      <c r="DE14" s="118" t="n"/>
      <c r="DF14" s="119" t="n"/>
      <c r="DG14" s="118" t="n"/>
      <c r="DH14" s="119" t="n"/>
      <c r="DI14" s="118" t="n"/>
      <c r="DJ14" s="119" t="n"/>
      <c r="DK14" s="118" t="n"/>
      <c r="DL14" s="119" t="n"/>
      <c r="DM14" s="118" t="n"/>
      <c r="DN14" s="119" t="n"/>
      <c r="DO14" s="118" t="n"/>
      <c r="DP14" s="119" t="n"/>
      <c r="DQ14" s="118" t="n"/>
      <c r="DR14" s="119" t="n"/>
      <c r="DS14" s="118" t="n"/>
      <c r="DT14" s="119" t="n"/>
      <c r="DU14" s="120" t="n"/>
      <c r="DV14" s="121" t="n"/>
      <c r="DW14" s="122" t="n"/>
      <c r="DX14" s="121" t="n"/>
      <c r="DY14" s="122" t="n"/>
      <c r="DZ14" s="121" t="n"/>
      <c r="EA14" s="122" t="n"/>
      <c r="EB14" s="121" t="n"/>
      <c r="EC14" s="122" t="n"/>
      <c r="ED14" s="121" t="n"/>
      <c r="EE14" s="122" t="n"/>
      <c r="EF14" s="121" t="n"/>
      <c r="EG14" s="122" t="n"/>
      <c r="EH14" s="121" t="n"/>
      <c r="EI14" s="122" t="n"/>
      <c r="EJ14" s="121" t="n"/>
      <c r="EK14" s="122" t="n"/>
      <c r="EL14" s="123" t="n"/>
      <c r="EM14" s="124" t="n"/>
      <c r="EN14" s="125" t="n"/>
      <c r="EO14" s="124" t="n"/>
      <c r="EP14" s="125" t="n"/>
      <c r="EQ14" s="124" t="n"/>
      <c r="ER14" s="125" t="n"/>
      <c r="ES14" s="124" t="n"/>
      <c r="ET14" s="125" t="n"/>
      <c r="EU14" s="124" t="n"/>
      <c r="EV14" s="125" t="n"/>
      <c r="EW14" s="124" t="n"/>
      <c r="EX14" s="125" t="n"/>
      <c r="EY14" s="124" t="n"/>
      <c r="EZ14" s="125" t="n"/>
      <c r="FA14" s="124" t="n"/>
      <c r="FB14" s="125" t="n"/>
      <c r="FC14" s="126" t="n"/>
      <c r="FD14" s="127" t="n"/>
      <c r="FE14" s="128" t="n"/>
      <c r="FF14" s="127" t="n"/>
      <c r="FG14" s="128" t="n"/>
      <c r="FH14" s="127" t="n"/>
      <c r="FI14" s="128" t="n"/>
      <c r="FJ14" s="127" t="n"/>
      <c r="FK14" s="128" t="n"/>
      <c r="FL14" s="127" t="n"/>
      <c r="FM14" s="128" t="n"/>
      <c r="FN14" s="127" t="n"/>
      <c r="FO14" s="128" t="n"/>
      <c r="FP14" s="127" t="n"/>
      <c r="FQ14" s="128" t="n"/>
      <c r="FR14" s="127" t="n"/>
      <c r="FS14" s="128" t="n"/>
      <c r="FT14" s="129" t="n"/>
      <c r="FU14" s="130" t="n"/>
      <c r="FV14" s="131" t="n"/>
      <c r="FW14" s="130" t="n"/>
      <c r="FX14" s="131" t="n"/>
      <c r="FY14" s="130" t="n"/>
      <c r="FZ14" s="131" t="n"/>
      <c r="GA14" s="130" t="n"/>
      <c r="GB14" s="131" t="n"/>
      <c r="GC14" s="130" t="n"/>
      <c r="GD14" s="131" t="n"/>
      <c r="GE14" s="130" t="n"/>
      <c r="GF14" s="131" t="n"/>
      <c r="GG14" s="130" t="n"/>
      <c r="GH14" s="131" t="n"/>
      <c r="GI14" s="130" t="n"/>
      <c r="GJ14" s="131" t="n"/>
      <c r="GK14" s="132" t="n"/>
      <c r="GL14" s="133" t="n"/>
      <c r="GM14" s="134" t="n"/>
      <c r="GN14" s="133" t="n"/>
      <c r="GO14" s="134" t="n"/>
      <c r="GP14" s="133" t="n"/>
      <c r="GQ14" s="134" t="n"/>
      <c r="GR14" s="133" t="n"/>
      <c r="GS14" s="134" t="n"/>
      <c r="GT14" s="133" t="n"/>
      <c r="GU14" s="134" t="n"/>
      <c r="GV14" s="133" t="n"/>
      <c r="GW14" s="134" t="n"/>
      <c r="GX14" s="133" t="n"/>
      <c r="GY14" s="134" t="n"/>
      <c r="GZ14" s="133" t="n"/>
      <c r="HA14" s="134" t="n"/>
      <c r="HB14" s="135" t="n"/>
      <c r="HC14">
        <f>97-SUMPRODUCT(MAX(($G$4:$HB$4="ح")*($G14:$HB14=TRUE)*(97-$G$47:$HB$47)))</f>
        <v>97</v>
      </c>
      <c r="HD14">
        <f>SUMPRODUCT(($G$4:$HB$4="ح")*($G14:$HB14=TRUE)*($G$47:$HB$47&gt;$HC$1-8))</f>
        <v>0</v>
      </c>
      <c r="HE14">
        <f>(COUNTIF($G14:$V14,TRUE)&gt;0)*($W14&lt;&gt;TRUE)+(COUNTIF($X14:$AM14,TRUE)&gt;0)*($AN14&lt;&gt;TRUE)+(COUNTIF($AO14:$BD14,TRUE)&gt;0)*($BE14&lt;&gt;TRUE)+(COUNTIF($BF14:$BU14,TRUE)&gt;0)*($BV14&lt;&gt;TRUE)+(COUNTIF($BW14:$CL14,TRUE)&gt;0)*($CM14&lt;&gt;TRUE)+(COUNTIF($CN14:$DC14,TRUE)&gt;0)*($DD14&lt;&gt;TRUE)+(COUNTIF($DE14:$DT14,TRUE)&gt;0)*($DU14&lt;&gt;TRUE)+(COUNTIF($DV14:$EK14,TRUE)&gt;0)*($EL14&lt;&gt;TRUE)+(COUNTIF($EM14:$FB14,TRUE)&gt;0)*($FC14&lt;&gt;TRUE)+(COUNTIF($FD14:$FS14,TRUE)&gt;0)*($FT14&lt;&gt;TRUE)+(COUNTIF($FU14:$GJ14,TRUE)&gt;0)*($GK14&lt;&gt;TRUE)+(COUNTIF($GL14:$HA14,TRUE)&gt;0)*($HB14&lt;&gt;TRUE)</f>
        <v>0</v>
      </c>
      <c r="HF14">
        <f>IF($HE14=0,0,13-MAX((COUNTIF($G14:$V14,TRUE)&gt;0)*($W14&lt;&gt;TRUE)*12,(COUNTIF($X14:$AM14,TRUE)&gt;0)*($AN14&lt;&gt;TRUE)*11,(COUNTIF($AO14:$BD14,TRUE)&gt;0)*($BE14&lt;&gt;TRUE)*10,(COUNTIF($BF14:$BU14,TRUE)&gt;0)*($BV14&lt;&gt;TRUE)*9,(COUNTIF($BW14:$CL14,TRUE)&gt;0)*($CM14&lt;&gt;TRUE)*8,(COUNTIF($CN14:$DC14,TRUE)&gt;0)*($DD14&lt;&gt;TRUE)*7,(COUNTIF($DE14:$DT14,TRUE)&gt;0)*($DU14&lt;&gt;TRUE)*6,(COUNTIF($DV14:$EK14,TRUE)&gt;0)*($EL14&lt;&gt;TRUE)*5,(COUNTIF($EM14:$FB14,TRUE)&gt;0)*($FC14&lt;&gt;TRUE)*4,(COUNTIF($FD14:$FS14,TRUE)&gt;0)*($FT14&lt;&gt;TRUE)*3,(COUNTIF($FU14:$GJ14,TRUE)&gt;0)*($GK14&lt;&gt;TRUE)*2,(COUNTIF($GL14:$HA14,TRUE)&gt;0)*($HB14&lt;&gt;TRUE)*1))</f>
        <v>0</v>
      </c>
    </row>
    <row r="15" ht="22.5" customHeight="1">
      <c r="A15" s="36" t="n">
        <v>11</v>
      </c>
      <c r="B15" s="97" t="n"/>
      <c r="C15" s="28" t="n"/>
      <c r="D15" s="98" t="str">
        <f>IF($B15="","",IF($HC15=97,"-",IF($HD15=0,"متوقف",SUMPRODUCT(($G$4:$HB$4="ح")*($G$20:$HB$20&gt;0)*($G15:$HB15&lt;&gt;TRUE)*($G$47:$HB$47&gt;$HC$1-8)*($G$47:$HB$47&gt;=$HC15)))))</f>
        <v/>
      </c>
      <c r="E15" s="98" t="str">
        <f>IF(OR($B15="",$HC15=97),"",SUMPRODUCT(($G$4:$HA$4="ح")*($G15:$HA15=TRUE)*($H15:$HB15&lt;&gt;TRUE)*($G$47:$HA$47&gt;$HC$1-8)))</f>
        <v/>
      </c>
      <c r="F15" s="99" t="str">
        <f>IF($B15="","",IF($HE15=0,IF($HC15=97,"-","تمام"),IF($HE15=1,IF(INDEX($G$1:$HB$1,1,17*($HF15-1)+1)="","شهر "&amp;$HF15,INDEX($G$1:$HB$1,1,17*($HF15-1)+1)),IF($HE15=2,"شهرين",$HE15&amp;" شهور"))))</f>
        <v/>
      </c>
      <c r="G15" s="100" t="n"/>
      <c r="H15" s="101" t="n"/>
      <c r="I15" s="100" t="n"/>
      <c r="J15" s="101" t="n"/>
      <c r="K15" s="100" t="n"/>
      <c r="L15" s="101" t="n"/>
      <c r="M15" s="100" t="n"/>
      <c r="N15" s="101" t="n"/>
      <c r="O15" s="100" t="n"/>
      <c r="P15" s="101" t="n"/>
      <c r="Q15" s="100" t="n"/>
      <c r="R15" s="101" t="n"/>
      <c r="S15" s="100" t="n"/>
      <c r="T15" s="101" t="n"/>
      <c r="U15" s="100" t="n"/>
      <c r="V15" s="101" t="n"/>
      <c r="W15" s="102" t="n"/>
      <c r="X15" s="103" t="n"/>
      <c r="Y15" s="104" t="n"/>
      <c r="Z15" s="103" t="n"/>
      <c r="AA15" s="104" t="n"/>
      <c r="AB15" s="103" t="n"/>
      <c r="AC15" s="104" t="n"/>
      <c r="AD15" s="103" t="n"/>
      <c r="AE15" s="104" t="n"/>
      <c r="AF15" s="103" t="n"/>
      <c r="AG15" s="104" t="n"/>
      <c r="AH15" s="103" t="n"/>
      <c r="AI15" s="104" t="n"/>
      <c r="AJ15" s="103" t="n"/>
      <c r="AK15" s="104" t="n"/>
      <c r="AL15" s="103" t="n"/>
      <c r="AM15" s="104" t="n"/>
      <c r="AN15" s="105" t="n"/>
      <c r="AO15" s="106" t="n"/>
      <c r="AP15" s="107" t="n"/>
      <c r="AQ15" s="106" t="n"/>
      <c r="AR15" s="107" t="n"/>
      <c r="AS15" s="106" t="n"/>
      <c r="AT15" s="107" t="n"/>
      <c r="AU15" s="106" t="n"/>
      <c r="AV15" s="107" t="n"/>
      <c r="AW15" s="106" t="n"/>
      <c r="AX15" s="107" t="n"/>
      <c r="AY15" s="106" t="n"/>
      <c r="AZ15" s="107" t="n"/>
      <c r="BA15" s="106" t="n"/>
      <c r="BB15" s="107" t="n"/>
      <c r="BC15" s="106" t="n"/>
      <c r="BD15" s="107" t="n"/>
      <c r="BE15" s="108" t="n"/>
      <c r="BF15" s="109" t="n"/>
      <c r="BG15" s="110" t="n"/>
      <c r="BH15" s="109" t="n"/>
      <c r="BI15" s="110" t="n"/>
      <c r="BJ15" s="109" t="n"/>
      <c r="BK15" s="110" t="n"/>
      <c r="BL15" s="109" t="n"/>
      <c r="BM15" s="110" t="n"/>
      <c r="BN15" s="109" t="n"/>
      <c r="BO15" s="110" t="n"/>
      <c r="BP15" s="109" t="n"/>
      <c r="BQ15" s="110" t="n"/>
      <c r="BR15" s="109" t="n"/>
      <c r="BS15" s="110" t="n"/>
      <c r="BT15" s="109" t="n"/>
      <c r="BU15" s="110" t="n"/>
      <c r="BV15" s="111" t="n"/>
      <c r="BW15" s="112" t="n"/>
      <c r="BX15" s="113" t="n"/>
      <c r="BY15" s="112" t="n"/>
      <c r="BZ15" s="113" t="n"/>
      <c r="CA15" s="112" t="n"/>
      <c r="CB15" s="113" t="n"/>
      <c r="CC15" s="112" t="n"/>
      <c r="CD15" s="113" t="n"/>
      <c r="CE15" s="112" t="n"/>
      <c r="CF15" s="113" t="n"/>
      <c r="CG15" s="112" t="n"/>
      <c r="CH15" s="113" t="n"/>
      <c r="CI15" s="112" t="n"/>
      <c r="CJ15" s="113" t="n"/>
      <c r="CK15" s="112" t="n"/>
      <c r="CL15" s="113" t="n"/>
      <c r="CM15" s="114" t="n"/>
      <c r="CN15" s="115" t="n"/>
      <c r="CO15" s="116" t="n"/>
      <c r="CP15" s="115" t="n"/>
      <c r="CQ15" s="116" t="n"/>
      <c r="CR15" s="115" t="n"/>
      <c r="CS15" s="116" t="n"/>
      <c r="CT15" s="115" t="n"/>
      <c r="CU15" s="116" t="n"/>
      <c r="CV15" s="115" t="n"/>
      <c r="CW15" s="116" t="n"/>
      <c r="CX15" s="115" t="n"/>
      <c r="CY15" s="116" t="n"/>
      <c r="CZ15" s="115" t="n"/>
      <c r="DA15" s="116" t="n"/>
      <c r="DB15" s="115" t="n"/>
      <c r="DC15" s="116" t="n"/>
      <c r="DD15" s="117" t="n"/>
      <c r="DE15" s="118" t="n"/>
      <c r="DF15" s="119" t="n"/>
      <c r="DG15" s="118" t="n"/>
      <c r="DH15" s="119" t="n"/>
      <c r="DI15" s="118" t="n"/>
      <c r="DJ15" s="119" t="n"/>
      <c r="DK15" s="118" t="n"/>
      <c r="DL15" s="119" t="n"/>
      <c r="DM15" s="118" t="n"/>
      <c r="DN15" s="119" t="n"/>
      <c r="DO15" s="118" t="n"/>
      <c r="DP15" s="119" t="n"/>
      <c r="DQ15" s="118" t="n"/>
      <c r="DR15" s="119" t="n"/>
      <c r="DS15" s="118" t="n"/>
      <c r="DT15" s="119" t="n"/>
      <c r="DU15" s="120" t="n"/>
      <c r="DV15" s="121" t="n"/>
      <c r="DW15" s="122" t="n"/>
      <c r="DX15" s="121" t="n"/>
      <c r="DY15" s="122" t="n"/>
      <c r="DZ15" s="121" t="n"/>
      <c r="EA15" s="122" t="n"/>
      <c r="EB15" s="121" t="n"/>
      <c r="EC15" s="122" t="n"/>
      <c r="ED15" s="121" t="n"/>
      <c r="EE15" s="122" t="n"/>
      <c r="EF15" s="121" t="n"/>
      <c r="EG15" s="122" t="n"/>
      <c r="EH15" s="121" t="n"/>
      <c r="EI15" s="122" t="n"/>
      <c r="EJ15" s="121" t="n"/>
      <c r="EK15" s="122" t="n"/>
      <c r="EL15" s="123" t="n"/>
      <c r="EM15" s="124" t="n"/>
      <c r="EN15" s="125" t="n"/>
      <c r="EO15" s="124" t="n"/>
      <c r="EP15" s="125" t="n"/>
      <c r="EQ15" s="124" t="n"/>
      <c r="ER15" s="125" t="n"/>
      <c r="ES15" s="124" t="n"/>
      <c r="ET15" s="125" t="n"/>
      <c r="EU15" s="124" t="n"/>
      <c r="EV15" s="125" t="n"/>
      <c r="EW15" s="124" t="n"/>
      <c r="EX15" s="125" t="n"/>
      <c r="EY15" s="124" t="n"/>
      <c r="EZ15" s="125" t="n"/>
      <c r="FA15" s="124" t="n"/>
      <c r="FB15" s="125" t="n"/>
      <c r="FC15" s="126" t="n"/>
      <c r="FD15" s="127" t="n"/>
      <c r="FE15" s="128" t="n"/>
      <c r="FF15" s="127" t="n"/>
      <c r="FG15" s="128" t="n"/>
      <c r="FH15" s="127" t="n"/>
      <c r="FI15" s="128" t="n"/>
      <c r="FJ15" s="127" t="n"/>
      <c r="FK15" s="128" t="n"/>
      <c r="FL15" s="127" t="n"/>
      <c r="FM15" s="128" t="n"/>
      <c r="FN15" s="127" t="n"/>
      <c r="FO15" s="128" t="n"/>
      <c r="FP15" s="127" t="n"/>
      <c r="FQ15" s="128" t="n"/>
      <c r="FR15" s="127" t="n"/>
      <c r="FS15" s="128" t="n"/>
      <c r="FT15" s="129" t="n"/>
      <c r="FU15" s="130" t="n"/>
      <c r="FV15" s="131" t="n"/>
      <c r="FW15" s="130" t="n"/>
      <c r="FX15" s="131" t="n"/>
      <c r="FY15" s="130" t="n"/>
      <c r="FZ15" s="131" t="n"/>
      <c r="GA15" s="130" t="n"/>
      <c r="GB15" s="131" t="n"/>
      <c r="GC15" s="130" t="n"/>
      <c r="GD15" s="131" t="n"/>
      <c r="GE15" s="130" t="n"/>
      <c r="GF15" s="131" t="n"/>
      <c r="GG15" s="130" t="n"/>
      <c r="GH15" s="131" t="n"/>
      <c r="GI15" s="130" t="n"/>
      <c r="GJ15" s="131" t="n"/>
      <c r="GK15" s="132" t="n"/>
      <c r="GL15" s="133" t="n"/>
      <c r="GM15" s="134" t="n"/>
      <c r="GN15" s="133" t="n"/>
      <c r="GO15" s="134" t="n"/>
      <c r="GP15" s="133" t="n"/>
      <c r="GQ15" s="134" t="n"/>
      <c r="GR15" s="133" t="n"/>
      <c r="GS15" s="134" t="n"/>
      <c r="GT15" s="133" t="n"/>
      <c r="GU15" s="134" t="n"/>
      <c r="GV15" s="133" t="n"/>
      <c r="GW15" s="134" t="n"/>
      <c r="GX15" s="133" t="n"/>
      <c r="GY15" s="134" t="n"/>
      <c r="GZ15" s="133" t="n"/>
      <c r="HA15" s="134" t="n"/>
      <c r="HB15" s="135" t="n"/>
      <c r="HC15">
        <f>97-SUMPRODUCT(MAX(($G$4:$HB$4="ح")*($G15:$HB15=TRUE)*(97-$G$47:$HB$47)))</f>
        <v>97</v>
      </c>
      <c r="HD15">
        <f>SUMPRODUCT(($G$4:$HB$4="ح")*($G15:$HB15=TRUE)*($G$47:$HB$47&gt;$HC$1-8))</f>
        <v>0</v>
      </c>
      <c r="HE15">
        <f>(COUNTIF($G15:$V15,TRUE)&gt;0)*($W15&lt;&gt;TRUE)+(COUNTIF($X15:$AM15,TRUE)&gt;0)*($AN15&lt;&gt;TRUE)+(COUNTIF($AO15:$BD15,TRUE)&gt;0)*($BE15&lt;&gt;TRUE)+(COUNTIF($BF15:$BU15,TRUE)&gt;0)*($BV15&lt;&gt;TRUE)+(COUNTIF($BW15:$CL15,TRUE)&gt;0)*($CM15&lt;&gt;TRUE)+(COUNTIF($CN15:$DC15,TRUE)&gt;0)*($DD15&lt;&gt;TRUE)+(COUNTIF($DE15:$DT15,TRUE)&gt;0)*($DU15&lt;&gt;TRUE)+(COUNTIF($DV15:$EK15,TRUE)&gt;0)*($EL15&lt;&gt;TRUE)+(COUNTIF($EM15:$FB15,TRUE)&gt;0)*($FC15&lt;&gt;TRUE)+(COUNTIF($FD15:$FS15,TRUE)&gt;0)*($FT15&lt;&gt;TRUE)+(COUNTIF($FU15:$GJ15,TRUE)&gt;0)*($GK15&lt;&gt;TRUE)+(COUNTIF($GL15:$HA15,TRUE)&gt;0)*($HB15&lt;&gt;TRUE)</f>
        <v>0</v>
      </c>
      <c r="HF15">
        <f>IF($HE15=0,0,13-MAX((COUNTIF($G15:$V15,TRUE)&gt;0)*($W15&lt;&gt;TRUE)*12,(COUNTIF($X15:$AM15,TRUE)&gt;0)*($AN15&lt;&gt;TRUE)*11,(COUNTIF($AO15:$BD15,TRUE)&gt;0)*($BE15&lt;&gt;TRUE)*10,(COUNTIF($BF15:$BU15,TRUE)&gt;0)*($BV15&lt;&gt;TRUE)*9,(COUNTIF($BW15:$CL15,TRUE)&gt;0)*($CM15&lt;&gt;TRUE)*8,(COUNTIF($CN15:$DC15,TRUE)&gt;0)*($DD15&lt;&gt;TRUE)*7,(COUNTIF($DE15:$DT15,TRUE)&gt;0)*($DU15&lt;&gt;TRUE)*6,(COUNTIF($DV15:$EK15,TRUE)&gt;0)*($EL15&lt;&gt;TRUE)*5,(COUNTIF($EM15:$FB15,TRUE)&gt;0)*($FC15&lt;&gt;TRUE)*4,(COUNTIF($FD15:$FS15,TRUE)&gt;0)*($FT15&lt;&gt;TRUE)*3,(COUNTIF($FU15:$GJ15,TRUE)&gt;0)*($GK15&lt;&gt;TRUE)*2,(COUNTIF($GL15:$HA15,TRUE)&gt;0)*($HB15&lt;&gt;TRUE)*1))</f>
        <v>0</v>
      </c>
    </row>
    <row r="16" ht="22.5" customHeight="1">
      <c r="A16" s="36" t="n">
        <v>12</v>
      </c>
      <c r="B16" s="97" t="n"/>
      <c r="C16" s="28" t="n"/>
      <c r="D16" s="98" t="str">
        <f>IF($B16="","",IF($HC16=97,"-",IF($HD16=0,"متوقف",SUMPRODUCT(($G$4:$HB$4="ح")*($G$20:$HB$20&gt;0)*($G16:$HB16&lt;&gt;TRUE)*($G$47:$HB$47&gt;$HC$1-8)*($G$47:$HB$47&gt;=$HC16)))))</f>
        <v/>
      </c>
      <c r="E16" s="98" t="str">
        <f>IF(OR($B16="",$HC16=97),"",SUMPRODUCT(($G$4:$HA$4="ح")*($G16:$HA16=TRUE)*($H16:$HB16&lt;&gt;TRUE)*($G$47:$HA$47&gt;$HC$1-8)))</f>
        <v/>
      </c>
      <c r="F16" s="99" t="str">
        <f>IF($B16="","",IF($HE16=0,IF($HC16=97,"-","تمام"),IF($HE16=1,IF(INDEX($G$1:$HB$1,1,17*($HF16-1)+1)="","شهر "&amp;$HF16,INDEX($G$1:$HB$1,1,17*($HF16-1)+1)),IF($HE16=2,"شهرين",$HE16&amp;" شهور"))))</f>
        <v/>
      </c>
      <c r="G16" s="100" t="n"/>
      <c r="H16" s="101" t="n"/>
      <c r="I16" s="100" t="n"/>
      <c r="J16" s="101" t="n"/>
      <c r="K16" s="100" t="n"/>
      <c r="L16" s="101" t="n"/>
      <c r="M16" s="100" t="n"/>
      <c r="N16" s="101" t="n"/>
      <c r="O16" s="100" t="n"/>
      <c r="P16" s="101" t="n"/>
      <c r="Q16" s="100" t="n"/>
      <c r="R16" s="101" t="n"/>
      <c r="S16" s="100" t="n"/>
      <c r="T16" s="101" t="n"/>
      <c r="U16" s="100" t="n"/>
      <c r="V16" s="101" t="n"/>
      <c r="W16" s="102" t="n"/>
      <c r="X16" s="103" t="n"/>
      <c r="Y16" s="104" t="n"/>
      <c r="Z16" s="103" t="n"/>
      <c r="AA16" s="104" t="n"/>
      <c r="AB16" s="103" t="n"/>
      <c r="AC16" s="104" t="n"/>
      <c r="AD16" s="103" t="n"/>
      <c r="AE16" s="104" t="n"/>
      <c r="AF16" s="103" t="n"/>
      <c r="AG16" s="104" t="n"/>
      <c r="AH16" s="103" t="n"/>
      <c r="AI16" s="104" t="n"/>
      <c r="AJ16" s="103" t="n"/>
      <c r="AK16" s="104" t="n"/>
      <c r="AL16" s="103" t="n"/>
      <c r="AM16" s="104" t="n"/>
      <c r="AN16" s="105" t="n"/>
      <c r="AO16" s="106" t="n"/>
      <c r="AP16" s="107" t="n"/>
      <c r="AQ16" s="106" t="n"/>
      <c r="AR16" s="107" t="n"/>
      <c r="AS16" s="106" t="n"/>
      <c r="AT16" s="107" t="n"/>
      <c r="AU16" s="106" t="n"/>
      <c r="AV16" s="107" t="n"/>
      <c r="AW16" s="106" t="n"/>
      <c r="AX16" s="107" t="n"/>
      <c r="AY16" s="106" t="n"/>
      <c r="AZ16" s="107" t="n"/>
      <c r="BA16" s="106" t="n"/>
      <c r="BB16" s="107" t="n"/>
      <c r="BC16" s="106" t="n"/>
      <c r="BD16" s="107" t="n"/>
      <c r="BE16" s="108" t="n"/>
      <c r="BF16" s="109" t="n"/>
      <c r="BG16" s="110" t="n"/>
      <c r="BH16" s="109" t="n"/>
      <c r="BI16" s="110" t="n"/>
      <c r="BJ16" s="109" t="n"/>
      <c r="BK16" s="110" t="n"/>
      <c r="BL16" s="109" t="n"/>
      <c r="BM16" s="110" t="n"/>
      <c r="BN16" s="109" t="n"/>
      <c r="BO16" s="110" t="n"/>
      <c r="BP16" s="109" t="n"/>
      <c r="BQ16" s="110" t="n"/>
      <c r="BR16" s="109" t="n"/>
      <c r="BS16" s="110" t="n"/>
      <c r="BT16" s="109" t="n"/>
      <c r="BU16" s="110" t="n"/>
      <c r="BV16" s="111" t="n"/>
      <c r="BW16" s="112" t="n"/>
      <c r="BX16" s="113" t="n"/>
      <c r="BY16" s="112" t="n"/>
      <c r="BZ16" s="113" t="n"/>
      <c r="CA16" s="112" t="n"/>
      <c r="CB16" s="113" t="n"/>
      <c r="CC16" s="112" t="n"/>
      <c r="CD16" s="113" t="n"/>
      <c r="CE16" s="112" t="n"/>
      <c r="CF16" s="113" t="n"/>
      <c r="CG16" s="112" t="n"/>
      <c r="CH16" s="113" t="n"/>
      <c r="CI16" s="112" t="n"/>
      <c r="CJ16" s="113" t="n"/>
      <c r="CK16" s="112" t="n"/>
      <c r="CL16" s="113" t="n"/>
      <c r="CM16" s="114" t="n"/>
      <c r="CN16" s="115" t="n"/>
      <c r="CO16" s="116" t="n"/>
      <c r="CP16" s="115" t="n"/>
      <c r="CQ16" s="116" t="n"/>
      <c r="CR16" s="115" t="n"/>
      <c r="CS16" s="116" t="n"/>
      <c r="CT16" s="115" t="n"/>
      <c r="CU16" s="116" t="n"/>
      <c r="CV16" s="115" t="n"/>
      <c r="CW16" s="116" t="n"/>
      <c r="CX16" s="115" t="n"/>
      <c r="CY16" s="116" t="n"/>
      <c r="CZ16" s="115" t="n"/>
      <c r="DA16" s="116" t="n"/>
      <c r="DB16" s="115" t="n"/>
      <c r="DC16" s="116" t="n"/>
      <c r="DD16" s="117" t="n"/>
      <c r="DE16" s="118" t="n"/>
      <c r="DF16" s="119" t="n"/>
      <c r="DG16" s="118" t="n"/>
      <c r="DH16" s="119" t="n"/>
      <c r="DI16" s="118" t="n"/>
      <c r="DJ16" s="119" t="n"/>
      <c r="DK16" s="118" t="n"/>
      <c r="DL16" s="119" t="n"/>
      <c r="DM16" s="118" t="n"/>
      <c r="DN16" s="119" t="n"/>
      <c r="DO16" s="118" t="n"/>
      <c r="DP16" s="119" t="n"/>
      <c r="DQ16" s="118" t="n"/>
      <c r="DR16" s="119" t="n"/>
      <c r="DS16" s="118" t="n"/>
      <c r="DT16" s="119" t="n"/>
      <c r="DU16" s="120" t="n"/>
      <c r="DV16" s="121" t="n"/>
      <c r="DW16" s="122" t="n"/>
      <c r="DX16" s="121" t="n"/>
      <c r="DY16" s="122" t="n"/>
      <c r="DZ16" s="121" t="n"/>
      <c r="EA16" s="122" t="n"/>
      <c r="EB16" s="121" t="n"/>
      <c r="EC16" s="122" t="n"/>
      <c r="ED16" s="121" t="n"/>
      <c r="EE16" s="122" t="n"/>
      <c r="EF16" s="121" t="n"/>
      <c r="EG16" s="122" t="n"/>
      <c r="EH16" s="121" t="n"/>
      <c r="EI16" s="122" t="n"/>
      <c r="EJ16" s="121" t="n"/>
      <c r="EK16" s="122" t="n"/>
      <c r="EL16" s="123" t="n"/>
      <c r="EM16" s="124" t="n"/>
      <c r="EN16" s="125" t="n"/>
      <c r="EO16" s="124" t="n"/>
      <c r="EP16" s="125" t="n"/>
      <c r="EQ16" s="124" t="n"/>
      <c r="ER16" s="125" t="n"/>
      <c r="ES16" s="124" t="n"/>
      <c r="ET16" s="125" t="n"/>
      <c r="EU16" s="124" t="n"/>
      <c r="EV16" s="125" t="n"/>
      <c r="EW16" s="124" t="n"/>
      <c r="EX16" s="125" t="n"/>
      <c r="EY16" s="124" t="n"/>
      <c r="EZ16" s="125" t="n"/>
      <c r="FA16" s="124" t="n"/>
      <c r="FB16" s="125" t="n"/>
      <c r="FC16" s="126" t="n"/>
      <c r="FD16" s="127" t="n"/>
      <c r="FE16" s="128" t="n"/>
      <c r="FF16" s="127" t="n"/>
      <c r="FG16" s="128" t="n"/>
      <c r="FH16" s="127" t="n"/>
      <c r="FI16" s="128" t="n"/>
      <c r="FJ16" s="127" t="n"/>
      <c r="FK16" s="128" t="n"/>
      <c r="FL16" s="127" t="n"/>
      <c r="FM16" s="128" t="n"/>
      <c r="FN16" s="127" t="n"/>
      <c r="FO16" s="128" t="n"/>
      <c r="FP16" s="127" t="n"/>
      <c r="FQ16" s="128" t="n"/>
      <c r="FR16" s="127" t="n"/>
      <c r="FS16" s="128" t="n"/>
      <c r="FT16" s="129" t="n"/>
      <c r="FU16" s="130" t="n"/>
      <c r="FV16" s="131" t="n"/>
      <c r="FW16" s="130" t="n"/>
      <c r="FX16" s="131" t="n"/>
      <c r="FY16" s="130" t="n"/>
      <c r="FZ16" s="131" t="n"/>
      <c r="GA16" s="130" t="n"/>
      <c r="GB16" s="131" t="n"/>
      <c r="GC16" s="130" t="n"/>
      <c r="GD16" s="131" t="n"/>
      <c r="GE16" s="130" t="n"/>
      <c r="GF16" s="131" t="n"/>
      <c r="GG16" s="130" t="n"/>
      <c r="GH16" s="131" t="n"/>
      <c r="GI16" s="130" t="n"/>
      <c r="GJ16" s="131" t="n"/>
      <c r="GK16" s="132" t="n"/>
      <c r="GL16" s="133" t="n"/>
      <c r="GM16" s="134" t="n"/>
      <c r="GN16" s="133" t="n"/>
      <c r="GO16" s="134" t="n"/>
      <c r="GP16" s="133" t="n"/>
      <c r="GQ16" s="134" t="n"/>
      <c r="GR16" s="133" t="n"/>
      <c r="GS16" s="134" t="n"/>
      <c r="GT16" s="133" t="n"/>
      <c r="GU16" s="134" t="n"/>
      <c r="GV16" s="133" t="n"/>
      <c r="GW16" s="134" t="n"/>
      <c r="GX16" s="133" t="n"/>
      <c r="GY16" s="134" t="n"/>
      <c r="GZ16" s="133" t="n"/>
      <c r="HA16" s="134" t="n"/>
      <c r="HB16" s="135" t="n"/>
      <c r="HC16">
        <f>97-SUMPRODUCT(MAX(($G$4:$HB$4="ح")*($G16:$HB16=TRUE)*(97-$G$47:$HB$47)))</f>
        <v>97</v>
      </c>
      <c r="HD16">
        <f>SUMPRODUCT(($G$4:$HB$4="ح")*($G16:$HB16=TRUE)*($G$47:$HB$47&gt;$HC$1-8))</f>
        <v>0</v>
      </c>
      <c r="HE16">
        <f>(COUNTIF($G16:$V16,TRUE)&gt;0)*($W16&lt;&gt;TRUE)+(COUNTIF($X16:$AM16,TRUE)&gt;0)*($AN16&lt;&gt;TRUE)+(COUNTIF($AO16:$BD16,TRUE)&gt;0)*($BE16&lt;&gt;TRUE)+(COUNTIF($BF16:$BU16,TRUE)&gt;0)*($BV16&lt;&gt;TRUE)+(COUNTIF($BW16:$CL16,TRUE)&gt;0)*($CM16&lt;&gt;TRUE)+(COUNTIF($CN16:$DC16,TRUE)&gt;0)*($DD16&lt;&gt;TRUE)+(COUNTIF($DE16:$DT16,TRUE)&gt;0)*($DU16&lt;&gt;TRUE)+(COUNTIF($DV16:$EK16,TRUE)&gt;0)*($EL16&lt;&gt;TRUE)+(COUNTIF($EM16:$FB16,TRUE)&gt;0)*($FC16&lt;&gt;TRUE)+(COUNTIF($FD16:$FS16,TRUE)&gt;0)*($FT16&lt;&gt;TRUE)+(COUNTIF($FU16:$GJ16,TRUE)&gt;0)*($GK16&lt;&gt;TRUE)+(COUNTIF($GL16:$HA16,TRUE)&gt;0)*($HB16&lt;&gt;TRUE)</f>
        <v>0</v>
      </c>
      <c r="HF16">
        <f>IF($HE16=0,0,13-MAX((COUNTIF($G16:$V16,TRUE)&gt;0)*($W16&lt;&gt;TRUE)*12,(COUNTIF($X16:$AM16,TRUE)&gt;0)*($AN16&lt;&gt;TRUE)*11,(COUNTIF($AO16:$BD16,TRUE)&gt;0)*($BE16&lt;&gt;TRUE)*10,(COUNTIF($BF16:$BU16,TRUE)&gt;0)*($BV16&lt;&gt;TRUE)*9,(COUNTIF($BW16:$CL16,TRUE)&gt;0)*($CM16&lt;&gt;TRUE)*8,(COUNTIF($CN16:$DC16,TRUE)&gt;0)*($DD16&lt;&gt;TRUE)*7,(COUNTIF($DE16:$DT16,TRUE)&gt;0)*($DU16&lt;&gt;TRUE)*6,(COUNTIF($DV16:$EK16,TRUE)&gt;0)*($EL16&lt;&gt;TRUE)*5,(COUNTIF($EM16:$FB16,TRUE)&gt;0)*($FC16&lt;&gt;TRUE)*4,(COUNTIF($FD16:$FS16,TRUE)&gt;0)*($FT16&lt;&gt;TRUE)*3,(COUNTIF($FU16:$GJ16,TRUE)&gt;0)*($GK16&lt;&gt;TRUE)*2,(COUNTIF($GL16:$HA16,TRUE)&gt;0)*($HB16&lt;&gt;TRUE)*1))</f>
        <v>0</v>
      </c>
    </row>
    <row r="17" ht="22.5" customHeight="1">
      <c r="A17" s="36" t="n">
        <v>13</v>
      </c>
      <c r="B17" s="97" t="n"/>
      <c r="C17" s="28" t="n"/>
      <c r="D17" s="98" t="str">
        <f>IF($B17="","",IF($HC17=97,"-",IF($HD17=0,"متوقف",SUMPRODUCT(($G$4:$HB$4="ح")*($G$20:$HB$20&gt;0)*($G17:$HB17&lt;&gt;TRUE)*($G$47:$HB$47&gt;$HC$1-8)*($G$47:$HB$47&gt;=$HC17)))))</f>
        <v/>
      </c>
      <c r="E17" s="98" t="str">
        <f>IF(OR($B17="",$HC17=97),"",SUMPRODUCT(($G$4:$HA$4="ح")*($G17:$HA17=TRUE)*($H17:$HB17&lt;&gt;TRUE)*($G$47:$HA$47&gt;$HC$1-8)))</f>
        <v/>
      </c>
      <c r="F17" s="99" t="str">
        <f>IF($B17="","",IF($HE17=0,IF($HC17=97,"-","تمام"),IF($HE17=1,IF(INDEX($G$1:$HB$1,1,17*($HF17-1)+1)="","شهر "&amp;$HF17,INDEX($G$1:$HB$1,1,17*($HF17-1)+1)),IF($HE17=2,"شهرين",$HE17&amp;" شهور"))))</f>
        <v/>
      </c>
      <c r="G17" s="100" t="n"/>
      <c r="H17" s="101" t="n"/>
      <c r="I17" s="100" t="n"/>
      <c r="J17" s="101" t="n"/>
      <c r="K17" s="100" t="n"/>
      <c r="L17" s="101" t="n"/>
      <c r="M17" s="100" t="n"/>
      <c r="N17" s="101" t="n"/>
      <c r="O17" s="100" t="n"/>
      <c r="P17" s="101" t="n"/>
      <c r="Q17" s="100" t="n"/>
      <c r="R17" s="101" t="n"/>
      <c r="S17" s="100" t="n"/>
      <c r="T17" s="101" t="n"/>
      <c r="U17" s="100" t="n"/>
      <c r="V17" s="101" t="n"/>
      <c r="W17" s="102" t="n"/>
      <c r="X17" s="103" t="n"/>
      <c r="Y17" s="104" t="n"/>
      <c r="Z17" s="103" t="n"/>
      <c r="AA17" s="104" t="n"/>
      <c r="AB17" s="103" t="n"/>
      <c r="AC17" s="104" t="n"/>
      <c r="AD17" s="103" t="n"/>
      <c r="AE17" s="104" t="n"/>
      <c r="AF17" s="103" t="n"/>
      <c r="AG17" s="104" t="n"/>
      <c r="AH17" s="103" t="n"/>
      <c r="AI17" s="104" t="n"/>
      <c r="AJ17" s="103" t="n"/>
      <c r="AK17" s="104" t="n"/>
      <c r="AL17" s="103" t="n"/>
      <c r="AM17" s="104" t="n"/>
      <c r="AN17" s="105" t="n"/>
      <c r="AO17" s="106" t="n"/>
      <c r="AP17" s="107" t="n"/>
      <c r="AQ17" s="106" t="n"/>
      <c r="AR17" s="107" t="n"/>
      <c r="AS17" s="106" t="n"/>
      <c r="AT17" s="107" t="n"/>
      <c r="AU17" s="106" t="n"/>
      <c r="AV17" s="107" t="n"/>
      <c r="AW17" s="106" t="n"/>
      <c r="AX17" s="107" t="n"/>
      <c r="AY17" s="106" t="n"/>
      <c r="AZ17" s="107" t="n"/>
      <c r="BA17" s="106" t="n"/>
      <c r="BB17" s="107" t="n"/>
      <c r="BC17" s="106" t="n"/>
      <c r="BD17" s="107" t="n"/>
      <c r="BE17" s="108" t="n"/>
      <c r="BF17" s="109" t="n"/>
      <c r="BG17" s="110" t="n"/>
      <c r="BH17" s="109" t="n"/>
      <c r="BI17" s="110" t="n"/>
      <c r="BJ17" s="109" t="n"/>
      <c r="BK17" s="110" t="n"/>
      <c r="BL17" s="109" t="n"/>
      <c r="BM17" s="110" t="n"/>
      <c r="BN17" s="109" t="n"/>
      <c r="BO17" s="110" t="n"/>
      <c r="BP17" s="109" t="n"/>
      <c r="BQ17" s="110" t="n"/>
      <c r="BR17" s="109" t="n"/>
      <c r="BS17" s="110" t="n"/>
      <c r="BT17" s="109" t="n"/>
      <c r="BU17" s="110" t="n"/>
      <c r="BV17" s="111" t="n"/>
      <c r="BW17" s="112" t="n"/>
      <c r="BX17" s="113" t="n"/>
      <c r="BY17" s="112" t="n"/>
      <c r="BZ17" s="113" t="n"/>
      <c r="CA17" s="112" t="n"/>
      <c r="CB17" s="113" t="n"/>
      <c r="CC17" s="112" t="n"/>
      <c r="CD17" s="113" t="n"/>
      <c r="CE17" s="112" t="n"/>
      <c r="CF17" s="113" t="n"/>
      <c r="CG17" s="112" t="n"/>
      <c r="CH17" s="113" t="n"/>
      <c r="CI17" s="112" t="n"/>
      <c r="CJ17" s="113" t="n"/>
      <c r="CK17" s="112" t="n"/>
      <c r="CL17" s="113" t="n"/>
      <c r="CM17" s="114" t="n"/>
      <c r="CN17" s="115" t="n"/>
      <c r="CO17" s="116" t="n"/>
      <c r="CP17" s="115" t="n"/>
      <c r="CQ17" s="116" t="n"/>
      <c r="CR17" s="115" t="n"/>
      <c r="CS17" s="116" t="n"/>
      <c r="CT17" s="115" t="n"/>
      <c r="CU17" s="116" t="n"/>
      <c r="CV17" s="115" t="n"/>
      <c r="CW17" s="116" t="n"/>
      <c r="CX17" s="115" t="n"/>
      <c r="CY17" s="116" t="n"/>
      <c r="CZ17" s="115" t="n"/>
      <c r="DA17" s="116" t="n"/>
      <c r="DB17" s="115" t="n"/>
      <c r="DC17" s="116" t="n"/>
      <c r="DD17" s="117" t="n"/>
      <c r="DE17" s="118" t="n"/>
      <c r="DF17" s="119" t="n"/>
      <c r="DG17" s="118" t="n"/>
      <c r="DH17" s="119" t="n"/>
      <c r="DI17" s="118" t="n"/>
      <c r="DJ17" s="119" t="n"/>
      <c r="DK17" s="118" t="n"/>
      <c r="DL17" s="119" t="n"/>
      <c r="DM17" s="118" t="n"/>
      <c r="DN17" s="119" t="n"/>
      <c r="DO17" s="118" t="n"/>
      <c r="DP17" s="119" t="n"/>
      <c r="DQ17" s="118" t="n"/>
      <c r="DR17" s="119" t="n"/>
      <c r="DS17" s="118" t="n"/>
      <c r="DT17" s="119" t="n"/>
      <c r="DU17" s="120" t="n"/>
      <c r="DV17" s="121" t="n"/>
      <c r="DW17" s="122" t="n"/>
      <c r="DX17" s="121" t="n"/>
      <c r="DY17" s="122" t="n"/>
      <c r="DZ17" s="121" t="n"/>
      <c r="EA17" s="122" t="n"/>
      <c r="EB17" s="121" t="n"/>
      <c r="EC17" s="122" t="n"/>
      <c r="ED17" s="121" t="n"/>
      <c r="EE17" s="122" t="n"/>
      <c r="EF17" s="121" t="n"/>
      <c r="EG17" s="122" t="n"/>
      <c r="EH17" s="121" t="n"/>
      <c r="EI17" s="122" t="n"/>
      <c r="EJ17" s="121" t="n"/>
      <c r="EK17" s="122" t="n"/>
      <c r="EL17" s="123" t="n"/>
      <c r="EM17" s="124" t="n"/>
      <c r="EN17" s="125" t="n"/>
      <c r="EO17" s="124" t="n"/>
      <c r="EP17" s="125" t="n"/>
      <c r="EQ17" s="124" t="n"/>
      <c r="ER17" s="125" t="n"/>
      <c r="ES17" s="124" t="n"/>
      <c r="ET17" s="125" t="n"/>
      <c r="EU17" s="124" t="n"/>
      <c r="EV17" s="125" t="n"/>
      <c r="EW17" s="124" t="n"/>
      <c r="EX17" s="125" t="n"/>
      <c r="EY17" s="124" t="n"/>
      <c r="EZ17" s="125" t="n"/>
      <c r="FA17" s="124" t="n"/>
      <c r="FB17" s="125" t="n"/>
      <c r="FC17" s="126" t="n"/>
      <c r="FD17" s="127" t="n"/>
      <c r="FE17" s="128" t="n"/>
      <c r="FF17" s="127" t="n"/>
      <c r="FG17" s="128" t="n"/>
      <c r="FH17" s="127" t="n"/>
      <c r="FI17" s="128" t="n"/>
      <c r="FJ17" s="127" t="n"/>
      <c r="FK17" s="128" t="n"/>
      <c r="FL17" s="127" t="n"/>
      <c r="FM17" s="128" t="n"/>
      <c r="FN17" s="127" t="n"/>
      <c r="FO17" s="128" t="n"/>
      <c r="FP17" s="127" t="n"/>
      <c r="FQ17" s="128" t="n"/>
      <c r="FR17" s="127" t="n"/>
      <c r="FS17" s="128" t="n"/>
      <c r="FT17" s="129" t="n"/>
      <c r="FU17" s="130" t="n"/>
      <c r="FV17" s="131" t="n"/>
      <c r="FW17" s="130" t="n"/>
      <c r="FX17" s="131" t="n"/>
      <c r="FY17" s="130" t="n"/>
      <c r="FZ17" s="131" t="n"/>
      <c r="GA17" s="130" t="n"/>
      <c r="GB17" s="131" t="n"/>
      <c r="GC17" s="130" t="n"/>
      <c r="GD17" s="131" t="n"/>
      <c r="GE17" s="130" t="n"/>
      <c r="GF17" s="131" t="n"/>
      <c r="GG17" s="130" t="n"/>
      <c r="GH17" s="131" t="n"/>
      <c r="GI17" s="130" t="n"/>
      <c r="GJ17" s="131" t="n"/>
      <c r="GK17" s="132" t="n"/>
      <c r="GL17" s="133" t="n"/>
      <c r="GM17" s="134" t="n"/>
      <c r="GN17" s="133" t="n"/>
      <c r="GO17" s="134" t="n"/>
      <c r="GP17" s="133" t="n"/>
      <c r="GQ17" s="134" t="n"/>
      <c r="GR17" s="133" t="n"/>
      <c r="GS17" s="134" t="n"/>
      <c r="GT17" s="133" t="n"/>
      <c r="GU17" s="134" t="n"/>
      <c r="GV17" s="133" t="n"/>
      <c r="GW17" s="134" t="n"/>
      <c r="GX17" s="133" t="n"/>
      <c r="GY17" s="134" t="n"/>
      <c r="GZ17" s="133" t="n"/>
      <c r="HA17" s="134" t="n"/>
      <c r="HB17" s="135" t="n"/>
      <c r="HC17">
        <f>97-SUMPRODUCT(MAX(($G$4:$HB$4="ح")*($G17:$HB17=TRUE)*(97-$G$47:$HB$47)))</f>
        <v>97</v>
      </c>
      <c r="HD17">
        <f>SUMPRODUCT(($G$4:$HB$4="ح")*($G17:$HB17=TRUE)*($G$47:$HB$47&gt;$HC$1-8))</f>
        <v>0</v>
      </c>
      <c r="HE17">
        <f>(COUNTIF($G17:$V17,TRUE)&gt;0)*($W17&lt;&gt;TRUE)+(COUNTIF($X17:$AM17,TRUE)&gt;0)*($AN17&lt;&gt;TRUE)+(COUNTIF($AO17:$BD17,TRUE)&gt;0)*($BE17&lt;&gt;TRUE)+(COUNTIF($BF17:$BU17,TRUE)&gt;0)*($BV17&lt;&gt;TRUE)+(COUNTIF($BW17:$CL17,TRUE)&gt;0)*($CM17&lt;&gt;TRUE)+(COUNTIF($CN17:$DC17,TRUE)&gt;0)*($DD17&lt;&gt;TRUE)+(COUNTIF($DE17:$DT17,TRUE)&gt;0)*($DU17&lt;&gt;TRUE)+(COUNTIF($DV17:$EK17,TRUE)&gt;0)*($EL17&lt;&gt;TRUE)+(COUNTIF($EM17:$FB17,TRUE)&gt;0)*($FC17&lt;&gt;TRUE)+(COUNTIF($FD17:$FS17,TRUE)&gt;0)*($FT17&lt;&gt;TRUE)+(COUNTIF($FU17:$GJ17,TRUE)&gt;0)*($GK17&lt;&gt;TRUE)+(COUNTIF($GL17:$HA17,TRUE)&gt;0)*($HB17&lt;&gt;TRUE)</f>
        <v>0</v>
      </c>
      <c r="HF17">
        <f>IF($HE17=0,0,13-MAX((COUNTIF($G17:$V17,TRUE)&gt;0)*($W17&lt;&gt;TRUE)*12,(COUNTIF($X17:$AM17,TRUE)&gt;0)*($AN17&lt;&gt;TRUE)*11,(COUNTIF($AO17:$BD17,TRUE)&gt;0)*($BE17&lt;&gt;TRUE)*10,(COUNTIF($BF17:$BU17,TRUE)&gt;0)*($BV17&lt;&gt;TRUE)*9,(COUNTIF($BW17:$CL17,TRUE)&gt;0)*($CM17&lt;&gt;TRUE)*8,(COUNTIF($CN17:$DC17,TRUE)&gt;0)*($DD17&lt;&gt;TRUE)*7,(COUNTIF($DE17:$DT17,TRUE)&gt;0)*($DU17&lt;&gt;TRUE)*6,(COUNTIF($DV17:$EK17,TRUE)&gt;0)*($EL17&lt;&gt;TRUE)*5,(COUNTIF($EM17:$FB17,TRUE)&gt;0)*($FC17&lt;&gt;TRUE)*4,(COUNTIF($FD17:$FS17,TRUE)&gt;0)*($FT17&lt;&gt;TRUE)*3,(COUNTIF($FU17:$GJ17,TRUE)&gt;0)*($GK17&lt;&gt;TRUE)*2,(COUNTIF($GL17:$HA17,TRUE)&gt;0)*($HB17&lt;&gt;TRUE)*1))</f>
        <v>0</v>
      </c>
    </row>
    <row r="18" ht="22.5" customHeight="1">
      <c r="A18" s="36" t="n">
        <v>14</v>
      </c>
      <c r="B18" s="97" t="n"/>
      <c r="C18" s="28" t="n"/>
      <c r="D18" s="98" t="str">
        <f>IF($B18="","",IF($HC18=97,"-",IF($HD18=0,"متوقف",SUMPRODUCT(($G$4:$HB$4="ح")*($G$20:$HB$20&gt;0)*($G18:$HB18&lt;&gt;TRUE)*($G$47:$HB$47&gt;$HC$1-8)*($G$47:$HB$47&gt;=$HC18)))))</f>
        <v/>
      </c>
      <c r="E18" s="98" t="str">
        <f>IF(OR($B18="",$HC18=97),"",SUMPRODUCT(($G$4:$HA$4="ح")*($G18:$HA18=TRUE)*($H18:$HB18&lt;&gt;TRUE)*($G$47:$HA$47&gt;$HC$1-8)))</f>
        <v/>
      </c>
      <c r="F18" s="99" t="str">
        <f>IF($B18="","",IF($HE18=0,IF($HC18=97,"-","تمام"),IF($HE18=1,IF(INDEX($G$1:$HB$1,1,17*($HF18-1)+1)="","شهر "&amp;$HF18,INDEX($G$1:$HB$1,1,17*($HF18-1)+1)),IF($HE18=2,"شهرين",$HE18&amp;" شهور"))))</f>
        <v/>
      </c>
      <c r="G18" s="100" t="n"/>
      <c r="H18" s="101" t="n"/>
      <c r="I18" s="100" t="n"/>
      <c r="J18" s="101" t="n"/>
      <c r="K18" s="100" t="n"/>
      <c r="L18" s="101" t="n"/>
      <c r="M18" s="100" t="n"/>
      <c r="N18" s="101" t="n"/>
      <c r="O18" s="100" t="n"/>
      <c r="P18" s="101" t="n"/>
      <c r="Q18" s="100" t="n"/>
      <c r="R18" s="101" t="n"/>
      <c r="S18" s="100" t="n"/>
      <c r="T18" s="101" t="n"/>
      <c r="U18" s="100" t="n"/>
      <c r="V18" s="101" t="n"/>
      <c r="W18" s="102" t="n"/>
      <c r="X18" s="103" t="n"/>
      <c r="Y18" s="104" t="n"/>
      <c r="Z18" s="103" t="n"/>
      <c r="AA18" s="104" t="n"/>
      <c r="AB18" s="103" t="n"/>
      <c r="AC18" s="104" t="n"/>
      <c r="AD18" s="103" t="n"/>
      <c r="AE18" s="104" t="n"/>
      <c r="AF18" s="103" t="n"/>
      <c r="AG18" s="104" t="n"/>
      <c r="AH18" s="103" t="n"/>
      <c r="AI18" s="104" t="n"/>
      <c r="AJ18" s="103" t="n"/>
      <c r="AK18" s="104" t="n"/>
      <c r="AL18" s="103" t="n"/>
      <c r="AM18" s="104" t="n"/>
      <c r="AN18" s="105" t="n"/>
      <c r="AO18" s="106" t="n"/>
      <c r="AP18" s="107" t="n"/>
      <c r="AQ18" s="106" t="n"/>
      <c r="AR18" s="107" t="n"/>
      <c r="AS18" s="106" t="n"/>
      <c r="AT18" s="107" t="n"/>
      <c r="AU18" s="106" t="n"/>
      <c r="AV18" s="107" t="n"/>
      <c r="AW18" s="106" t="n"/>
      <c r="AX18" s="107" t="n"/>
      <c r="AY18" s="106" t="n"/>
      <c r="AZ18" s="107" t="n"/>
      <c r="BA18" s="106" t="n"/>
      <c r="BB18" s="107" t="n"/>
      <c r="BC18" s="106" t="n"/>
      <c r="BD18" s="107" t="n"/>
      <c r="BE18" s="108" t="n"/>
      <c r="BF18" s="109" t="n"/>
      <c r="BG18" s="110" t="n"/>
      <c r="BH18" s="109" t="n"/>
      <c r="BI18" s="110" t="n"/>
      <c r="BJ18" s="109" t="n"/>
      <c r="BK18" s="110" t="n"/>
      <c r="BL18" s="109" t="n"/>
      <c r="BM18" s="110" t="n"/>
      <c r="BN18" s="109" t="n"/>
      <c r="BO18" s="110" t="n"/>
      <c r="BP18" s="109" t="n"/>
      <c r="BQ18" s="110" t="n"/>
      <c r="BR18" s="109" t="n"/>
      <c r="BS18" s="110" t="n"/>
      <c r="BT18" s="109" t="n"/>
      <c r="BU18" s="110" t="n"/>
      <c r="BV18" s="111" t="n"/>
      <c r="BW18" s="112" t="n"/>
      <c r="BX18" s="113" t="n"/>
      <c r="BY18" s="112" t="n"/>
      <c r="BZ18" s="113" t="n"/>
      <c r="CA18" s="112" t="n"/>
      <c r="CB18" s="113" t="n"/>
      <c r="CC18" s="112" t="n"/>
      <c r="CD18" s="113" t="n"/>
      <c r="CE18" s="112" t="n"/>
      <c r="CF18" s="113" t="n"/>
      <c r="CG18" s="112" t="n"/>
      <c r="CH18" s="113" t="n"/>
      <c r="CI18" s="112" t="n"/>
      <c r="CJ18" s="113" t="n"/>
      <c r="CK18" s="112" t="n"/>
      <c r="CL18" s="113" t="n"/>
      <c r="CM18" s="114" t="n"/>
      <c r="CN18" s="115" t="n"/>
      <c r="CO18" s="116" t="n"/>
      <c r="CP18" s="115" t="n"/>
      <c r="CQ18" s="116" t="n"/>
      <c r="CR18" s="115" t="n"/>
      <c r="CS18" s="116" t="n"/>
      <c r="CT18" s="115" t="n"/>
      <c r="CU18" s="116" t="n"/>
      <c r="CV18" s="115" t="n"/>
      <c r="CW18" s="116" t="n"/>
      <c r="CX18" s="115" t="n"/>
      <c r="CY18" s="116" t="n"/>
      <c r="CZ18" s="115" t="n"/>
      <c r="DA18" s="116" t="n"/>
      <c r="DB18" s="115" t="n"/>
      <c r="DC18" s="116" t="n"/>
      <c r="DD18" s="117" t="n"/>
      <c r="DE18" s="118" t="n"/>
      <c r="DF18" s="119" t="n"/>
      <c r="DG18" s="118" t="n"/>
      <c r="DH18" s="119" t="n"/>
      <c r="DI18" s="118" t="n"/>
      <c r="DJ18" s="119" t="n"/>
      <c r="DK18" s="118" t="n"/>
      <c r="DL18" s="119" t="n"/>
      <c r="DM18" s="118" t="n"/>
      <c r="DN18" s="119" t="n"/>
      <c r="DO18" s="118" t="n"/>
      <c r="DP18" s="119" t="n"/>
      <c r="DQ18" s="118" t="n"/>
      <c r="DR18" s="119" t="n"/>
      <c r="DS18" s="118" t="n"/>
      <c r="DT18" s="119" t="n"/>
      <c r="DU18" s="120" t="n"/>
      <c r="DV18" s="121" t="n"/>
      <c r="DW18" s="122" t="n"/>
      <c r="DX18" s="121" t="n"/>
      <c r="DY18" s="122" t="n"/>
      <c r="DZ18" s="121" t="n"/>
      <c r="EA18" s="122" t="n"/>
      <c r="EB18" s="121" t="n"/>
      <c r="EC18" s="122" t="n"/>
      <c r="ED18" s="121" t="n"/>
      <c r="EE18" s="122" t="n"/>
      <c r="EF18" s="121" t="n"/>
      <c r="EG18" s="122" t="n"/>
      <c r="EH18" s="121" t="n"/>
      <c r="EI18" s="122" t="n"/>
      <c r="EJ18" s="121" t="n"/>
      <c r="EK18" s="122" t="n"/>
      <c r="EL18" s="123" t="n"/>
      <c r="EM18" s="124" t="n"/>
      <c r="EN18" s="125" t="n"/>
      <c r="EO18" s="124" t="n"/>
      <c r="EP18" s="125" t="n"/>
      <c r="EQ18" s="124" t="n"/>
      <c r="ER18" s="125" t="n"/>
      <c r="ES18" s="124" t="n"/>
      <c r="ET18" s="125" t="n"/>
      <c r="EU18" s="124" t="n"/>
      <c r="EV18" s="125" t="n"/>
      <c r="EW18" s="124" t="n"/>
      <c r="EX18" s="125" t="n"/>
      <c r="EY18" s="124" t="n"/>
      <c r="EZ18" s="125" t="n"/>
      <c r="FA18" s="124" t="n"/>
      <c r="FB18" s="125" t="n"/>
      <c r="FC18" s="126" t="n"/>
      <c r="FD18" s="127" t="n"/>
      <c r="FE18" s="128" t="n"/>
      <c r="FF18" s="127" t="n"/>
      <c r="FG18" s="128" t="n"/>
      <c r="FH18" s="127" t="n"/>
      <c r="FI18" s="128" t="n"/>
      <c r="FJ18" s="127" t="n"/>
      <c r="FK18" s="128" t="n"/>
      <c r="FL18" s="127" t="n"/>
      <c r="FM18" s="128" t="n"/>
      <c r="FN18" s="127" t="n"/>
      <c r="FO18" s="128" t="n"/>
      <c r="FP18" s="127" t="n"/>
      <c r="FQ18" s="128" t="n"/>
      <c r="FR18" s="127" t="n"/>
      <c r="FS18" s="128" t="n"/>
      <c r="FT18" s="129" t="n"/>
      <c r="FU18" s="130" t="n"/>
      <c r="FV18" s="131" t="n"/>
      <c r="FW18" s="130" t="n"/>
      <c r="FX18" s="131" t="n"/>
      <c r="FY18" s="130" t="n"/>
      <c r="FZ18" s="131" t="n"/>
      <c r="GA18" s="130" t="n"/>
      <c r="GB18" s="131" t="n"/>
      <c r="GC18" s="130" t="n"/>
      <c r="GD18" s="131" t="n"/>
      <c r="GE18" s="130" t="n"/>
      <c r="GF18" s="131" t="n"/>
      <c r="GG18" s="130" t="n"/>
      <c r="GH18" s="131" t="n"/>
      <c r="GI18" s="130" t="n"/>
      <c r="GJ18" s="131" t="n"/>
      <c r="GK18" s="132" t="n"/>
      <c r="GL18" s="133" t="n"/>
      <c r="GM18" s="134" t="n"/>
      <c r="GN18" s="133" t="n"/>
      <c r="GO18" s="134" t="n"/>
      <c r="GP18" s="133" t="n"/>
      <c r="GQ18" s="134" t="n"/>
      <c r="GR18" s="133" t="n"/>
      <c r="GS18" s="134" t="n"/>
      <c r="GT18" s="133" t="n"/>
      <c r="GU18" s="134" t="n"/>
      <c r="GV18" s="133" t="n"/>
      <c r="GW18" s="134" t="n"/>
      <c r="GX18" s="133" t="n"/>
      <c r="GY18" s="134" t="n"/>
      <c r="GZ18" s="133" t="n"/>
      <c r="HA18" s="134" t="n"/>
      <c r="HB18" s="135" t="n"/>
      <c r="HC18">
        <f>97-SUMPRODUCT(MAX(($G$4:$HB$4="ح")*($G18:$HB18=TRUE)*(97-$G$47:$HB$47)))</f>
        <v>97</v>
      </c>
      <c r="HD18">
        <f>SUMPRODUCT(($G$4:$HB$4="ح")*($G18:$HB18=TRUE)*($G$47:$HB$47&gt;$HC$1-8))</f>
        <v>0</v>
      </c>
      <c r="HE18">
        <f>(COUNTIF($G18:$V18,TRUE)&gt;0)*($W18&lt;&gt;TRUE)+(COUNTIF($X18:$AM18,TRUE)&gt;0)*($AN18&lt;&gt;TRUE)+(COUNTIF($AO18:$BD18,TRUE)&gt;0)*($BE18&lt;&gt;TRUE)+(COUNTIF($BF18:$BU18,TRUE)&gt;0)*($BV18&lt;&gt;TRUE)+(COUNTIF($BW18:$CL18,TRUE)&gt;0)*($CM18&lt;&gt;TRUE)+(COUNTIF($CN18:$DC18,TRUE)&gt;0)*($DD18&lt;&gt;TRUE)+(COUNTIF($DE18:$DT18,TRUE)&gt;0)*($DU18&lt;&gt;TRUE)+(COUNTIF($DV18:$EK18,TRUE)&gt;0)*($EL18&lt;&gt;TRUE)+(COUNTIF($EM18:$FB18,TRUE)&gt;0)*($FC18&lt;&gt;TRUE)+(COUNTIF($FD18:$FS18,TRUE)&gt;0)*($FT18&lt;&gt;TRUE)+(COUNTIF($FU18:$GJ18,TRUE)&gt;0)*($GK18&lt;&gt;TRUE)+(COUNTIF($GL18:$HA18,TRUE)&gt;0)*($HB18&lt;&gt;TRUE)</f>
        <v>0</v>
      </c>
      <c r="HF18">
        <f>IF($HE18=0,0,13-MAX((COUNTIF($G18:$V18,TRUE)&gt;0)*($W18&lt;&gt;TRUE)*12,(COUNTIF($X18:$AM18,TRUE)&gt;0)*($AN18&lt;&gt;TRUE)*11,(COUNTIF($AO18:$BD18,TRUE)&gt;0)*($BE18&lt;&gt;TRUE)*10,(COUNTIF($BF18:$BU18,TRUE)&gt;0)*($BV18&lt;&gt;TRUE)*9,(COUNTIF($BW18:$CL18,TRUE)&gt;0)*($CM18&lt;&gt;TRUE)*8,(COUNTIF($CN18:$DC18,TRUE)&gt;0)*($DD18&lt;&gt;TRUE)*7,(COUNTIF($DE18:$DT18,TRUE)&gt;0)*($DU18&lt;&gt;TRUE)*6,(COUNTIF($DV18:$EK18,TRUE)&gt;0)*($EL18&lt;&gt;TRUE)*5,(COUNTIF($EM18:$FB18,TRUE)&gt;0)*($FC18&lt;&gt;TRUE)*4,(COUNTIF($FD18:$FS18,TRUE)&gt;0)*($FT18&lt;&gt;TRUE)*3,(COUNTIF($FU18:$GJ18,TRUE)&gt;0)*($GK18&lt;&gt;TRUE)*2,(COUNTIF($GL18:$HA18,TRUE)&gt;0)*($HB18&lt;&gt;TRUE)*1))</f>
        <v>0</v>
      </c>
    </row>
    <row r="19" ht="22.5" customHeight="1">
      <c r="A19" s="36" t="n">
        <v>15</v>
      </c>
      <c r="B19" s="97" t="n"/>
      <c r="C19" s="28" t="n"/>
      <c r="D19" s="98" t="str">
        <f>IF($B19="","",IF($HC19=97,"-",IF($HD19=0,"متوقف",SUMPRODUCT(($G$4:$HB$4="ح")*($G$20:$HB$20&gt;0)*($G19:$HB19&lt;&gt;TRUE)*($G$47:$HB$47&gt;$HC$1-8)*($G$47:$HB$47&gt;=$HC19)))))</f>
        <v/>
      </c>
      <c r="E19" s="98" t="str">
        <f>IF(OR($B19="",$HC19=97),"",SUMPRODUCT(($G$4:$HA$4="ح")*($G19:$HA19=TRUE)*($H19:$HB19&lt;&gt;TRUE)*($G$47:$HA$47&gt;$HC$1-8)))</f>
        <v/>
      </c>
      <c r="F19" s="99" t="str">
        <f>IF($B19="","",IF($HE19=0,IF($HC19=97,"-","تمام"),IF($HE19=1,IF(INDEX($G$1:$HB$1,1,17*($HF19-1)+1)="","شهر "&amp;$HF19,INDEX($G$1:$HB$1,1,17*($HF19-1)+1)),IF($HE19=2,"شهرين",$HE19&amp;" شهور"))))</f>
        <v/>
      </c>
      <c r="G19" s="100" t="n"/>
      <c r="H19" s="101" t="n"/>
      <c r="I19" s="100" t="n"/>
      <c r="J19" s="101" t="n"/>
      <c r="K19" s="100" t="n"/>
      <c r="L19" s="101" t="n"/>
      <c r="M19" s="100" t="n"/>
      <c r="N19" s="101" t="n"/>
      <c r="O19" s="100" t="n"/>
      <c r="P19" s="101" t="n"/>
      <c r="Q19" s="100" t="n"/>
      <c r="R19" s="101" t="n"/>
      <c r="S19" s="100" t="n"/>
      <c r="T19" s="101" t="n"/>
      <c r="U19" s="100" t="n"/>
      <c r="V19" s="101" t="n"/>
      <c r="W19" s="102" t="n"/>
      <c r="X19" s="103" t="n"/>
      <c r="Y19" s="104" t="n"/>
      <c r="Z19" s="103" t="n"/>
      <c r="AA19" s="104" t="n"/>
      <c r="AB19" s="103" t="n"/>
      <c r="AC19" s="104" t="n"/>
      <c r="AD19" s="103" t="n"/>
      <c r="AE19" s="104" t="n"/>
      <c r="AF19" s="103" t="n"/>
      <c r="AG19" s="104" t="n"/>
      <c r="AH19" s="103" t="n"/>
      <c r="AI19" s="104" t="n"/>
      <c r="AJ19" s="103" t="n"/>
      <c r="AK19" s="104" t="n"/>
      <c r="AL19" s="103" t="n"/>
      <c r="AM19" s="104" t="n"/>
      <c r="AN19" s="105" t="n"/>
      <c r="AO19" s="106" t="n"/>
      <c r="AP19" s="107" t="n"/>
      <c r="AQ19" s="106" t="n"/>
      <c r="AR19" s="107" t="n"/>
      <c r="AS19" s="106" t="n"/>
      <c r="AT19" s="107" t="n"/>
      <c r="AU19" s="106" t="n"/>
      <c r="AV19" s="107" t="n"/>
      <c r="AW19" s="106" t="n"/>
      <c r="AX19" s="107" t="n"/>
      <c r="AY19" s="106" t="n"/>
      <c r="AZ19" s="107" t="n"/>
      <c r="BA19" s="106" t="n"/>
      <c r="BB19" s="107" t="n"/>
      <c r="BC19" s="106" t="n"/>
      <c r="BD19" s="107" t="n"/>
      <c r="BE19" s="108" t="n"/>
      <c r="BF19" s="109" t="n"/>
      <c r="BG19" s="110" t="n"/>
      <c r="BH19" s="109" t="n"/>
      <c r="BI19" s="110" t="n"/>
      <c r="BJ19" s="109" t="n"/>
      <c r="BK19" s="110" t="n"/>
      <c r="BL19" s="109" t="n"/>
      <c r="BM19" s="110" t="n"/>
      <c r="BN19" s="109" t="n"/>
      <c r="BO19" s="110" t="n"/>
      <c r="BP19" s="109" t="n"/>
      <c r="BQ19" s="110" t="n"/>
      <c r="BR19" s="109" t="n"/>
      <c r="BS19" s="110" t="n"/>
      <c r="BT19" s="109" t="n"/>
      <c r="BU19" s="110" t="n"/>
      <c r="BV19" s="111" t="n"/>
      <c r="BW19" s="112" t="n"/>
      <c r="BX19" s="113" t="n"/>
      <c r="BY19" s="112" t="n"/>
      <c r="BZ19" s="113" t="n"/>
      <c r="CA19" s="112" t="n"/>
      <c r="CB19" s="113" t="n"/>
      <c r="CC19" s="112" t="n"/>
      <c r="CD19" s="113" t="n"/>
      <c r="CE19" s="112" t="n"/>
      <c r="CF19" s="113" t="n"/>
      <c r="CG19" s="112" t="n"/>
      <c r="CH19" s="113" t="n"/>
      <c r="CI19" s="112" t="n"/>
      <c r="CJ19" s="113" t="n"/>
      <c r="CK19" s="112" t="n"/>
      <c r="CL19" s="113" t="n"/>
      <c r="CM19" s="114" t="n"/>
      <c r="CN19" s="115" t="n"/>
      <c r="CO19" s="116" t="n"/>
      <c r="CP19" s="115" t="n"/>
      <c r="CQ19" s="116" t="n"/>
      <c r="CR19" s="115" t="n"/>
      <c r="CS19" s="116" t="n"/>
      <c r="CT19" s="115" t="n"/>
      <c r="CU19" s="116" t="n"/>
      <c r="CV19" s="115" t="n"/>
      <c r="CW19" s="116" t="n"/>
      <c r="CX19" s="115" t="n"/>
      <c r="CY19" s="116" t="n"/>
      <c r="CZ19" s="115" t="n"/>
      <c r="DA19" s="116" t="n"/>
      <c r="DB19" s="115" t="n"/>
      <c r="DC19" s="116" t="n"/>
      <c r="DD19" s="117" t="n"/>
      <c r="DE19" s="118" t="n"/>
      <c r="DF19" s="119" t="n"/>
      <c r="DG19" s="118" t="n"/>
      <c r="DH19" s="119" t="n"/>
      <c r="DI19" s="118" t="n"/>
      <c r="DJ19" s="119" t="n"/>
      <c r="DK19" s="118" t="n"/>
      <c r="DL19" s="119" t="n"/>
      <c r="DM19" s="118" t="n"/>
      <c r="DN19" s="119" t="n"/>
      <c r="DO19" s="118" t="n"/>
      <c r="DP19" s="119" t="n"/>
      <c r="DQ19" s="118" t="n"/>
      <c r="DR19" s="119" t="n"/>
      <c r="DS19" s="118" t="n"/>
      <c r="DT19" s="119" t="n"/>
      <c r="DU19" s="120" t="n"/>
      <c r="DV19" s="121" t="n"/>
      <c r="DW19" s="122" t="n"/>
      <c r="DX19" s="121" t="n"/>
      <c r="DY19" s="122" t="n"/>
      <c r="DZ19" s="121" t="n"/>
      <c r="EA19" s="122" t="n"/>
      <c r="EB19" s="121" t="n"/>
      <c r="EC19" s="122" t="n"/>
      <c r="ED19" s="121" t="n"/>
      <c r="EE19" s="122" t="n"/>
      <c r="EF19" s="121" t="n"/>
      <c r="EG19" s="122" t="n"/>
      <c r="EH19" s="121" t="n"/>
      <c r="EI19" s="122" t="n"/>
      <c r="EJ19" s="121" t="n"/>
      <c r="EK19" s="122" t="n"/>
      <c r="EL19" s="123" t="n"/>
      <c r="EM19" s="124" t="n"/>
      <c r="EN19" s="125" t="n"/>
      <c r="EO19" s="124" t="n"/>
      <c r="EP19" s="125" t="n"/>
      <c r="EQ19" s="124" t="n"/>
      <c r="ER19" s="125" t="n"/>
      <c r="ES19" s="124" t="n"/>
      <c r="ET19" s="125" t="n"/>
      <c r="EU19" s="124" t="n"/>
      <c r="EV19" s="125" t="n"/>
      <c r="EW19" s="124" t="n"/>
      <c r="EX19" s="125" t="n"/>
      <c r="EY19" s="124" t="n"/>
      <c r="EZ19" s="125" t="n"/>
      <c r="FA19" s="124" t="n"/>
      <c r="FB19" s="125" t="n"/>
      <c r="FC19" s="126" t="n"/>
      <c r="FD19" s="127" t="n"/>
      <c r="FE19" s="128" t="n"/>
      <c r="FF19" s="127" t="n"/>
      <c r="FG19" s="128" t="n"/>
      <c r="FH19" s="127" t="n"/>
      <c r="FI19" s="128" t="n"/>
      <c r="FJ19" s="127" t="n"/>
      <c r="FK19" s="128" t="n"/>
      <c r="FL19" s="127" t="n"/>
      <c r="FM19" s="128" t="n"/>
      <c r="FN19" s="127" t="n"/>
      <c r="FO19" s="128" t="n"/>
      <c r="FP19" s="127" t="n"/>
      <c r="FQ19" s="128" t="n"/>
      <c r="FR19" s="127" t="n"/>
      <c r="FS19" s="128" t="n"/>
      <c r="FT19" s="129" t="n"/>
      <c r="FU19" s="130" t="n"/>
      <c r="FV19" s="131" t="n"/>
      <c r="FW19" s="130" t="n"/>
      <c r="FX19" s="131" t="n"/>
      <c r="FY19" s="130" t="n"/>
      <c r="FZ19" s="131" t="n"/>
      <c r="GA19" s="130" t="n"/>
      <c r="GB19" s="131" t="n"/>
      <c r="GC19" s="130" t="n"/>
      <c r="GD19" s="131" t="n"/>
      <c r="GE19" s="130" t="n"/>
      <c r="GF19" s="131" t="n"/>
      <c r="GG19" s="130" t="n"/>
      <c r="GH19" s="131" t="n"/>
      <c r="GI19" s="130" t="n"/>
      <c r="GJ19" s="131" t="n"/>
      <c r="GK19" s="132" t="n"/>
      <c r="GL19" s="133" t="n"/>
      <c r="GM19" s="134" t="n"/>
      <c r="GN19" s="133" t="n"/>
      <c r="GO19" s="134" t="n"/>
      <c r="GP19" s="133" t="n"/>
      <c r="GQ19" s="134" t="n"/>
      <c r="GR19" s="133" t="n"/>
      <c r="GS19" s="134" t="n"/>
      <c r="GT19" s="133" t="n"/>
      <c r="GU19" s="134" t="n"/>
      <c r="GV19" s="133" t="n"/>
      <c r="GW19" s="134" t="n"/>
      <c r="GX19" s="133" t="n"/>
      <c r="GY19" s="134" t="n"/>
      <c r="GZ19" s="133" t="n"/>
      <c r="HA19" s="134" t="n"/>
      <c r="HB19" s="135" t="n"/>
      <c r="HC19">
        <f>97-SUMPRODUCT(MAX(($G$4:$HB$4="ح")*($G19:$HB19=TRUE)*(97-$G$47:$HB$47)))</f>
        <v>97</v>
      </c>
      <c r="HD19">
        <f>SUMPRODUCT(($G$4:$HB$4="ح")*($G19:$HB19=TRUE)*($G$47:$HB$47&gt;$HC$1-8))</f>
        <v>0</v>
      </c>
      <c r="HE19">
        <f>(COUNTIF($G19:$V19,TRUE)&gt;0)*($W19&lt;&gt;TRUE)+(COUNTIF($X19:$AM19,TRUE)&gt;0)*($AN19&lt;&gt;TRUE)+(COUNTIF($AO19:$BD19,TRUE)&gt;0)*($BE19&lt;&gt;TRUE)+(COUNTIF($BF19:$BU19,TRUE)&gt;0)*($BV19&lt;&gt;TRUE)+(COUNTIF($BW19:$CL19,TRUE)&gt;0)*($CM19&lt;&gt;TRUE)+(COUNTIF($CN19:$DC19,TRUE)&gt;0)*($DD19&lt;&gt;TRUE)+(COUNTIF($DE19:$DT19,TRUE)&gt;0)*($DU19&lt;&gt;TRUE)+(COUNTIF($DV19:$EK19,TRUE)&gt;0)*($EL19&lt;&gt;TRUE)+(COUNTIF($EM19:$FB19,TRUE)&gt;0)*($FC19&lt;&gt;TRUE)+(COUNTIF($FD19:$FS19,TRUE)&gt;0)*($FT19&lt;&gt;TRUE)+(COUNTIF($FU19:$GJ19,TRUE)&gt;0)*($GK19&lt;&gt;TRUE)+(COUNTIF($GL19:$HA19,TRUE)&gt;0)*($HB19&lt;&gt;TRUE)</f>
        <v>0</v>
      </c>
      <c r="HF19">
        <f>IF($HE19=0,0,13-MAX((COUNTIF($G19:$V19,TRUE)&gt;0)*($W19&lt;&gt;TRUE)*12,(COUNTIF($X19:$AM19,TRUE)&gt;0)*($AN19&lt;&gt;TRUE)*11,(COUNTIF($AO19:$BD19,TRUE)&gt;0)*($BE19&lt;&gt;TRUE)*10,(COUNTIF($BF19:$BU19,TRUE)&gt;0)*($BV19&lt;&gt;TRUE)*9,(COUNTIF($BW19:$CL19,TRUE)&gt;0)*($CM19&lt;&gt;TRUE)*8,(COUNTIF($CN19:$DC19,TRUE)&gt;0)*($DD19&lt;&gt;TRUE)*7,(COUNTIF($DE19:$DT19,TRUE)&gt;0)*($DU19&lt;&gt;TRUE)*6,(COUNTIF($DV19:$EK19,TRUE)&gt;0)*($EL19&lt;&gt;TRUE)*5,(COUNTIF($EM19:$FB19,TRUE)&gt;0)*($FC19&lt;&gt;TRUE)*4,(COUNTIF($FD19:$FS19,TRUE)&gt;0)*($FT19&lt;&gt;TRUE)*3,(COUNTIF($FU19:$GJ19,TRUE)&gt;0)*($GK19&lt;&gt;TRUE)*2,(COUNTIF($GL19:$HA19,TRUE)&gt;0)*($HB19&lt;&gt;TRUE)*1))</f>
        <v>0</v>
      </c>
    </row>
    <row r="20" ht="16.5" customHeight="1">
      <c r="A20" s="36" t="inlineStr">
        <is>
          <t>العدد</t>
        </is>
      </c>
      <c r="B20" s="4" t="n"/>
      <c r="C20" s="136" t="n"/>
      <c r="D20" s="13" t="n"/>
      <c r="E20" s="13" t="n"/>
      <c r="F20" s="4" t="n"/>
      <c r="G20" s="137">
        <f>COUNTIF(G5:G19,TRUE)</f>
        <v>0</v>
      </c>
      <c r="H20" s="137">
        <f>COUNTIF(H5:H19,TRUE)</f>
        <v>0</v>
      </c>
      <c r="I20" s="137">
        <f>COUNTIF(I5:I19,TRUE)</f>
        <v>0</v>
      </c>
      <c r="J20" s="137">
        <f>COUNTIF(J5:J19,TRUE)</f>
        <v>0</v>
      </c>
      <c r="K20" s="137">
        <f>COUNTIF(K5:K19,TRUE)</f>
        <v>0</v>
      </c>
      <c r="L20" s="137">
        <f>COUNTIF(L5:L19,TRUE)</f>
        <v>0</v>
      </c>
      <c r="M20" s="137">
        <f>COUNTIF(M5:M19,TRUE)</f>
        <v>0</v>
      </c>
      <c r="N20" s="137">
        <f>COUNTIF(N5:N19,TRUE)</f>
        <v>0</v>
      </c>
      <c r="O20" s="137">
        <f>COUNTIF(O5:O19,TRUE)</f>
        <v>0</v>
      </c>
      <c r="P20" s="137">
        <f>COUNTIF(P5:P19,TRUE)</f>
        <v>0</v>
      </c>
      <c r="Q20" s="137">
        <f>COUNTIF(Q5:Q19,TRUE)</f>
        <v>0</v>
      </c>
      <c r="R20" s="137">
        <f>COUNTIF(R5:R19,TRUE)</f>
        <v>0</v>
      </c>
      <c r="S20" s="137">
        <f>COUNTIF(S5:S19,TRUE)</f>
        <v>0</v>
      </c>
      <c r="T20" s="137">
        <f>COUNTIF(T5:T19,TRUE)</f>
        <v>0</v>
      </c>
      <c r="U20" s="137">
        <f>COUNTIF(U5:U19,TRUE)</f>
        <v>0</v>
      </c>
      <c r="V20" s="137">
        <f>COUNTIF(V5:V19,TRUE)</f>
        <v>0</v>
      </c>
      <c r="W20" s="137">
        <f>COUNTIF(W5:W19,TRUE)</f>
        <v>0</v>
      </c>
      <c r="X20" s="137">
        <f>COUNTIF(X5:X19,TRUE)</f>
        <v>0</v>
      </c>
      <c r="Y20" s="137">
        <f>COUNTIF(Y5:Y19,TRUE)</f>
        <v>0</v>
      </c>
      <c r="Z20" s="137">
        <f>COUNTIF(Z5:Z19,TRUE)</f>
        <v>0</v>
      </c>
      <c r="AA20" s="137">
        <f>COUNTIF(AA5:AA19,TRUE)</f>
        <v>0</v>
      </c>
      <c r="AB20" s="137">
        <f>COUNTIF(AB5:AB19,TRUE)</f>
        <v>0</v>
      </c>
      <c r="AC20" s="137">
        <f>COUNTIF(AC5:AC19,TRUE)</f>
        <v>0</v>
      </c>
      <c r="AD20" s="137">
        <f>COUNTIF(AD5:AD19,TRUE)</f>
        <v>0</v>
      </c>
      <c r="AE20" s="137">
        <f>COUNTIF(AE5:AE19,TRUE)</f>
        <v>0</v>
      </c>
      <c r="AF20" s="137">
        <f>COUNTIF(AF5:AF19,TRUE)</f>
        <v>0</v>
      </c>
      <c r="AG20" s="137">
        <f>COUNTIF(AG5:AG19,TRUE)</f>
        <v>0</v>
      </c>
      <c r="AH20" s="137">
        <f>COUNTIF(AH5:AH19,TRUE)</f>
        <v>0</v>
      </c>
      <c r="AI20" s="137">
        <f>COUNTIF(AI5:AI19,TRUE)</f>
        <v>0</v>
      </c>
      <c r="AJ20" s="137">
        <f>COUNTIF(AJ5:AJ19,TRUE)</f>
        <v>0</v>
      </c>
      <c r="AK20" s="137">
        <f>COUNTIF(AK5:AK19,TRUE)</f>
        <v>0</v>
      </c>
      <c r="AL20" s="137">
        <f>COUNTIF(AL5:AL19,TRUE)</f>
        <v>0</v>
      </c>
      <c r="AM20" s="137">
        <f>COUNTIF(AM5:AM19,TRUE)</f>
        <v>0</v>
      </c>
      <c r="AN20" s="137">
        <f>COUNTIF(AN5:AN19,TRUE)</f>
        <v>0</v>
      </c>
      <c r="AO20" s="137">
        <f>COUNTIF(AO5:AO19,TRUE)</f>
        <v>0</v>
      </c>
      <c r="AP20" s="137">
        <f>COUNTIF(AP5:AP19,TRUE)</f>
        <v>0</v>
      </c>
      <c r="AQ20" s="137">
        <f>COUNTIF(AQ5:AQ19,TRUE)</f>
        <v>0</v>
      </c>
      <c r="AR20" s="137">
        <f>COUNTIF(AR5:AR19,TRUE)</f>
        <v>0</v>
      </c>
      <c r="AS20" s="137">
        <f>COUNTIF(AS5:AS19,TRUE)</f>
        <v>0</v>
      </c>
      <c r="AT20" s="137">
        <f>COUNTIF(AT5:AT19,TRUE)</f>
        <v>0</v>
      </c>
      <c r="AU20" s="137">
        <f>COUNTIF(AU5:AU19,TRUE)</f>
        <v>0</v>
      </c>
      <c r="AV20" s="137">
        <f>COUNTIF(AV5:AV19,TRUE)</f>
        <v>0</v>
      </c>
      <c r="AW20" s="137">
        <f>COUNTIF(AW5:AW19,TRUE)</f>
        <v>0</v>
      </c>
      <c r="AX20" s="137">
        <f>COUNTIF(AX5:AX19,TRUE)</f>
        <v>0</v>
      </c>
      <c r="AY20" s="137">
        <f>COUNTIF(AY5:AY19,TRUE)</f>
        <v>0</v>
      </c>
      <c r="AZ20" s="137">
        <f>COUNTIF(AZ5:AZ19,TRUE)</f>
        <v>0</v>
      </c>
      <c r="BA20" s="137">
        <f>COUNTIF(BA5:BA19,TRUE)</f>
        <v>0</v>
      </c>
      <c r="BB20" s="137">
        <f>COUNTIF(BB5:BB19,TRUE)</f>
        <v>0</v>
      </c>
      <c r="BC20" s="137">
        <f>COUNTIF(BC5:BC19,TRUE)</f>
        <v>0</v>
      </c>
      <c r="BD20" s="137">
        <f>COUNTIF(BD5:BD19,TRUE)</f>
        <v>0</v>
      </c>
      <c r="BE20" s="137">
        <f>COUNTIF(BE5:BE19,TRUE)</f>
        <v>0</v>
      </c>
      <c r="BF20" s="137">
        <f>COUNTIF(BF5:BF19,TRUE)</f>
        <v>0</v>
      </c>
      <c r="BG20" s="137">
        <f>COUNTIF(BG5:BG19,TRUE)</f>
        <v>0</v>
      </c>
      <c r="BH20" s="137">
        <f>COUNTIF(BH5:BH19,TRUE)</f>
        <v>0</v>
      </c>
      <c r="BI20" s="137">
        <f>COUNTIF(BI5:BI19,TRUE)</f>
        <v>0</v>
      </c>
      <c r="BJ20" s="137">
        <f>COUNTIF(BJ5:BJ19,TRUE)</f>
        <v>0</v>
      </c>
      <c r="BK20" s="137">
        <f>COUNTIF(BK5:BK19,TRUE)</f>
        <v>0</v>
      </c>
      <c r="BL20" s="137">
        <f>COUNTIF(BL5:BL19,TRUE)</f>
        <v>0</v>
      </c>
      <c r="BM20" s="137">
        <f>COUNTIF(BM5:BM19,TRUE)</f>
        <v>0</v>
      </c>
      <c r="BN20" s="137">
        <f>COUNTIF(BN5:BN19,TRUE)</f>
        <v>0</v>
      </c>
      <c r="BO20" s="137">
        <f>COUNTIF(BO5:BO19,TRUE)</f>
        <v>0</v>
      </c>
      <c r="BP20" s="137">
        <f>COUNTIF(BP5:BP19,TRUE)</f>
        <v>0</v>
      </c>
      <c r="BQ20" s="137">
        <f>COUNTIF(BQ5:BQ19,TRUE)</f>
        <v>0</v>
      </c>
      <c r="BR20" s="137">
        <f>COUNTIF(BR5:BR19,TRUE)</f>
        <v>0</v>
      </c>
      <c r="BS20" s="137">
        <f>COUNTIF(BS5:BS19,TRUE)</f>
        <v>0</v>
      </c>
      <c r="BT20" s="137">
        <f>COUNTIF(BT5:BT19,TRUE)</f>
        <v>0</v>
      </c>
      <c r="BU20" s="137">
        <f>COUNTIF(BU5:BU19,TRUE)</f>
        <v>0</v>
      </c>
      <c r="BV20" s="137">
        <f>COUNTIF(BV5:BV19,TRUE)</f>
        <v>0</v>
      </c>
      <c r="BW20" s="137">
        <f>COUNTIF(BW5:BW19,TRUE)</f>
        <v>0</v>
      </c>
      <c r="BX20" s="137">
        <f>COUNTIF(BX5:BX19,TRUE)</f>
        <v>0</v>
      </c>
      <c r="BY20" s="137">
        <f>COUNTIF(BY5:BY19,TRUE)</f>
        <v>0</v>
      </c>
      <c r="BZ20" s="137">
        <f>COUNTIF(BZ5:BZ19,TRUE)</f>
        <v>0</v>
      </c>
      <c r="CA20" s="137">
        <f>COUNTIF(CA5:CA19,TRUE)</f>
        <v>0</v>
      </c>
      <c r="CB20" s="137">
        <f>COUNTIF(CB5:CB19,TRUE)</f>
        <v>0</v>
      </c>
      <c r="CC20" s="137">
        <f>COUNTIF(CC5:CC19,TRUE)</f>
        <v>0</v>
      </c>
      <c r="CD20" s="137">
        <f>COUNTIF(CD5:CD19,TRUE)</f>
        <v>0</v>
      </c>
      <c r="CE20" s="137">
        <f>COUNTIF(CE5:CE19,TRUE)</f>
        <v>0</v>
      </c>
      <c r="CF20" s="137">
        <f>COUNTIF(CF5:CF19,TRUE)</f>
        <v>0</v>
      </c>
      <c r="CG20" s="137">
        <f>COUNTIF(CG5:CG19,TRUE)</f>
        <v>0</v>
      </c>
      <c r="CH20" s="137">
        <f>COUNTIF(CH5:CH19,TRUE)</f>
        <v>0</v>
      </c>
      <c r="CI20" s="137">
        <f>COUNTIF(CI5:CI19,TRUE)</f>
        <v>0</v>
      </c>
      <c r="CJ20" s="137">
        <f>COUNTIF(CJ5:CJ19,TRUE)</f>
        <v>0</v>
      </c>
      <c r="CK20" s="137">
        <f>COUNTIF(CK5:CK19,TRUE)</f>
        <v>0</v>
      </c>
      <c r="CL20" s="137">
        <f>COUNTIF(CL5:CL19,TRUE)</f>
        <v>0</v>
      </c>
      <c r="CM20" s="137">
        <f>COUNTIF(CM5:CM19,TRUE)</f>
        <v>0</v>
      </c>
      <c r="CN20" s="137">
        <f>COUNTIF(CN5:CN19,TRUE)</f>
        <v>0</v>
      </c>
      <c r="CO20" s="137">
        <f>COUNTIF(CO5:CO19,TRUE)</f>
        <v>0</v>
      </c>
      <c r="CP20" s="137">
        <f>COUNTIF(CP5:CP19,TRUE)</f>
        <v>0</v>
      </c>
      <c r="CQ20" s="137">
        <f>COUNTIF(CQ5:CQ19,TRUE)</f>
        <v>0</v>
      </c>
      <c r="CR20" s="137">
        <f>COUNTIF(CR5:CR19,TRUE)</f>
        <v>0</v>
      </c>
      <c r="CS20" s="137">
        <f>COUNTIF(CS5:CS19,TRUE)</f>
        <v>0</v>
      </c>
      <c r="CT20" s="137">
        <f>COUNTIF(CT5:CT19,TRUE)</f>
        <v>0</v>
      </c>
      <c r="CU20" s="137">
        <f>COUNTIF(CU5:CU19,TRUE)</f>
        <v>0</v>
      </c>
      <c r="CV20" s="137">
        <f>COUNTIF(CV5:CV19,TRUE)</f>
        <v>0</v>
      </c>
      <c r="CW20" s="137">
        <f>COUNTIF(CW5:CW19,TRUE)</f>
        <v>0</v>
      </c>
      <c r="CX20" s="137">
        <f>COUNTIF(CX5:CX19,TRUE)</f>
        <v>0</v>
      </c>
      <c r="CY20" s="137">
        <f>COUNTIF(CY5:CY19,TRUE)</f>
        <v>0</v>
      </c>
      <c r="CZ20" s="137">
        <f>COUNTIF(CZ5:CZ19,TRUE)</f>
        <v>0</v>
      </c>
      <c r="DA20" s="137">
        <f>COUNTIF(DA5:DA19,TRUE)</f>
        <v>0</v>
      </c>
      <c r="DB20" s="137">
        <f>COUNTIF(DB5:DB19,TRUE)</f>
        <v>0</v>
      </c>
      <c r="DC20" s="137">
        <f>COUNTIF(DC5:DC19,TRUE)</f>
        <v>0</v>
      </c>
      <c r="DD20" s="137">
        <f>COUNTIF(DD5:DD19,TRUE)</f>
        <v>0</v>
      </c>
      <c r="DE20" s="137">
        <f>COUNTIF(DE5:DE19,TRUE)</f>
        <v>0</v>
      </c>
      <c r="DF20" s="137">
        <f>COUNTIF(DF5:DF19,TRUE)</f>
        <v>0</v>
      </c>
      <c r="DG20" s="137">
        <f>COUNTIF(DG5:DG19,TRUE)</f>
        <v>0</v>
      </c>
      <c r="DH20" s="137">
        <f>COUNTIF(DH5:DH19,TRUE)</f>
        <v>0</v>
      </c>
      <c r="DI20" s="137">
        <f>COUNTIF(DI5:DI19,TRUE)</f>
        <v>0</v>
      </c>
      <c r="DJ20" s="137">
        <f>COUNTIF(DJ5:DJ19,TRUE)</f>
        <v>0</v>
      </c>
      <c r="DK20" s="137">
        <f>COUNTIF(DK5:DK19,TRUE)</f>
        <v>0</v>
      </c>
      <c r="DL20" s="137">
        <f>COUNTIF(DL5:DL19,TRUE)</f>
        <v>0</v>
      </c>
      <c r="DM20" s="137">
        <f>COUNTIF(DM5:DM19,TRUE)</f>
        <v>0</v>
      </c>
      <c r="DN20" s="137">
        <f>COUNTIF(DN5:DN19,TRUE)</f>
        <v>0</v>
      </c>
      <c r="DO20" s="137">
        <f>COUNTIF(DO5:DO19,TRUE)</f>
        <v>0</v>
      </c>
      <c r="DP20" s="137">
        <f>COUNTIF(DP5:DP19,TRUE)</f>
        <v>0</v>
      </c>
      <c r="DQ20" s="137">
        <f>COUNTIF(DQ5:DQ19,TRUE)</f>
        <v>0</v>
      </c>
      <c r="DR20" s="137">
        <f>COUNTIF(DR5:DR19,TRUE)</f>
        <v>0</v>
      </c>
      <c r="DS20" s="137">
        <f>COUNTIF(DS5:DS19,TRUE)</f>
        <v>0</v>
      </c>
      <c r="DT20" s="137">
        <f>COUNTIF(DT5:DT19,TRUE)</f>
        <v>0</v>
      </c>
      <c r="DU20" s="137">
        <f>COUNTIF(DU5:DU19,TRUE)</f>
        <v>0</v>
      </c>
      <c r="DV20" s="137">
        <f>COUNTIF(DV5:DV19,TRUE)</f>
        <v>0</v>
      </c>
      <c r="DW20" s="137">
        <f>COUNTIF(DW5:DW19,TRUE)</f>
        <v>0</v>
      </c>
      <c r="DX20" s="137">
        <f>COUNTIF(DX5:DX19,TRUE)</f>
        <v>0</v>
      </c>
      <c r="DY20" s="137">
        <f>COUNTIF(DY5:DY19,TRUE)</f>
        <v>0</v>
      </c>
      <c r="DZ20" s="137">
        <f>COUNTIF(DZ5:DZ19,TRUE)</f>
        <v>0</v>
      </c>
      <c r="EA20" s="137">
        <f>COUNTIF(EA5:EA19,TRUE)</f>
        <v>0</v>
      </c>
      <c r="EB20" s="137">
        <f>COUNTIF(EB5:EB19,TRUE)</f>
        <v>0</v>
      </c>
      <c r="EC20" s="137">
        <f>COUNTIF(EC5:EC19,TRUE)</f>
        <v>0</v>
      </c>
      <c r="ED20" s="137">
        <f>COUNTIF(ED5:ED19,TRUE)</f>
        <v>0</v>
      </c>
      <c r="EE20" s="137">
        <f>COUNTIF(EE5:EE19,TRUE)</f>
        <v>0</v>
      </c>
      <c r="EF20" s="137">
        <f>COUNTIF(EF5:EF19,TRUE)</f>
        <v>0</v>
      </c>
      <c r="EG20" s="137">
        <f>COUNTIF(EG5:EG19,TRUE)</f>
        <v>0</v>
      </c>
      <c r="EH20" s="137">
        <f>COUNTIF(EH5:EH19,TRUE)</f>
        <v>0</v>
      </c>
      <c r="EI20" s="137">
        <f>COUNTIF(EI5:EI19,TRUE)</f>
        <v>0</v>
      </c>
      <c r="EJ20" s="137">
        <f>COUNTIF(EJ5:EJ19,TRUE)</f>
        <v>0</v>
      </c>
      <c r="EK20" s="137">
        <f>COUNTIF(EK5:EK19,TRUE)</f>
        <v>0</v>
      </c>
      <c r="EL20" s="137">
        <f>COUNTIF(EL5:EL19,TRUE)</f>
        <v>0</v>
      </c>
      <c r="EM20" s="137">
        <f>COUNTIF(EM5:EM19,TRUE)</f>
        <v>0</v>
      </c>
      <c r="EN20" s="137">
        <f>COUNTIF(EN5:EN19,TRUE)</f>
        <v>0</v>
      </c>
      <c r="EO20" s="137">
        <f>COUNTIF(EO5:EO19,TRUE)</f>
        <v>0</v>
      </c>
      <c r="EP20" s="137">
        <f>COUNTIF(EP5:EP19,TRUE)</f>
        <v>0</v>
      </c>
      <c r="EQ20" s="137">
        <f>COUNTIF(EQ5:EQ19,TRUE)</f>
        <v>0</v>
      </c>
      <c r="ER20" s="137">
        <f>COUNTIF(ER5:ER19,TRUE)</f>
        <v>0</v>
      </c>
      <c r="ES20" s="137">
        <f>COUNTIF(ES5:ES19,TRUE)</f>
        <v>0</v>
      </c>
      <c r="ET20" s="137">
        <f>COUNTIF(ET5:ET19,TRUE)</f>
        <v>0</v>
      </c>
      <c r="EU20" s="137">
        <f>COUNTIF(EU5:EU19,TRUE)</f>
        <v>0</v>
      </c>
      <c r="EV20" s="137">
        <f>COUNTIF(EV5:EV19,TRUE)</f>
        <v>0</v>
      </c>
      <c r="EW20" s="137">
        <f>COUNTIF(EW5:EW19,TRUE)</f>
        <v>0</v>
      </c>
      <c r="EX20" s="137">
        <f>COUNTIF(EX5:EX19,TRUE)</f>
        <v>0</v>
      </c>
      <c r="EY20" s="137">
        <f>COUNTIF(EY5:EY19,TRUE)</f>
        <v>0</v>
      </c>
      <c r="EZ20" s="137">
        <f>COUNTIF(EZ5:EZ19,TRUE)</f>
        <v>0</v>
      </c>
      <c r="FA20" s="137">
        <f>COUNTIF(FA5:FA19,TRUE)</f>
        <v>0</v>
      </c>
      <c r="FB20" s="137">
        <f>COUNTIF(FB5:FB19,TRUE)</f>
        <v>0</v>
      </c>
      <c r="FC20" s="137">
        <f>COUNTIF(FC5:FC19,TRUE)</f>
        <v>0</v>
      </c>
      <c r="FD20" s="137">
        <f>COUNTIF(FD5:FD19,TRUE)</f>
        <v>0</v>
      </c>
      <c r="FE20" s="137">
        <f>COUNTIF(FE5:FE19,TRUE)</f>
        <v>0</v>
      </c>
      <c r="FF20" s="137">
        <f>COUNTIF(FF5:FF19,TRUE)</f>
        <v>0</v>
      </c>
      <c r="FG20" s="137">
        <f>COUNTIF(FG5:FG19,TRUE)</f>
        <v>0</v>
      </c>
      <c r="FH20" s="137">
        <f>COUNTIF(FH5:FH19,TRUE)</f>
        <v>0</v>
      </c>
      <c r="FI20" s="137">
        <f>COUNTIF(FI5:FI19,TRUE)</f>
        <v>0</v>
      </c>
      <c r="FJ20" s="137">
        <f>COUNTIF(FJ5:FJ19,TRUE)</f>
        <v>0</v>
      </c>
      <c r="FK20" s="137">
        <f>COUNTIF(FK5:FK19,TRUE)</f>
        <v>0</v>
      </c>
      <c r="FL20" s="137">
        <f>COUNTIF(FL5:FL19,TRUE)</f>
        <v>0</v>
      </c>
      <c r="FM20" s="137">
        <f>COUNTIF(FM5:FM19,TRUE)</f>
        <v>0</v>
      </c>
      <c r="FN20" s="137">
        <f>COUNTIF(FN5:FN19,TRUE)</f>
        <v>0</v>
      </c>
      <c r="FO20" s="137">
        <f>COUNTIF(FO5:FO19,TRUE)</f>
        <v>0</v>
      </c>
      <c r="FP20" s="137">
        <f>COUNTIF(FP5:FP19,TRUE)</f>
        <v>0</v>
      </c>
      <c r="FQ20" s="137">
        <f>COUNTIF(FQ5:FQ19,TRUE)</f>
        <v>0</v>
      </c>
      <c r="FR20" s="137">
        <f>COUNTIF(FR5:FR19,TRUE)</f>
        <v>0</v>
      </c>
      <c r="FS20" s="137">
        <f>COUNTIF(FS5:FS19,TRUE)</f>
        <v>0</v>
      </c>
      <c r="FT20" s="137">
        <f>COUNTIF(FT5:FT19,TRUE)</f>
        <v>0</v>
      </c>
      <c r="FU20" s="137">
        <f>COUNTIF(FU5:FU19,TRUE)</f>
        <v>0</v>
      </c>
      <c r="FV20" s="137">
        <f>COUNTIF(FV5:FV19,TRUE)</f>
        <v>0</v>
      </c>
      <c r="FW20" s="137">
        <f>COUNTIF(FW5:FW19,TRUE)</f>
        <v>0</v>
      </c>
      <c r="FX20" s="137">
        <f>COUNTIF(FX5:FX19,TRUE)</f>
        <v>0</v>
      </c>
      <c r="FY20" s="137">
        <f>COUNTIF(FY5:FY19,TRUE)</f>
        <v>0</v>
      </c>
      <c r="FZ20" s="137">
        <f>COUNTIF(FZ5:FZ19,TRUE)</f>
        <v>0</v>
      </c>
      <c r="GA20" s="137">
        <f>COUNTIF(GA5:GA19,TRUE)</f>
        <v>0</v>
      </c>
      <c r="GB20" s="137">
        <f>COUNTIF(GB5:GB19,TRUE)</f>
        <v>0</v>
      </c>
      <c r="GC20" s="137">
        <f>COUNTIF(GC5:GC19,TRUE)</f>
        <v>0</v>
      </c>
      <c r="GD20" s="137">
        <f>COUNTIF(GD5:GD19,TRUE)</f>
        <v>0</v>
      </c>
      <c r="GE20" s="137">
        <f>COUNTIF(GE5:GE19,TRUE)</f>
        <v>0</v>
      </c>
      <c r="GF20" s="137">
        <f>COUNTIF(GF5:GF19,TRUE)</f>
        <v>0</v>
      </c>
      <c r="GG20" s="137">
        <f>COUNTIF(GG5:GG19,TRUE)</f>
        <v>0</v>
      </c>
      <c r="GH20" s="137">
        <f>COUNTIF(GH5:GH19,TRUE)</f>
        <v>0</v>
      </c>
      <c r="GI20" s="137">
        <f>COUNTIF(GI5:GI19,TRUE)</f>
        <v>0</v>
      </c>
      <c r="GJ20" s="137">
        <f>COUNTIF(GJ5:GJ19,TRUE)</f>
        <v>0</v>
      </c>
      <c r="GK20" s="137">
        <f>COUNTIF(GK5:GK19,TRUE)</f>
        <v>0</v>
      </c>
      <c r="GL20" s="137">
        <f>COUNTIF(GL5:GL19,TRUE)</f>
        <v>0</v>
      </c>
      <c r="GM20" s="137">
        <f>COUNTIF(GM5:GM19,TRUE)</f>
        <v>0</v>
      </c>
      <c r="GN20" s="137">
        <f>COUNTIF(GN5:GN19,TRUE)</f>
        <v>0</v>
      </c>
      <c r="GO20" s="137">
        <f>COUNTIF(GO5:GO19,TRUE)</f>
        <v>0</v>
      </c>
      <c r="GP20" s="137">
        <f>COUNTIF(GP5:GP19,TRUE)</f>
        <v>0</v>
      </c>
      <c r="GQ20" s="137">
        <f>COUNTIF(GQ5:GQ19,TRUE)</f>
        <v>0</v>
      </c>
      <c r="GR20" s="137">
        <f>COUNTIF(GR5:GR19,TRUE)</f>
        <v>0</v>
      </c>
      <c r="GS20" s="137">
        <f>COUNTIF(GS5:GS19,TRUE)</f>
        <v>0</v>
      </c>
      <c r="GT20" s="137">
        <f>COUNTIF(GT5:GT19,TRUE)</f>
        <v>0</v>
      </c>
      <c r="GU20" s="137">
        <f>COUNTIF(GU5:GU19,TRUE)</f>
        <v>0</v>
      </c>
      <c r="GV20" s="137">
        <f>COUNTIF(GV5:GV19,TRUE)</f>
        <v>0</v>
      </c>
      <c r="GW20" s="137">
        <f>COUNTIF(GW5:GW19,TRUE)</f>
        <v>0</v>
      </c>
      <c r="GX20" s="137">
        <f>COUNTIF(GX5:GX19,TRUE)</f>
        <v>0</v>
      </c>
      <c r="GY20" s="137">
        <f>COUNTIF(GY5:GY19,TRUE)</f>
        <v>0</v>
      </c>
      <c r="GZ20" s="137">
        <f>COUNTIF(GZ5:GZ19,TRUE)</f>
        <v>0</v>
      </c>
      <c r="HA20" s="137">
        <f>COUNTIF(HA5:HA19,TRUE)</f>
        <v>0</v>
      </c>
      <c r="HB20" s="137">
        <f>COUNTIF(HB5:HB19,TRUE)</f>
        <v>0</v>
      </c>
    </row>
    <row r="21" ht="7.5" customHeight="1"/>
    <row r="22" ht="15" customHeight="1">
      <c r="A22" s="138" t="inlineStr">
        <is>
          <t>الحصة الجاية: هنعمل إيه؟</t>
        </is>
      </c>
      <c r="B22" s="4" t="n"/>
      <c r="C22" s="138" t="inlineStr">
        <is>
          <t>ميعادها حسب صفحة المواعيد</t>
        </is>
      </c>
      <c r="D22" s="13" t="n"/>
      <c r="E22" s="13" t="n"/>
      <c r="F22" s="4" t="n"/>
    </row>
    <row r="23" ht="42" customHeight="1">
      <c r="A23" s="139" t="n"/>
      <c r="B23" s="4" t="n"/>
      <c r="C23" s="140" t="str">
        <f>IF($HF$4="","مفيش ميعاد للمجموعة دي في صفحة المواعيد",$HF$4)</f>
        <v>مفيش ميعاد للمجموعة دي في صفحة المواعيد</v>
      </c>
      <c r="D23" s="13" t="n"/>
      <c r="E23" s="13" t="n"/>
      <c r="F23" s="4" t="n"/>
    </row>
    <row r="24" ht="15" customHeight="1">
      <c r="A24" s="138" t="inlineStr">
        <is>
          <t>ميعاد مختلف؟ (اختياري)</t>
        </is>
      </c>
      <c r="B24" s="4" t="n"/>
      <c r="C24" s="141" t="inlineStr">
        <is>
          <t>لو الحصة اتأجلت أو في حصة إضافية، اكتبي ميعادها في الخانة البيضا</t>
        </is>
      </c>
      <c r="D24" s="42" t="n"/>
      <c r="E24" s="42" t="n"/>
      <c r="F24" s="43" t="n"/>
    </row>
    <row r="25" ht="22.5" customHeight="1">
      <c r="A25" s="139" t="n"/>
      <c r="B25" s="4" t="n"/>
      <c r="C25" s="71" t="n"/>
      <c r="D25" s="73" t="n"/>
      <c r="E25" s="73" t="n"/>
      <c r="F25" s="72" t="n"/>
    </row>
    <row r="26" ht="10.5" customHeight="1"/>
    <row r="27" ht="21" customHeight="1">
      <c r="A27" s="76" t="inlineStr">
        <is>
          <t>الدرجات · نوع الامتحان</t>
        </is>
      </c>
      <c r="B27" s="4" t="n"/>
      <c r="C27" s="142" t="inlineStr">
        <is>
          <t>النسبة والترتيب على:</t>
        </is>
      </c>
      <c r="D27" s="13" t="n"/>
      <c r="E27" s="4" t="n"/>
      <c r="F27" s="15" t="inlineStr">
        <is>
          <t>الكل</t>
        </is>
      </c>
      <c r="G27" s="143" t="n"/>
      <c r="H27" s="4" t="n"/>
      <c r="I27" s="143" t="n"/>
      <c r="J27" s="4" t="n"/>
      <c r="K27" s="143" t="n"/>
      <c r="L27" s="4" t="n"/>
      <c r="M27" s="143" t="n"/>
      <c r="N27" s="4" t="n"/>
      <c r="O27" s="143" t="n"/>
      <c r="P27" s="4" t="n"/>
      <c r="Q27" s="143" t="n"/>
      <c r="R27" s="4" t="n"/>
      <c r="S27" s="143" t="n"/>
      <c r="T27" s="4" t="n"/>
      <c r="U27" s="143" t="n"/>
      <c r="V27" s="4" t="n"/>
      <c r="W27" s="144" t="inlineStr">
        <is>
          <t>ملاحظات
(سبب الغياب)</t>
        </is>
      </c>
      <c r="X27" s="143" t="n"/>
      <c r="Y27" s="4" t="n"/>
      <c r="Z27" s="143" t="n"/>
      <c r="AA27" s="4" t="n"/>
      <c r="AB27" s="143" t="n"/>
      <c r="AC27" s="4" t="n"/>
      <c r="AD27" s="143" t="n"/>
      <c r="AE27" s="4" t="n"/>
      <c r="AF27" s="143" t="n"/>
      <c r="AG27" s="4" t="n"/>
      <c r="AH27" s="143" t="n"/>
      <c r="AI27" s="4" t="n"/>
      <c r="AJ27" s="143" t="n"/>
      <c r="AK27" s="4" t="n"/>
      <c r="AL27" s="143" t="n"/>
      <c r="AM27" s="4" t="n"/>
      <c r="AN27" s="145" t="inlineStr">
        <is>
          <t>ملاحظات
(سبب الغياب)</t>
        </is>
      </c>
      <c r="AO27" s="143" t="n"/>
      <c r="AP27" s="4" t="n"/>
      <c r="AQ27" s="143" t="n"/>
      <c r="AR27" s="4" t="n"/>
      <c r="AS27" s="143" t="n"/>
      <c r="AT27" s="4" t="n"/>
      <c r="AU27" s="143" t="n"/>
      <c r="AV27" s="4" t="n"/>
      <c r="AW27" s="143" t="n"/>
      <c r="AX27" s="4" t="n"/>
      <c r="AY27" s="143" t="n"/>
      <c r="AZ27" s="4" t="n"/>
      <c r="BA27" s="143" t="n"/>
      <c r="BB27" s="4" t="n"/>
      <c r="BC27" s="143" t="n"/>
      <c r="BD27" s="4" t="n"/>
      <c r="BE27" s="146" t="inlineStr">
        <is>
          <t>ملاحظات
(سبب الغياب)</t>
        </is>
      </c>
      <c r="BF27" s="143" t="n"/>
      <c r="BG27" s="4" t="n"/>
      <c r="BH27" s="143" t="n"/>
      <c r="BI27" s="4" t="n"/>
      <c r="BJ27" s="143" t="n"/>
      <c r="BK27" s="4" t="n"/>
      <c r="BL27" s="143" t="n"/>
      <c r="BM27" s="4" t="n"/>
      <c r="BN27" s="143" t="n"/>
      <c r="BO27" s="4" t="n"/>
      <c r="BP27" s="143" t="n"/>
      <c r="BQ27" s="4" t="n"/>
      <c r="BR27" s="143" t="n"/>
      <c r="BS27" s="4" t="n"/>
      <c r="BT27" s="143" t="n"/>
      <c r="BU27" s="4" t="n"/>
      <c r="BV27" s="147" t="inlineStr">
        <is>
          <t>ملاحظات
(سبب الغياب)</t>
        </is>
      </c>
      <c r="BW27" s="143" t="n"/>
      <c r="BX27" s="4" t="n"/>
      <c r="BY27" s="143" t="n"/>
      <c r="BZ27" s="4" t="n"/>
      <c r="CA27" s="143" t="n"/>
      <c r="CB27" s="4" t="n"/>
      <c r="CC27" s="143" t="n"/>
      <c r="CD27" s="4" t="n"/>
      <c r="CE27" s="143" t="n"/>
      <c r="CF27" s="4" t="n"/>
      <c r="CG27" s="143" t="n"/>
      <c r="CH27" s="4" t="n"/>
      <c r="CI27" s="143" t="n"/>
      <c r="CJ27" s="4" t="n"/>
      <c r="CK27" s="143" t="n"/>
      <c r="CL27" s="4" t="n"/>
      <c r="CM27" s="148" t="inlineStr">
        <is>
          <t>ملاحظات
(سبب الغياب)</t>
        </is>
      </c>
      <c r="CN27" s="143" t="n"/>
      <c r="CO27" s="4" t="n"/>
      <c r="CP27" s="143" t="n"/>
      <c r="CQ27" s="4" t="n"/>
      <c r="CR27" s="143" t="n"/>
      <c r="CS27" s="4" t="n"/>
      <c r="CT27" s="143" t="n"/>
      <c r="CU27" s="4" t="n"/>
      <c r="CV27" s="143" t="n"/>
      <c r="CW27" s="4" t="n"/>
      <c r="CX27" s="143" t="n"/>
      <c r="CY27" s="4" t="n"/>
      <c r="CZ27" s="143" t="n"/>
      <c r="DA27" s="4" t="n"/>
      <c r="DB27" s="143" t="n"/>
      <c r="DC27" s="4" t="n"/>
      <c r="DD27" s="149" t="inlineStr">
        <is>
          <t>ملاحظات
(سبب الغياب)</t>
        </is>
      </c>
      <c r="DE27" s="143" t="n"/>
      <c r="DF27" s="4" t="n"/>
      <c r="DG27" s="143" t="n"/>
      <c r="DH27" s="4" t="n"/>
      <c r="DI27" s="143" t="n"/>
      <c r="DJ27" s="4" t="n"/>
      <c r="DK27" s="143" t="n"/>
      <c r="DL27" s="4" t="n"/>
      <c r="DM27" s="143" t="n"/>
      <c r="DN27" s="4" t="n"/>
      <c r="DO27" s="143" t="n"/>
      <c r="DP27" s="4" t="n"/>
      <c r="DQ27" s="143" t="n"/>
      <c r="DR27" s="4" t="n"/>
      <c r="DS27" s="143" t="n"/>
      <c r="DT27" s="4" t="n"/>
      <c r="DU27" s="150" t="inlineStr">
        <is>
          <t>ملاحظات
(سبب الغياب)</t>
        </is>
      </c>
      <c r="DV27" s="143" t="n"/>
      <c r="DW27" s="4" t="n"/>
      <c r="DX27" s="143" t="n"/>
      <c r="DY27" s="4" t="n"/>
      <c r="DZ27" s="143" t="n"/>
      <c r="EA27" s="4" t="n"/>
      <c r="EB27" s="143" t="n"/>
      <c r="EC27" s="4" t="n"/>
      <c r="ED27" s="143" t="n"/>
      <c r="EE27" s="4" t="n"/>
      <c r="EF27" s="143" t="n"/>
      <c r="EG27" s="4" t="n"/>
      <c r="EH27" s="143" t="n"/>
      <c r="EI27" s="4" t="n"/>
      <c r="EJ27" s="143" t="n"/>
      <c r="EK27" s="4" t="n"/>
      <c r="EL27" s="151" t="inlineStr">
        <is>
          <t>ملاحظات
(سبب الغياب)</t>
        </is>
      </c>
      <c r="EM27" s="143" t="n"/>
      <c r="EN27" s="4" t="n"/>
      <c r="EO27" s="143" t="n"/>
      <c r="EP27" s="4" t="n"/>
      <c r="EQ27" s="143" t="n"/>
      <c r="ER27" s="4" t="n"/>
      <c r="ES27" s="143" t="n"/>
      <c r="ET27" s="4" t="n"/>
      <c r="EU27" s="143" t="n"/>
      <c r="EV27" s="4" t="n"/>
      <c r="EW27" s="143" t="n"/>
      <c r="EX27" s="4" t="n"/>
      <c r="EY27" s="143" t="n"/>
      <c r="EZ27" s="4" t="n"/>
      <c r="FA27" s="143" t="n"/>
      <c r="FB27" s="4" t="n"/>
      <c r="FC27" s="152" t="inlineStr">
        <is>
          <t>ملاحظات
(سبب الغياب)</t>
        </is>
      </c>
      <c r="FD27" s="143" t="n"/>
      <c r="FE27" s="4" t="n"/>
      <c r="FF27" s="143" t="n"/>
      <c r="FG27" s="4" t="n"/>
      <c r="FH27" s="143" t="n"/>
      <c r="FI27" s="4" t="n"/>
      <c r="FJ27" s="143" t="n"/>
      <c r="FK27" s="4" t="n"/>
      <c r="FL27" s="143" t="n"/>
      <c r="FM27" s="4" t="n"/>
      <c r="FN27" s="143" t="n"/>
      <c r="FO27" s="4" t="n"/>
      <c r="FP27" s="143" t="n"/>
      <c r="FQ27" s="4" t="n"/>
      <c r="FR27" s="143" t="n"/>
      <c r="FS27" s="4" t="n"/>
      <c r="FT27" s="153" t="inlineStr">
        <is>
          <t>ملاحظات
(سبب الغياب)</t>
        </is>
      </c>
      <c r="FU27" s="143" t="n"/>
      <c r="FV27" s="4" t="n"/>
      <c r="FW27" s="143" t="n"/>
      <c r="FX27" s="4" t="n"/>
      <c r="FY27" s="143" t="n"/>
      <c r="FZ27" s="4" t="n"/>
      <c r="GA27" s="143" t="n"/>
      <c r="GB27" s="4" t="n"/>
      <c r="GC27" s="143" t="n"/>
      <c r="GD27" s="4" t="n"/>
      <c r="GE27" s="143" t="n"/>
      <c r="GF27" s="4" t="n"/>
      <c r="GG27" s="143" t="n"/>
      <c r="GH27" s="4" t="n"/>
      <c r="GI27" s="143" t="n"/>
      <c r="GJ27" s="4" t="n"/>
      <c r="GK27" s="154" t="inlineStr">
        <is>
          <t>ملاحظات
(سبب الغياب)</t>
        </is>
      </c>
      <c r="GL27" s="143" t="n"/>
      <c r="GM27" s="4" t="n"/>
      <c r="GN27" s="143" t="n"/>
      <c r="GO27" s="4" t="n"/>
      <c r="GP27" s="143" t="n"/>
      <c r="GQ27" s="4" t="n"/>
      <c r="GR27" s="143" t="n"/>
      <c r="GS27" s="4" t="n"/>
      <c r="GT27" s="143" t="n"/>
      <c r="GU27" s="4" t="n"/>
      <c r="GV27" s="143" t="n"/>
      <c r="GW27" s="4" t="n"/>
      <c r="GX27" s="143" t="n"/>
      <c r="GY27" s="4" t="n"/>
      <c r="GZ27" s="143" t="n"/>
      <c r="HA27" s="4" t="n"/>
      <c r="HB27" s="155" t="inlineStr">
        <is>
          <t>ملاحظات
(سبب الغياب)</t>
        </is>
      </c>
    </row>
    <row r="28" ht="21" customHeight="1">
      <c r="A28" s="142" t="inlineStr">
        <is>
          <t>الدرجة النهائية (من كام)</t>
        </is>
      </c>
      <c r="B28" s="4" t="n"/>
      <c r="C28" s="156" t="inlineStr">
        <is>
          <t>الدرجة ما بتتحسبش من غير نهائية</t>
        </is>
      </c>
      <c r="D28" s="13" t="n"/>
      <c r="E28" s="13" t="n"/>
      <c r="F28" s="4" t="n"/>
      <c r="G28" s="15" t="n"/>
      <c r="H28" s="15" t="n"/>
      <c r="I28" s="15" t="n"/>
      <c r="J28" s="15" t="n"/>
      <c r="K28" s="15" t="n"/>
      <c r="L28" s="15" t="n"/>
      <c r="M28" s="15" t="n"/>
      <c r="N28" s="15" t="n"/>
      <c r="O28" s="15" t="n"/>
      <c r="P28" s="15" t="n"/>
      <c r="Q28" s="15" t="n"/>
      <c r="R28" s="15" t="n"/>
      <c r="S28" s="15" t="n"/>
      <c r="T28" s="15" t="n"/>
      <c r="U28" s="15" t="n"/>
      <c r="V28" s="15" t="n"/>
      <c r="W28" s="75" t="n"/>
      <c r="X28" s="15" t="n"/>
      <c r="Y28" s="15" t="n"/>
      <c r="Z28" s="15" t="n"/>
      <c r="AA28" s="15" t="n"/>
      <c r="AB28" s="15" t="n"/>
      <c r="AC28" s="15" t="n"/>
      <c r="AD28" s="15" t="n"/>
      <c r="AE28" s="15" t="n"/>
      <c r="AF28" s="15" t="n"/>
      <c r="AG28" s="15" t="n"/>
      <c r="AH28" s="15" t="n"/>
      <c r="AI28" s="15" t="n"/>
      <c r="AJ28" s="15" t="n"/>
      <c r="AK28" s="15" t="n"/>
      <c r="AL28" s="15" t="n"/>
      <c r="AM28" s="15" t="n"/>
      <c r="AN28" s="75" t="n"/>
      <c r="AO28" s="15" t="n"/>
      <c r="AP28" s="15" t="n"/>
      <c r="AQ28" s="15" t="n"/>
      <c r="AR28" s="15" t="n"/>
      <c r="AS28" s="15" t="n"/>
      <c r="AT28" s="15" t="n"/>
      <c r="AU28" s="15" t="n"/>
      <c r="AV28" s="15" t="n"/>
      <c r="AW28" s="15" t="n"/>
      <c r="AX28" s="15" t="n"/>
      <c r="AY28" s="15" t="n"/>
      <c r="AZ28" s="15" t="n"/>
      <c r="BA28" s="15" t="n"/>
      <c r="BB28" s="15" t="n"/>
      <c r="BC28" s="15" t="n"/>
      <c r="BD28" s="15" t="n"/>
      <c r="BE28" s="75" t="n"/>
      <c r="BF28" s="15" t="n"/>
      <c r="BG28" s="15" t="n"/>
      <c r="BH28" s="15" t="n"/>
      <c r="BI28" s="15" t="n"/>
      <c r="BJ28" s="15" t="n"/>
      <c r="BK28" s="15" t="n"/>
      <c r="BL28" s="15" t="n"/>
      <c r="BM28" s="15" t="n"/>
      <c r="BN28" s="15" t="n"/>
      <c r="BO28" s="15" t="n"/>
      <c r="BP28" s="15" t="n"/>
      <c r="BQ28" s="15" t="n"/>
      <c r="BR28" s="15" t="n"/>
      <c r="BS28" s="15" t="n"/>
      <c r="BT28" s="15" t="n"/>
      <c r="BU28" s="15" t="n"/>
      <c r="BV28" s="75" t="n"/>
      <c r="BW28" s="15" t="n"/>
      <c r="BX28" s="15" t="n"/>
      <c r="BY28" s="15" t="n"/>
      <c r="BZ28" s="15" t="n"/>
      <c r="CA28" s="15" t="n"/>
      <c r="CB28" s="15" t="n"/>
      <c r="CC28" s="15" t="n"/>
      <c r="CD28" s="15" t="n"/>
      <c r="CE28" s="15" t="n"/>
      <c r="CF28" s="15" t="n"/>
      <c r="CG28" s="15" t="n"/>
      <c r="CH28" s="15" t="n"/>
      <c r="CI28" s="15" t="n"/>
      <c r="CJ28" s="15" t="n"/>
      <c r="CK28" s="15" t="n"/>
      <c r="CL28" s="15" t="n"/>
      <c r="CM28" s="75" t="n"/>
      <c r="CN28" s="15" t="n"/>
      <c r="CO28" s="15" t="n"/>
      <c r="CP28" s="15" t="n"/>
      <c r="CQ28" s="15" t="n"/>
      <c r="CR28" s="15" t="n"/>
      <c r="CS28" s="15" t="n"/>
      <c r="CT28" s="15" t="n"/>
      <c r="CU28" s="15" t="n"/>
      <c r="CV28" s="15" t="n"/>
      <c r="CW28" s="15" t="n"/>
      <c r="CX28" s="15" t="n"/>
      <c r="CY28" s="15" t="n"/>
      <c r="CZ28" s="15" t="n"/>
      <c r="DA28" s="15" t="n"/>
      <c r="DB28" s="15" t="n"/>
      <c r="DC28" s="15" t="n"/>
      <c r="DD28" s="75" t="n"/>
      <c r="DE28" s="15" t="n"/>
      <c r="DF28" s="15" t="n"/>
      <c r="DG28" s="15" t="n"/>
      <c r="DH28" s="15" t="n"/>
      <c r="DI28" s="15" t="n"/>
      <c r="DJ28" s="15" t="n"/>
      <c r="DK28" s="15" t="n"/>
      <c r="DL28" s="15" t="n"/>
      <c r="DM28" s="15" t="n"/>
      <c r="DN28" s="15" t="n"/>
      <c r="DO28" s="15" t="n"/>
      <c r="DP28" s="15" t="n"/>
      <c r="DQ28" s="15" t="n"/>
      <c r="DR28" s="15" t="n"/>
      <c r="DS28" s="15" t="n"/>
      <c r="DT28" s="15" t="n"/>
      <c r="DU28" s="75" t="n"/>
      <c r="DV28" s="15" t="n"/>
      <c r="DW28" s="15" t="n"/>
      <c r="DX28" s="15" t="n"/>
      <c r="DY28" s="15" t="n"/>
      <c r="DZ28" s="15" t="n"/>
      <c r="EA28" s="15" t="n"/>
      <c r="EB28" s="15" t="n"/>
      <c r="EC28" s="15" t="n"/>
      <c r="ED28" s="15" t="n"/>
      <c r="EE28" s="15" t="n"/>
      <c r="EF28" s="15" t="n"/>
      <c r="EG28" s="15" t="n"/>
      <c r="EH28" s="15" t="n"/>
      <c r="EI28" s="15" t="n"/>
      <c r="EJ28" s="15" t="n"/>
      <c r="EK28" s="15" t="n"/>
      <c r="EL28" s="75" t="n"/>
      <c r="EM28" s="15" t="n"/>
      <c r="EN28" s="15" t="n"/>
      <c r="EO28" s="15" t="n"/>
      <c r="EP28" s="15" t="n"/>
      <c r="EQ28" s="15" t="n"/>
      <c r="ER28" s="15" t="n"/>
      <c r="ES28" s="15" t="n"/>
      <c r="ET28" s="15" t="n"/>
      <c r="EU28" s="15" t="n"/>
      <c r="EV28" s="15" t="n"/>
      <c r="EW28" s="15" t="n"/>
      <c r="EX28" s="15" t="n"/>
      <c r="EY28" s="15" t="n"/>
      <c r="EZ28" s="15" t="n"/>
      <c r="FA28" s="15" t="n"/>
      <c r="FB28" s="15" t="n"/>
      <c r="FC28" s="75" t="n"/>
      <c r="FD28" s="15" t="n"/>
      <c r="FE28" s="15" t="n"/>
      <c r="FF28" s="15" t="n"/>
      <c r="FG28" s="15" t="n"/>
      <c r="FH28" s="15" t="n"/>
      <c r="FI28" s="15" t="n"/>
      <c r="FJ28" s="15" t="n"/>
      <c r="FK28" s="15" t="n"/>
      <c r="FL28" s="15" t="n"/>
      <c r="FM28" s="15" t="n"/>
      <c r="FN28" s="15" t="n"/>
      <c r="FO28" s="15" t="n"/>
      <c r="FP28" s="15" t="n"/>
      <c r="FQ28" s="15" t="n"/>
      <c r="FR28" s="15" t="n"/>
      <c r="FS28" s="15" t="n"/>
      <c r="FT28" s="75" t="n"/>
      <c r="FU28" s="15" t="n"/>
      <c r="FV28" s="15" t="n"/>
      <c r="FW28" s="15" t="n"/>
      <c r="FX28" s="15" t="n"/>
      <c r="FY28" s="15" t="n"/>
      <c r="FZ28" s="15" t="n"/>
      <c r="GA28" s="15" t="n"/>
      <c r="GB28" s="15" t="n"/>
      <c r="GC28" s="15" t="n"/>
      <c r="GD28" s="15" t="n"/>
      <c r="GE28" s="15" t="n"/>
      <c r="GF28" s="15" t="n"/>
      <c r="GG28" s="15" t="n"/>
      <c r="GH28" s="15" t="n"/>
      <c r="GI28" s="15" t="n"/>
      <c r="GJ28" s="15" t="n"/>
      <c r="GK28" s="75" t="n"/>
      <c r="GL28" s="15" t="n"/>
      <c r="GM28" s="15" t="n"/>
      <c r="GN28" s="15" t="n"/>
      <c r="GO28" s="15" t="n"/>
      <c r="GP28" s="15" t="n"/>
      <c r="GQ28" s="15" t="n"/>
      <c r="GR28" s="15" t="n"/>
      <c r="GS28" s="15" t="n"/>
      <c r="GT28" s="15" t="n"/>
      <c r="GU28" s="15" t="n"/>
      <c r="GV28" s="15" t="n"/>
      <c r="GW28" s="15" t="n"/>
      <c r="GX28" s="15" t="n"/>
      <c r="GY28" s="15" t="n"/>
      <c r="GZ28" s="15" t="n"/>
      <c r="HA28" s="15" t="n"/>
      <c r="HB28" s="75" t="n"/>
    </row>
    <row r="29" ht="16.5" customHeight="1">
      <c r="A29" s="76" t="inlineStr">
        <is>
          <t>م</t>
        </is>
      </c>
      <c r="B29" s="76" t="inlineStr">
        <is>
          <t>الاسم</t>
        </is>
      </c>
      <c r="C29" s="76" t="inlineStr">
        <is>
          <t>المجموع</t>
        </is>
      </c>
      <c r="D29" s="76" t="inlineStr">
        <is>
          <t>%</t>
        </is>
      </c>
      <c r="E29" s="76" t="inlineStr">
        <is>
          <t>الترتيب</t>
        </is>
      </c>
      <c r="F29" s="76" t="inlineStr">
        <is>
          <t>التقدير</t>
        </is>
      </c>
      <c r="G29" s="157" t="inlineStr">
        <is>
          <t>كويز</t>
        </is>
      </c>
      <c r="H29" s="158" t="inlineStr">
        <is>
          <t>امتحان</t>
        </is>
      </c>
      <c r="I29" s="157" t="inlineStr">
        <is>
          <t>كويز</t>
        </is>
      </c>
      <c r="J29" s="158" t="inlineStr">
        <is>
          <t>امتحان</t>
        </is>
      </c>
      <c r="K29" s="157" t="inlineStr">
        <is>
          <t>كويز</t>
        </is>
      </c>
      <c r="L29" s="158" t="inlineStr">
        <is>
          <t>امتحان</t>
        </is>
      </c>
      <c r="M29" s="157" t="inlineStr">
        <is>
          <t>كويز</t>
        </is>
      </c>
      <c r="N29" s="158" t="inlineStr">
        <is>
          <t>امتحان</t>
        </is>
      </c>
      <c r="O29" s="157" t="inlineStr">
        <is>
          <t>كويز</t>
        </is>
      </c>
      <c r="P29" s="158" t="inlineStr">
        <is>
          <t>امتحان</t>
        </is>
      </c>
      <c r="Q29" s="157" t="inlineStr">
        <is>
          <t>كويز</t>
        </is>
      </c>
      <c r="R29" s="158" t="inlineStr">
        <is>
          <t>امتحان</t>
        </is>
      </c>
      <c r="S29" s="157" t="inlineStr">
        <is>
          <t>كويز</t>
        </is>
      </c>
      <c r="T29" s="158" t="inlineStr">
        <is>
          <t>امتحان</t>
        </is>
      </c>
      <c r="U29" s="157" t="inlineStr">
        <is>
          <t>كويز</t>
        </is>
      </c>
      <c r="V29" s="158" t="inlineStr">
        <is>
          <t>امتحان</t>
        </is>
      </c>
      <c r="W29" s="59" t="inlineStr">
        <is>
          <t>ملاحظات</t>
        </is>
      </c>
      <c r="X29" s="159" t="inlineStr">
        <is>
          <t>كويز</t>
        </is>
      </c>
      <c r="Y29" s="160" t="inlineStr">
        <is>
          <t>امتحان</t>
        </is>
      </c>
      <c r="Z29" s="159" t="inlineStr">
        <is>
          <t>كويز</t>
        </is>
      </c>
      <c r="AA29" s="160" t="inlineStr">
        <is>
          <t>امتحان</t>
        </is>
      </c>
      <c r="AB29" s="159" t="inlineStr">
        <is>
          <t>كويز</t>
        </is>
      </c>
      <c r="AC29" s="160" t="inlineStr">
        <is>
          <t>امتحان</t>
        </is>
      </c>
      <c r="AD29" s="159" t="inlineStr">
        <is>
          <t>كويز</t>
        </is>
      </c>
      <c r="AE29" s="160" t="inlineStr">
        <is>
          <t>امتحان</t>
        </is>
      </c>
      <c r="AF29" s="159" t="inlineStr">
        <is>
          <t>كويز</t>
        </is>
      </c>
      <c r="AG29" s="160" t="inlineStr">
        <is>
          <t>امتحان</t>
        </is>
      </c>
      <c r="AH29" s="159" t="inlineStr">
        <is>
          <t>كويز</t>
        </is>
      </c>
      <c r="AI29" s="160" t="inlineStr">
        <is>
          <t>امتحان</t>
        </is>
      </c>
      <c r="AJ29" s="159" t="inlineStr">
        <is>
          <t>كويز</t>
        </is>
      </c>
      <c r="AK29" s="160" t="inlineStr">
        <is>
          <t>امتحان</t>
        </is>
      </c>
      <c r="AL29" s="159" t="inlineStr">
        <is>
          <t>كويز</t>
        </is>
      </c>
      <c r="AM29" s="160" t="inlineStr">
        <is>
          <t>امتحان</t>
        </is>
      </c>
      <c r="AN29" s="60" t="inlineStr">
        <is>
          <t>ملاحظات</t>
        </is>
      </c>
      <c r="AO29" s="161" t="inlineStr">
        <is>
          <t>كويز</t>
        </is>
      </c>
      <c r="AP29" s="162" t="inlineStr">
        <is>
          <t>امتحان</t>
        </is>
      </c>
      <c r="AQ29" s="161" t="inlineStr">
        <is>
          <t>كويز</t>
        </is>
      </c>
      <c r="AR29" s="162" t="inlineStr">
        <is>
          <t>امتحان</t>
        </is>
      </c>
      <c r="AS29" s="161" t="inlineStr">
        <is>
          <t>كويز</t>
        </is>
      </c>
      <c r="AT29" s="162" t="inlineStr">
        <is>
          <t>امتحان</t>
        </is>
      </c>
      <c r="AU29" s="161" t="inlineStr">
        <is>
          <t>كويز</t>
        </is>
      </c>
      <c r="AV29" s="162" t="inlineStr">
        <is>
          <t>امتحان</t>
        </is>
      </c>
      <c r="AW29" s="161" t="inlineStr">
        <is>
          <t>كويز</t>
        </is>
      </c>
      <c r="AX29" s="162" t="inlineStr">
        <is>
          <t>امتحان</t>
        </is>
      </c>
      <c r="AY29" s="161" t="inlineStr">
        <is>
          <t>كويز</t>
        </is>
      </c>
      <c r="AZ29" s="162" t="inlineStr">
        <is>
          <t>امتحان</t>
        </is>
      </c>
      <c r="BA29" s="161" t="inlineStr">
        <is>
          <t>كويز</t>
        </is>
      </c>
      <c r="BB29" s="162" t="inlineStr">
        <is>
          <t>امتحان</t>
        </is>
      </c>
      <c r="BC29" s="161" t="inlineStr">
        <is>
          <t>كويز</t>
        </is>
      </c>
      <c r="BD29" s="162" t="inlineStr">
        <is>
          <t>امتحان</t>
        </is>
      </c>
      <c r="BE29" s="61" t="inlineStr">
        <is>
          <t>ملاحظات</t>
        </is>
      </c>
      <c r="BF29" s="163" t="inlineStr">
        <is>
          <t>كويز</t>
        </is>
      </c>
      <c r="BG29" s="164" t="inlineStr">
        <is>
          <t>امتحان</t>
        </is>
      </c>
      <c r="BH29" s="163" t="inlineStr">
        <is>
          <t>كويز</t>
        </is>
      </c>
      <c r="BI29" s="164" t="inlineStr">
        <is>
          <t>امتحان</t>
        </is>
      </c>
      <c r="BJ29" s="163" t="inlineStr">
        <is>
          <t>كويز</t>
        </is>
      </c>
      <c r="BK29" s="164" t="inlineStr">
        <is>
          <t>امتحان</t>
        </is>
      </c>
      <c r="BL29" s="163" t="inlineStr">
        <is>
          <t>كويز</t>
        </is>
      </c>
      <c r="BM29" s="164" t="inlineStr">
        <is>
          <t>امتحان</t>
        </is>
      </c>
      <c r="BN29" s="163" t="inlineStr">
        <is>
          <t>كويز</t>
        </is>
      </c>
      <c r="BO29" s="164" t="inlineStr">
        <is>
          <t>امتحان</t>
        </is>
      </c>
      <c r="BP29" s="163" t="inlineStr">
        <is>
          <t>كويز</t>
        </is>
      </c>
      <c r="BQ29" s="164" t="inlineStr">
        <is>
          <t>امتحان</t>
        </is>
      </c>
      <c r="BR29" s="163" t="inlineStr">
        <is>
          <t>كويز</t>
        </is>
      </c>
      <c r="BS29" s="164" t="inlineStr">
        <is>
          <t>امتحان</t>
        </is>
      </c>
      <c r="BT29" s="163" t="inlineStr">
        <is>
          <t>كويز</t>
        </is>
      </c>
      <c r="BU29" s="164" t="inlineStr">
        <is>
          <t>امتحان</t>
        </is>
      </c>
      <c r="BV29" s="62" t="inlineStr">
        <is>
          <t>ملاحظات</t>
        </is>
      </c>
      <c r="BW29" s="165" t="inlineStr">
        <is>
          <t>كويز</t>
        </is>
      </c>
      <c r="BX29" s="166" t="inlineStr">
        <is>
          <t>امتحان</t>
        </is>
      </c>
      <c r="BY29" s="165" t="inlineStr">
        <is>
          <t>كويز</t>
        </is>
      </c>
      <c r="BZ29" s="166" t="inlineStr">
        <is>
          <t>امتحان</t>
        </is>
      </c>
      <c r="CA29" s="165" t="inlineStr">
        <is>
          <t>كويز</t>
        </is>
      </c>
      <c r="CB29" s="166" t="inlineStr">
        <is>
          <t>امتحان</t>
        </is>
      </c>
      <c r="CC29" s="165" t="inlineStr">
        <is>
          <t>كويز</t>
        </is>
      </c>
      <c r="CD29" s="166" t="inlineStr">
        <is>
          <t>امتحان</t>
        </is>
      </c>
      <c r="CE29" s="165" t="inlineStr">
        <is>
          <t>كويز</t>
        </is>
      </c>
      <c r="CF29" s="166" t="inlineStr">
        <is>
          <t>امتحان</t>
        </is>
      </c>
      <c r="CG29" s="165" t="inlineStr">
        <is>
          <t>كويز</t>
        </is>
      </c>
      <c r="CH29" s="166" t="inlineStr">
        <is>
          <t>امتحان</t>
        </is>
      </c>
      <c r="CI29" s="165" t="inlineStr">
        <is>
          <t>كويز</t>
        </is>
      </c>
      <c r="CJ29" s="166" t="inlineStr">
        <is>
          <t>امتحان</t>
        </is>
      </c>
      <c r="CK29" s="165" t="inlineStr">
        <is>
          <t>كويز</t>
        </is>
      </c>
      <c r="CL29" s="166" t="inlineStr">
        <is>
          <t>امتحان</t>
        </is>
      </c>
      <c r="CM29" s="63" t="inlineStr">
        <is>
          <t>ملاحظات</t>
        </is>
      </c>
      <c r="CN29" s="167" t="inlineStr">
        <is>
          <t>كويز</t>
        </is>
      </c>
      <c r="CO29" s="168" t="inlineStr">
        <is>
          <t>امتحان</t>
        </is>
      </c>
      <c r="CP29" s="167" t="inlineStr">
        <is>
          <t>كويز</t>
        </is>
      </c>
      <c r="CQ29" s="168" t="inlineStr">
        <is>
          <t>امتحان</t>
        </is>
      </c>
      <c r="CR29" s="167" t="inlineStr">
        <is>
          <t>كويز</t>
        </is>
      </c>
      <c r="CS29" s="168" t="inlineStr">
        <is>
          <t>امتحان</t>
        </is>
      </c>
      <c r="CT29" s="167" t="inlineStr">
        <is>
          <t>كويز</t>
        </is>
      </c>
      <c r="CU29" s="168" t="inlineStr">
        <is>
          <t>امتحان</t>
        </is>
      </c>
      <c r="CV29" s="167" t="inlineStr">
        <is>
          <t>كويز</t>
        </is>
      </c>
      <c r="CW29" s="168" t="inlineStr">
        <is>
          <t>امتحان</t>
        </is>
      </c>
      <c r="CX29" s="167" t="inlineStr">
        <is>
          <t>كويز</t>
        </is>
      </c>
      <c r="CY29" s="168" t="inlineStr">
        <is>
          <t>امتحان</t>
        </is>
      </c>
      <c r="CZ29" s="167" t="inlineStr">
        <is>
          <t>كويز</t>
        </is>
      </c>
      <c r="DA29" s="168" t="inlineStr">
        <is>
          <t>امتحان</t>
        </is>
      </c>
      <c r="DB29" s="167" t="inlineStr">
        <is>
          <t>كويز</t>
        </is>
      </c>
      <c r="DC29" s="168" t="inlineStr">
        <is>
          <t>امتحان</t>
        </is>
      </c>
      <c r="DD29" s="64" t="inlineStr">
        <is>
          <t>ملاحظات</t>
        </is>
      </c>
      <c r="DE29" s="169" t="inlineStr">
        <is>
          <t>كويز</t>
        </is>
      </c>
      <c r="DF29" s="170" t="inlineStr">
        <is>
          <t>امتحان</t>
        </is>
      </c>
      <c r="DG29" s="169" t="inlineStr">
        <is>
          <t>كويز</t>
        </is>
      </c>
      <c r="DH29" s="170" t="inlineStr">
        <is>
          <t>امتحان</t>
        </is>
      </c>
      <c r="DI29" s="169" t="inlineStr">
        <is>
          <t>كويز</t>
        </is>
      </c>
      <c r="DJ29" s="170" t="inlineStr">
        <is>
          <t>امتحان</t>
        </is>
      </c>
      <c r="DK29" s="169" t="inlineStr">
        <is>
          <t>كويز</t>
        </is>
      </c>
      <c r="DL29" s="170" t="inlineStr">
        <is>
          <t>امتحان</t>
        </is>
      </c>
      <c r="DM29" s="169" t="inlineStr">
        <is>
          <t>كويز</t>
        </is>
      </c>
      <c r="DN29" s="170" t="inlineStr">
        <is>
          <t>امتحان</t>
        </is>
      </c>
      <c r="DO29" s="169" t="inlineStr">
        <is>
          <t>كويز</t>
        </is>
      </c>
      <c r="DP29" s="170" t="inlineStr">
        <is>
          <t>امتحان</t>
        </is>
      </c>
      <c r="DQ29" s="169" t="inlineStr">
        <is>
          <t>كويز</t>
        </is>
      </c>
      <c r="DR29" s="170" t="inlineStr">
        <is>
          <t>امتحان</t>
        </is>
      </c>
      <c r="DS29" s="169" t="inlineStr">
        <is>
          <t>كويز</t>
        </is>
      </c>
      <c r="DT29" s="170" t="inlineStr">
        <is>
          <t>امتحان</t>
        </is>
      </c>
      <c r="DU29" s="65" t="inlineStr">
        <is>
          <t>ملاحظات</t>
        </is>
      </c>
      <c r="DV29" s="171" t="inlineStr">
        <is>
          <t>كويز</t>
        </is>
      </c>
      <c r="DW29" s="172" t="inlineStr">
        <is>
          <t>امتحان</t>
        </is>
      </c>
      <c r="DX29" s="171" t="inlineStr">
        <is>
          <t>كويز</t>
        </is>
      </c>
      <c r="DY29" s="172" t="inlineStr">
        <is>
          <t>امتحان</t>
        </is>
      </c>
      <c r="DZ29" s="171" t="inlineStr">
        <is>
          <t>كويز</t>
        </is>
      </c>
      <c r="EA29" s="172" t="inlineStr">
        <is>
          <t>امتحان</t>
        </is>
      </c>
      <c r="EB29" s="171" t="inlineStr">
        <is>
          <t>كويز</t>
        </is>
      </c>
      <c r="EC29" s="172" t="inlineStr">
        <is>
          <t>امتحان</t>
        </is>
      </c>
      <c r="ED29" s="171" t="inlineStr">
        <is>
          <t>كويز</t>
        </is>
      </c>
      <c r="EE29" s="172" t="inlineStr">
        <is>
          <t>امتحان</t>
        </is>
      </c>
      <c r="EF29" s="171" t="inlineStr">
        <is>
          <t>كويز</t>
        </is>
      </c>
      <c r="EG29" s="172" t="inlineStr">
        <is>
          <t>امتحان</t>
        </is>
      </c>
      <c r="EH29" s="171" t="inlineStr">
        <is>
          <t>كويز</t>
        </is>
      </c>
      <c r="EI29" s="172" t="inlineStr">
        <is>
          <t>امتحان</t>
        </is>
      </c>
      <c r="EJ29" s="171" t="inlineStr">
        <is>
          <t>كويز</t>
        </is>
      </c>
      <c r="EK29" s="172" t="inlineStr">
        <is>
          <t>امتحان</t>
        </is>
      </c>
      <c r="EL29" s="66" t="inlineStr">
        <is>
          <t>ملاحظات</t>
        </is>
      </c>
      <c r="EM29" s="173" t="inlineStr">
        <is>
          <t>كويز</t>
        </is>
      </c>
      <c r="EN29" s="174" t="inlineStr">
        <is>
          <t>امتحان</t>
        </is>
      </c>
      <c r="EO29" s="173" t="inlineStr">
        <is>
          <t>كويز</t>
        </is>
      </c>
      <c r="EP29" s="174" t="inlineStr">
        <is>
          <t>امتحان</t>
        </is>
      </c>
      <c r="EQ29" s="173" t="inlineStr">
        <is>
          <t>كويز</t>
        </is>
      </c>
      <c r="ER29" s="174" t="inlineStr">
        <is>
          <t>امتحان</t>
        </is>
      </c>
      <c r="ES29" s="173" t="inlineStr">
        <is>
          <t>كويز</t>
        </is>
      </c>
      <c r="ET29" s="174" t="inlineStr">
        <is>
          <t>امتحان</t>
        </is>
      </c>
      <c r="EU29" s="173" t="inlineStr">
        <is>
          <t>كويز</t>
        </is>
      </c>
      <c r="EV29" s="174" t="inlineStr">
        <is>
          <t>امتحان</t>
        </is>
      </c>
      <c r="EW29" s="173" t="inlineStr">
        <is>
          <t>كويز</t>
        </is>
      </c>
      <c r="EX29" s="174" t="inlineStr">
        <is>
          <t>امتحان</t>
        </is>
      </c>
      <c r="EY29" s="173" t="inlineStr">
        <is>
          <t>كويز</t>
        </is>
      </c>
      <c r="EZ29" s="174" t="inlineStr">
        <is>
          <t>امتحان</t>
        </is>
      </c>
      <c r="FA29" s="173" t="inlineStr">
        <is>
          <t>كويز</t>
        </is>
      </c>
      <c r="FB29" s="174" t="inlineStr">
        <is>
          <t>امتحان</t>
        </is>
      </c>
      <c r="FC29" s="67" t="inlineStr">
        <is>
          <t>ملاحظات</t>
        </is>
      </c>
      <c r="FD29" s="175" t="inlineStr">
        <is>
          <t>كويز</t>
        </is>
      </c>
      <c r="FE29" s="176" t="inlineStr">
        <is>
          <t>امتحان</t>
        </is>
      </c>
      <c r="FF29" s="175" t="inlineStr">
        <is>
          <t>كويز</t>
        </is>
      </c>
      <c r="FG29" s="176" t="inlineStr">
        <is>
          <t>امتحان</t>
        </is>
      </c>
      <c r="FH29" s="175" t="inlineStr">
        <is>
          <t>كويز</t>
        </is>
      </c>
      <c r="FI29" s="176" t="inlineStr">
        <is>
          <t>امتحان</t>
        </is>
      </c>
      <c r="FJ29" s="175" t="inlineStr">
        <is>
          <t>كويز</t>
        </is>
      </c>
      <c r="FK29" s="176" t="inlineStr">
        <is>
          <t>امتحان</t>
        </is>
      </c>
      <c r="FL29" s="175" t="inlineStr">
        <is>
          <t>كويز</t>
        </is>
      </c>
      <c r="FM29" s="176" t="inlineStr">
        <is>
          <t>امتحان</t>
        </is>
      </c>
      <c r="FN29" s="175" t="inlineStr">
        <is>
          <t>كويز</t>
        </is>
      </c>
      <c r="FO29" s="176" t="inlineStr">
        <is>
          <t>امتحان</t>
        </is>
      </c>
      <c r="FP29" s="175" t="inlineStr">
        <is>
          <t>كويز</t>
        </is>
      </c>
      <c r="FQ29" s="176" t="inlineStr">
        <is>
          <t>امتحان</t>
        </is>
      </c>
      <c r="FR29" s="175" t="inlineStr">
        <is>
          <t>كويز</t>
        </is>
      </c>
      <c r="FS29" s="176" t="inlineStr">
        <is>
          <t>امتحان</t>
        </is>
      </c>
      <c r="FT29" s="68" t="inlineStr">
        <is>
          <t>ملاحظات</t>
        </is>
      </c>
      <c r="FU29" s="177" t="inlineStr">
        <is>
          <t>كويز</t>
        </is>
      </c>
      <c r="FV29" s="178" t="inlineStr">
        <is>
          <t>امتحان</t>
        </is>
      </c>
      <c r="FW29" s="177" t="inlineStr">
        <is>
          <t>كويز</t>
        </is>
      </c>
      <c r="FX29" s="178" t="inlineStr">
        <is>
          <t>امتحان</t>
        </is>
      </c>
      <c r="FY29" s="177" t="inlineStr">
        <is>
          <t>كويز</t>
        </is>
      </c>
      <c r="FZ29" s="178" t="inlineStr">
        <is>
          <t>امتحان</t>
        </is>
      </c>
      <c r="GA29" s="177" t="inlineStr">
        <is>
          <t>كويز</t>
        </is>
      </c>
      <c r="GB29" s="178" t="inlineStr">
        <is>
          <t>امتحان</t>
        </is>
      </c>
      <c r="GC29" s="177" t="inlineStr">
        <is>
          <t>كويز</t>
        </is>
      </c>
      <c r="GD29" s="178" t="inlineStr">
        <is>
          <t>امتحان</t>
        </is>
      </c>
      <c r="GE29" s="177" t="inlineStr">
        <is>
          <t>كويز</t>
        </is>
      </c>
      <c r="GF29" s="178" t="inlineStr">
        <is>
          <t>امتحان</t>
        </is>
      </c>
      <c r="GG29" s="177" t="inlineStr">
        <is>
          <t>كويز</t>
        </is>
      </c>
      <c r="GH29" s="178" t="inlineStr">
        <is>
          <t>امتحان</t>
        </is>
      </c>
      <c r="GI29" s="177" t="inlineStr">
        <is>
          <t>كويز</t>
        </is>
      </c>
      <c r="GJ29" s="178" t="inlineStr">
        <is>
          <t>امتحان</t>
        </is>
      </c>
      <c r="GK29" s="69" t="inlineStr">
        <is>
          <t>ملاحظات</t>
        </is>
      </c>
      <c r="GL29" s="179" t="inlineStr">
        <is>
          <t>كويز</t>
        </is>
      </c>
      <c r="GM29" s="180" t="inlineStr">
        <is>
          <t>امتحان</t>
        </is>
      </c>
      <c r="GN29" s="179" t="inlineStr">
        <is>
          <t>كويز</t>
        </is>
      </c>
      <c r="GO29" s="180" t="inlineStr">
        <is>
          <t>امتحان</t>
        </is>
      </c>
      <c r="GP29" s="179" t="inlineStr">
        <is>
          <t>كويز</t>
        </is>
      </c>
      <c r="GQ29" s="180" t="inlineStr">
        <is>
          <t>امتحان</t>
        </is>
      </c>
      <c r="GR29" s="179" t="inlineStr">
        <is>
          <t>كويز</t>
        </is>
      </c>
      <c r="GS29" s="180" t="inlineStr">
        <is>
          <t>امتحان</t>
        </is>
      </c>
      <c r="GT29" s="179" t="inlineStr">
        <is>
          <t>كويز</t>
        </is>
      </c>
      <c r="GU29" s="180" t="inlineStr">
        <is>
          <t>امتحان</t>
        </is>
      </c>
      <c r="GV29" s="179" t="inlineStr">
        <is>
          <t>كويز</t>
        </is>
      </c>
      <c r="GW29" s="180" t="inlineStr">
        <is>
          <t>امتحان</t>
        </is>
      </c>
      <c r="GX29" s="179" t="inlineStr">
        <is>
          <t>كويز</t>
        </is>
      </c>
      <c r="GY29" s="180" t="inlineStr">
        <is>
          <t>امتحان</t>
        </is>
      </c>
      <c r="GZ29" s="179" t="inlineStr">
        <is>
          <t>كويز</t>
        </is>
      </c>
      <c r="HA29" s="180" t="inlineStr">
        <is>
          <t>امتحان</t>
        </is>
      </c>
      <c r="HB29" s="70" t="inlineStr">
        <is>
          <t>ملاحظات</t>
        </is>
      </c>
    </row>
    <row r="30" ht="22.5" customHeight="1">
      <c r="A30" s="36" t="n">
        <v>1</v>
      </c>
      <c r="B30" s="181" t="str">
        <f>IF($B5="","",$B5)</f>
        <v/>
      </c>
      <c r="C30" s="136" t="str">
        <f>IF(OR($B30="",$HD30=0),"",ROUND($HC30,2)&amp;" / "&amp;$HD30)</f>
        <v/>
      </c>
      <c r="D30" s="182" t="str">
        <f>IF(OR($B30="",$HD30=0),"",$HC30/$HD30)</f>
        <v/>
      </c>
      <c r="E30" s="98" t="str">
        <f>IF($D30="","",RANK($D30,$D$30:$D$44))</f>
        <v/>
      </c>
      <c r="F30" s="99" t="str">
        <f>IF($D30="","",IF($D30&gt;=0.85,"ممتاز",IF($D30&gt;=0.75,"جيد جداً",IF($D30&gt;=0.65,"جيد",IF($D30&gt;=0.5,"مقبول","ضعيف")))))</f>
        <v/>
      </c>
      <c r="G30" s="100" t="n"/>
      <c r="H30" s="101" t="n"/>
      <c r="I30" s="100" t="n"/>
      <c r="J30" s="101" t="n"/>
      <c r="K30" s="100" t="n"/>
      <c r="L30" s="101" t="n"/>
      <c r="M30" s="100" t="n"/>
      <c r="N30" s="101" t="n"/>
      <c r="O30" s="100" t="n"/>
      <c r="P30" s="101" t="n"/>
      <c r="Q30" s="100" t="n"/>
      <c r="R30" s="101" t="n"/>
      <c r="S30" s="100" t="n"/>
      <c r="T30" s="101" t="n"/>
      <c r="U30" s="100" t="n"/>
      <c r="V30" s="101" t="n"/>
      <c r="W30" s="183" t="n"/>
      <c r="X30" s="103" t="n"/>
      <c r="Y30" s="104" t="n"/>
      <c r="Z30" s="103" t="n"/>
      <c r="AA30" s="104" t="n"/>
      <c r="AB30" s="103" t="n"/>
      <c r="AC30" s="104" t="n"/>
      <c r="AD30" s="103" t="n"/>
      <c r="AE30" s="104" t="n"/>
      <c r="AF30" s="103" t="n"/>
      <c r="AG30" s="104" t="n"/>
      <c r="AH30" s="103" t="n"/>
      <c r="AI30" s="104" t="n"/>
      <c r="AJ30" s="103" t="n"/>
      <c r="AK30" s="104" t="n"/>
      <c r="AL30" s="103" t="n"/>
      <c r="AM30" s="104" t="n"/>
      <c r="AN30" s="184" t="n"/>
      <c r="AO30" s="106" t="n"/>
      <c r="AP30" s="107" t="n"/>
      <c r="AQ30" s="106" t="n"/>
      <c r="AR30" s="107" t="n"/>
      <c r="AS30" s="106" t="n"/>
      <c r="AT30" s="107" t="n"/>
      <c r="AU30" s="106" t="n"/>
      <c r="AV30" s="107" t="n"/>
      <c r="AW30" s="106" t="n"/>
      <c r="AX30" s="107" t="n"/>
      <c r="AY30" s="106" t="n"/>
      <c r="AZ30" s="107" t="n"/>
      <c r="BA30" s="106" t="n"/>
      <c r="BB30" s="107" t="n"/>
      <c r="BC30" s="106" t="n"/>
      <c r="BD30" s="107" t="n"/>
      <c r="BE30" s="185" t="n"/>
      <c r="BF30" s="109" t="n"/>
      <c r="BG30" s="110" t="n"/>
      <c r="BH30" s="109" t="n"/>
      <c r="BI30" s="110" t="n"/>
      <c r="BJ30" s="109" t="n"/>
      <c r="BK30" s="110" t="n"/>
      <c r="BL30" s="109" t="n"/>
      <c r="BM30" s="110" t="n"/>
      <c r="BN30" s="109" t="n"/>
      <c r="BO30" s="110" t="n"/>
      <c r="BP30" s="109" t="n"/>
      <c r="BQ30" s="110" t="n"/>
      <c r="BR30" s="109" t="n"/>
      <c r="BS30" s="110" t="n"/>
      <c r="BT30" s="109" t="n"/>
      <c r="BU30" s="110" t="n"/>
      <c r="BV30" s="186" t="n"/>
      <c r="BW30" s="112" t="n"/>
      <c r="BX30" s="113" t="n"/>
      <c r="BY30" s="112" t="n"/>
      <c r="BZ30" s="113" t="n"/>
      <c r="CA30" s="112" t="n"/>
      <c r="CB30" s="113" t="n"/>
      <c r="CC30" s="112" t="n"/>
      <c r="CD30" s="113" t="n"/>
      <c r="CE30" s="112" t="n"/>
      <c r="CF30" s="113" t="n"/>
      <c r="CG30" s="112" t="n"/>
      <c r="CH30" s="113" t="n"/>
      <c r="CI30" s="112" t="n"/>
      <c r="CJ30" s="113" t="n"/>
      <c r="CK30" s="112" t="n"/>
      <c r="CL30" s="113" t="n"/>
      <c r="CM30" s="187" t="n"/>
      <c r="CN30" s="115" t="n"/>
      <c r="CO30" s="116" t="n"/>
      <c r="CP30" s="115" t="n"/>
      <c r="CQ30" s="116" t="n"/>
      <c r="CR30" s="115" t="n"/>
      <c r="CS30" s="116" t="n"/>
      <c r="CT30" s="115" t="n"/>
      <c r="CU30" s="116" t="n"/>
      <c r="CV30" s="115" t="n"/>
      <c r="CW30" s="116" t="n"/>
      <c r="CX30" s="115" t="n"/>
      <c r="CY30" s="116" t="n"/>
      <c r="CZ30" s="115" t="n"/>
      <c r="DA30" s="116" t="n"/>
      <c r="DB30" s="115" t="n"/>
      <c r="DC30" s="116" t="n"/>
      <c r="DD30" s="188" t="n"/>
      <c r="DE30" s="118" t="n"/>
      <c r="DF30" s="119" t="n"/>
      <c r="DG30" s="118" t="n"/>
      <c r="DH30" s="119" t="n"/>
      <c r="DI30" s="118" t="n"/>
      <c r="DJ30" s="119" t="n"/>
      <c r="DK30" s="118" t="n"/>
      <c r="DL30" s="119" t="n"/>
      <c r="DM30" s="118" t="n"/>
      <c r="DN30" s="119" t="n"/>
      <c r="DO30" s="118" t="n"/>
      <c r="DP30" s="119" t="n"/>
      <c r="DQ30" s="118" t="n"/>
      <c r="DR30" s="119" t="n"/>
      <c r="DS30" s="118" t="n"/>
      <c r="DT30" s="119" t="n"/>
      <c r="DU30" s="189" t="n"/>
      <c r="DV30" s="121" t="n"/>
      <c r="DW30" s="122" t="n"/>
      <c r="DX30" s="121" t="n"/>
      <c r="DY30" s="122" t="n"/>
      <c r="DZ30" s="121" t="n"/>
      <c r="EA30" s="122" t="n"/>
      <c r="EB30" s="121" t="n"/>
      <c r="EC30" s="122" t="n"/>
      <c r="ED30" s="121" t="n"/>
      <c r="EE30" s="122" t="n"/>
      <c r="EF30" s="121" t="n"/>
      <c r="EG30" s="122" t="n"/>
      <c r="EH30" s="121" t="n"/>
      <c r="EI30" s="122" t="n"/>
      <c r="EJ30" s="121" t="n"/>
      <c r="EK30" s="122" t="n"/>
      <c r="EL30" s="190" t="n"/>
      <c r="EM30" s="124" t="n"/>
      <c r="EN30" s="125" t="n"/>
      <c r="EO30" s="124" t="n"/>
      <c r="EP30" s="125" t="n"/>
      <c r="EQ30" s="124" t="n"/>
      <c r="ER30" s="125" t="n"/>
      <c r="ES30" s="124" t="n"/>
      <c r="ET30" s="125" t="n"/>
      <c r="EU30" s="124" t="n"/>
      <c r="EV30" s="125" t="n"/>
      <c r="EW30" s="124" t="n"/>
      <c r="EX30" s="125" t="n"/>
      <c r="EY30" s="124" t="n"/>
      <c r="EZ30" s="125" t="n"/>
      <c r="FA30" s="124" t="n"/>
      <c r="FB30" s="125" t="n"/>
      <c r="FC30" s="191" t="n"/>
      <c r="FD30" s="127" t="n"/>
      <c r="FE30" s="128" t="n"/>
      <c r="FF30" s="127" t="n"/>
      <c r="FG30" s="128" t="n"/>
      <c r="FH30" s="127" t="n"/>
      <c r="FI30" s="128" t="n"/>
      <c r="FJ30" s="127" t="n"/>
      <c r="FK30" s="128" t="n"/>
      <c r="FL30" s="127" t="n"/>
      <c r="FM30" s="128" t="n"/>
      <c r="FN30" s="127" t="n"/>
      <c r="FO30" s="128" t="n"/>
      <c r="FP30" s="127" t="n"/>
      <c r="FQ30" s="128" t="n"/>
      <c r="FR30" s="127" t="n"/>
      <c r="FS30" s="128" t="n"/>
      <c r="FT30" s="192" t="n"/>
      <c r="FU30" s="130" t="n"/>
      <c r="FV30" s="131" t="n"/>
      <c r="FW30" s="130" t="n"/>
      <c r="FX30" s="131" t="n"/>
      <c r="FY30" s="130" t="n"/>
      <c r="FZ30" s="131" t="n"/>
      <c r="GA30" s="130" t="n"/>
      <c r="GB30" s="131" t="n"/>
      <c r="GC30" s="130" t="n"/>
      <c r="GD30" s="131" t="n"/>
      <c r="GE30" s="130" t="n"/>
      <c r="GF30" s="131" t="n"/>
      <c r="GG30" s="130" t="n"/>
      <c r="GH30" s="131" t="n"/>
      <c r="GI30" s="130" t="n"/>
      <c r="GJ30" s="131" t="n"/>
      <c r="GK30" s="193" t="n"/>
      <c r="GL30" s="133" t="n"/>
      <c r="GM30" s="134" t="n"/>
      <c r="GN30" s="133" t="n"/>
      <c r="GO30" s="134" t="n"/>
      <c r="GP30" s="133" t="n"/>
      <c r="GQ30" s="134" t="n"/>
      <c r="GR30" s="133" t="n"/>
      <c r="GS30" s="134" t="n"/>
      <c r="GT30" s="133" t="n"/>
      <c r="GU30" s="134" t="n"/>
      <c r="GV30" s="133" t="n"/>
      <c r="GW30" s="134" t="n"/>
      <c r="GX30" s="133" t="n"/>
      <c r="GY30" s="134" t="n"/>
      <c r="GZ30" s="133" t="n"/>
      <c r="HA30" s="134" t="n"/>
      <c r="HB30" s="194" t="n"/>
      <c r="HC30">
        <f>SUMIFS($G30:$HB30,$G$46:$HB$46,"&gt;="&amp;$HD$1,$G$46:$HB$46,"&lt;="&amp;$HD$2,$G$29:$HB$29,"&lt;&gt;ملاحظات",$G$28:$HB$28,"&gt;0")</f>
        <v>0</v>
      </c>
      <c r="HD30">
        <f>SUMIFS($G$28:$HB$28,$G$46:$HB$46,"&gt;="&amp;$HD$1,$G$46:$HB$46,"&lt;="&amp;$HD$2,$G$29:$HB$29,"&lt;&gt;ملاحظات",$G30:$HB30,"&gt;=0")</f>
        <v>0</v>
      </c>
    </row>
    <row r="31" ht="22.5" customHeight="1">
      <c r="A31" s="36" t="n">
        <v>2</v>
      </c>
      <c r="B31" s="181" t="str">
        <f>IF($B6="","",$B6)</f>
        <v/>
      </c>
      <c r="C31" s="136" t="str">
        <f>IF(OR($B31="",$HD31=0),"",ROUND($HC31,2)&amp;" / "&amp;$HD31)</f>
        <v/>
      </c>
      <c r="D31" s="182" t="str">
        <f>IF(OR($B31="",$HD31=0),"",$HC31/$HD31)</f>
        <v/>
      </c>
      <c r="E31" s="98" t="str">
        <f>IF($D31="","",RANK($D31,$D$30:$D$44))</f>
        <v/>
      </c>
      <c r="F31" s="99" t="str">
        <f>IF($D31="","",IF($D31&gt;=0.85,"ممتاز",IF($D31&gt;=0.75,"جيد جداً",IF($D31&gt;=0.65,"جيد",IF($D31&gt;=0.5,"مقبول","ضعيف")))))</f>
        <v/>
      </c>
      <c r="G31" s="100" t="n"/>
      <c r="H31" s="101" t="n"/>
      <c r="I31" s="100" t="n"/>
      <c r="J31" s="101" t="n"/>
      <c r="K31" s="100" t="n"/>
      <c r="L31" s="101" t="n"/>
      <c r="M31" s="100" t="n"/>
      <c r="N31" s="101" t="n"/>
      <c r="O31" s="100" t="n"/>
      <c r="P31" s="101" t="n"/>
      <c r="Q31" s="100" t="n"/>
      <c r="R31" s="101" t="n"/>
      <c r="S31" s="100" t="n"/>
      <c r="T31" s="101" t="n"/>
      <c r="U31" s="100" t="n"/>
      <c r="V31" s="101" t="n"/>
      <c r="W31" s="183" t="n"/>
      <c r="X31" s="103" t="n"/>
      <c r="Y31" s="104" t="n"/>
      <c r="Z31" s="103" t="n"/>
      <c r="AA31" s="104" t="n"/>
      <c r="AB31" s="103" t="n"/>
      <c r="AC31" s="104" t="n"/>
      <c r="AD31" s="103" t="n"/>
      <c r="AE31" s="104" t="n"/>
      <c r="AF31" s="103" t="n"/>
      <c r="AG31" s="104" t="n"/>
      <c r="AH31" s="103" t="n"/>
      <c r="AI31" s="104" t="n"/>
      <c r="AJ31" s="103" t="n"/>
      <c r="AK31" s="104" t="n"/>
      <c r="AL31" s="103" t="n"/>
      <c r="AM31" s="104" t="n"/>
      <c r="AN31" s="184" t="n"/>
      <c r="AO31" s="106" t="n"/>
      <c r="AP31" s="107" t="n"/>
      <c r="AQ31" s="106" t="n"/>
      <c r="AR31" s="107" t="n"/>
      <c r="AS31" s="106" t="n"/>
      <c r="AT31" s="107" t="n"/>
      <c r="AU31" s="106" t="n"/>
      <c r="AV31" s="107" t="n"/>
      <c r="AW31" s="106" t="n"/>
      <c r="AX31" s="107" t="n"/>
      <c r="AY31" s="106" t="n"/>
      <c r="AZ31" s="107" t="n"/>
      <c r="BA31" s="106" t="n"/>
      <c r="BB31" s="107" t="n"/>
      <c r="BC31" s="106" t="n"/>
      <c r="BD31" s="107" t="n"/>
      <c r="BE31" s="185" t="n"/>
      <c r="BF31" s="109" t="n"/>
      <c r="BG31" s="110" t="n"/>
      <c r="BH31" s="109" t="n"/>
      <c r="BI31" s="110" t="n"/>
      <c r="BJ31" s="109" t="n"/>
      <c r="BK31" s="110" t="n"/>
      <c r="BL31" s="109" t="n"/>
      <c r="BM31" s="110" t="n"/>
      <c r="BN31" s="109" t="n"/>
      <c r="BO31" s="110" t="n"/>
      <c r="BP31" s="109" t="n"/>
      <c r="BQ31" s="110" t="n"/>
      <c r="BR31" s="109" t="n"/>
      <c r="BS31" s="110" t="n"/>
      <c r="BT31" s="109" t="n"/>
      <c r="BU31" s="110" t="n"/>
      <c r="BV31" s="186" t="n"/>
      <c r="BW31" s="112" t="n"/>
      <c r="BX31" s="113" t="n"/>
      <c r="BY31" s="112" t="n"/>
      <c r="BZ31" s="113" t="n"/>
      <c r="CA31" s="112" t="n"/>
      <c r="CB31" s="113" t="n"/>
      <c r="CC31" s="112" t="n"/>
      <c r="CD31" s="113" t="n"/>
      <c r="CE31" s="112" t="n"/>
      <c r="CF31" s="113" t="n"/>
      <c r="CG31" s="112" t="n"/>
      <c r="CH31" s="113" t="n"/>
      <c r="CI31" s="112" t="n"/>
      <c r="CJ31" s="113" t="n"/>
      <c r="CK31" s="112" t="n"/>
      <c r="CL31" s="113" t="n"/>
      <c r="CM31" s="187" t="n"/>
      <c r="CN31" s="115" t="n"/>
      <c r="CO31" s="116" t="n"/>
      <c r="CP31" s="115" t="n"/>
      <c r="CQ31" s="116" t="n"/>
      <c r="CR31" s="115" t="n"/>
      <c r="CS31" s="116" t="n"/>
      <c r="CT31" s="115" t="n"/>
      <c r="CU31" s="116" t="n"/>
      <c r="CV31" s="115" t="n"/>
      <c r="CW31" s="116" t="n"/>
      <c r="CX31" s="115" t="n"/>
      <c r="CY31" s="116" t="n"/>
      <c r="CZ31" s="115" t="n"/>
      <c r="DA31" s="116" t="n"/>
      <c r="DB31" s="115" t="n"/>
      <c r="DC31" s="116" t="n"/>
      <c r="DD31" s="188" t="n"/>
      <c r="DE31" s="118" t="n"/>
      <c r="DF31" s="119" t="n"/>
      <c r="DG31" s="118" t="n"/>
      <c r="DH31" s="119" t="n"/>
      <c r="DI31" s="118" t="n"/>
      <c r="DJ31" s="119" t="n"/>
      <c r="DK31" s="118" t="n"/>
      <c r="DL31" s="119" t="n"/>
      <c r="DM31" s="118" t="n"/>
      <c r="DN31" s="119" t="n"/>
      <c r="DO31" s="118" t="n"/>
      <c r="DP31" s="119" t="n"/>
      <c r="DQ31" s="118" t="n"/>
      <c r="DR31" s="119" t="n"/>
      <c r="DS31" s="118" t="n"/>
      <c r="DT31" s="119" t="n"/>
      <c r="DU31" s="189" t="n"/>
      <c r="DV31" s="121" t="n"/>
      <c r="DW31" s="122" t="n"/>
      <c r="DX31" s="121" t="n"/>
      <c r="DY31" s="122" t="n"/>
      <c r="DZ31" s="121" t="n"/>
      <c r="EA31" s="122" t="n"/>
      <c r="EB31" s="121" t="n"/>
      <c r="EC31" s="122" t="n"/>
      <c r="ED31" s="121" t="n"/>
      <c r="EE31" s="122" t="n"/>
      <c r="EF31" s="121" t="n"/>
      <c r="EG31" s="122" t="n"/>
      <c r="EH31" s="121" t="n"/>
      <c r="EI31" s="122" t="n"/>
      <c r="EJ31" s="121" t="n"/>
      <c r="EK31" s="122" t="n"/>
      <c r="EL31" s="190" t="n"/>
      <c r="EM31" s="124" t="n"/>
      <c r="EN31" s="125" t="n"/>
      <c r="EO31" s="124" t="n"/>
      <c r="EP31" s="125" t="n"/>
      <c r="EQ31" s="124" t="n"/>
      <c r="ER31" s="125" t="n"/>
      <c r="ES31" s="124" t="n"/>
      <c r="ET31" s="125" t="n"/>
      <c r="EU31" s="124" t="n"/>
      <c r="EV31" s="125" t="n"/>
      <c r="EW31" s="124" t="n"/>
      <c r="EX31" s="125" t="n"/>
      <c r="EY31" s="124" t="n"/>
      <c r="EZ31" s="125" t="n"/>
      <c r="FA31" s="124" t="n"/>
      <c r="FB31" s="125" t="n"/>
      <c r="FC31" s="191" t="n"/>
      <c r="FD31" s="127" t="n"/>
      <c r="FE31" s="128" t="n"/>
      <c r="FF31" s="127" t="n"/>
      <c r="FG31" s="128" t="n"/>
      <c r="FH31" s="127" t="n"/>
      <c r="FI31" s="128" t="n"/>
      <c r="FJ31" s="127" t="n"/>
      <c r="FK31" s="128" t="n"/>
      <c r="FL31" s="127" t="n"/>
      <c r="FM31" s="128" t="n"/>
      <c r="FN31" s="127" t="n"/>
      <c r="FO31" s="128" t="n"/>
      <c r="FP31" s="127" t="n"/>
      <c r="FQ31" s="128" t="n"/>
      <c r="FR31" s="127" t="n"/>
      <c r="FS31" s="128" t="n"/>
      <c r="FT31" s="192" t="n"/>
      <c r="FU31" s="130" t="n"/>
      <c r="FV31" s="131" t="n"/>
      <c r="FW31" s="130" t="n"/>
      <c r="FX31" s="131" t="n"/>
      <c r="FY31" s="130" t="n"/>
      <c r="FZ31" s="131" t="n"/>
      <c r="GA31" s="130" t="n"/>
      <c r="GB31" s="131" t="n"/>
      <c r="GC31" s="130" t="n"/>
      <c r="GD31" s="131" t="n"/>
      <c r="GE31" s="130" t="n"/>
      <c r="GF31" s="131" t="n"/>
      <c r="GG31" s="130" t="n"/>
      <c r="GH31" s="131" t="n"/>
      <c r="GI31" s="130" t="n"/>
      <c r="GJ31" s="131" t="n"/>
      <c r="GK31" s="193" t="n"/>
      <c r="GL31" s="133" t="n"/>
      <c r="GM31" s="134" t="n"/>
      <c r="GN31" s="133" t="n"/>
      <c r="GO31" s="134" t="n"/>
      <c r="GP31" s="133" t="n"/>
      <c r="GQ31" s="134" t="n"/>
      <c r="GR31" s="133" t="n"/>
      <c r="GS31" s="134" t="n"/>
      <c r="GT31" s="133" t="n"/>
      <c r="GU31" s="134" t="n"/>
      <c r="GV31" s="133" t="n"/>
      <c r="GW31" s="134" t="n"/>
      <c r="GX31" s="133" t="n"/>
      <c r="GY31" s="134" t="n"/>
      <c r="GZ31" s="133" t="n"/>
      <c r="HA31" s="134" t="n"/>
      <c r="HB31" s="194" t="n"/>
      <c r="HC31">
        <f>SUMIFS($G31:$HB31,$G$46:$HB$46,"&gt;="&amp;$HD$1,$G$46:$HB$46,"&lt;="&amp;$HD$2,$G$29:$HB$29,"&lt;&gt;ملاحظات",$G$28:$HB$28,"&gt;0")</f>
        <v>0</v>
      </c>
      <c r="HD31">
        <f>SUMIFS($G$28:$HB$28,$G$46:$HB$46,"&gt;="&amp;$HD$1,$G$46:$HB$46,"&lt;="&amp;$HD$2,$G$29:$HB$29,"&lt;&gt;ملاحظات",$G31:$HB31,"&gt;=0")</f>
        <v>0</v>
      </c>
    </row>
    <row r="32" ht="22.5" customHeight="1">
      <c r="A32" s="36" t="n">
        <v>3</v>
      </c>
      <c r="B32" s="181" t="str">
        <f>IF($B7="","",$B7)</f>
        <v/>
      </c>
      <c r="C32" s="136" t="str">
        <f>IF(OR($B32="",$HD32=0),"",ROUND($HC32,2)&amp;" / "&amp;$HD32)</f>
        <v/>
      </c>
      <c r="D32" s="182" t="str">
        <f>IF(OR($B32="",$HD32=0),"",$HC32/$HD32)</f>
        <v/>
      </c>
      <c r="E32" s="98" t="str">
        <f>IF($D32="","",RANK($D32,$D$30:$D$44))</f>
        <v/>
      </c>
      <c r="F32" s="99" t="str">
        <f>IF($D32="","",IF($D32&gt;=0.85,"ممتاز",IF($D32&gt;=0.75,"جيد جداً",IF($D32&gt;=0.65,"جيد",IF($D32&gt;=0.5,"مقبول","ضعيف")))))</f>
        <v/>
      </c>
      <c r="G32" s="100" t="n"/>
      <c r="H32" s="101" t="n"/>
      <c r="I32" s="100" t="n"/>
      <c r="J32" s="101" t="n"/>
      <c r="K32" s="100" t="n"/>
      <c r="L32" s="101" t="n"/>
      <c r="M32" s="100" t="n"/>
      <c r="N32" s="101" t="n"/>
      <c r="O32" s="100" t="n"/>
      <c r="P32" s="101" t="n"/>
      <c r="Q32" s="100" t="n"/>
      <c r="R32" s="101" t="n"/>
      <c r="S32" s="100" t="n"/>
      <c r="T32" s="101" t="n"/>
      <c r="U32" s="100" t="n"/>
      <c r="V32" s="101" t="n"/>
      <c r="W32" s="183" t="n"/>
      <c r="X32" s="103" t="n"/>
      <c r="Y32" s="104" t="n"/>
      <c r="Z32" s="103" t="n"/>
      <c r="AA32" s="104" t="n"/>
      <c r="AB32" s="103" t="n"/>
      <c r="AC32" s="104" t="n"/>
      <c r="AD32" s="103" t="n"/>
      <c r="AE32" s="104" t="n"/>
      <c r="AF32" s="103" t="n"/>
      <c r="AG32" s="104" t="n"/>
      <c r="AH32" s="103" t="n"/>
      <c r="AI32" s="104" t="n"/>
      <c r="AJ32" s="103" t="n"/>
      <c r="AK32" s="104" t="n"/>
      <c r="AL32" s="103" t="n"/>
      <c r="AM32" s="104" t="n"/>
      <c r="AN32" s="184" t="n"/>
      <c r="AO32" s="106" t="n"/>
      <c r="AP32" s="107" t="n"/>
      <c r="AQ32" s="106" t="n"/>
      <c r="AR32" s="107" t="n"/>
      <c r="AS32" s="106" t="n"/>
      <c r="AT32" s="107" t="n"/>
      <c r="AU32" s="106" t="n"/>
      <c r="AV32" s="107" t="n"/>
      <c r="AW32" s="106" t="n"/>
      <c r="AX32" s="107" t="n"/>
      <c r="AY32" s="106" t="n"/>
      <c r="AZ32" s="107" t="n"/>
      <c r="BA32" s="106" t="n"/>
      <c r="BB32" s="107" t="n"/>
      <c r="BC32" s="106" t="n"/>
      <c r="BD32" s="107" t="n"/>
      <c r="BE32" s="185" t="n"/>
      <c r="BF32" s="109" t="n"/>
      <c r="BG32" s="110" t="n"/>
      <c r="BH32" s="109" t="n"/>
      <c r="BI32" s="110" t="n"/>
      <c r="BJ32" s="109" t="n"/>
      <c r="BK32" s="110" t="n"/>
      <c r="BL32" s="109" t="n"/>
      <c r="BM32" s="110" t="n"/>
      <c r="BN32" s="109" t="n"/>
      <c r="BO32" s="110" t="n"/>
      <c r="BP32" s="109" t="n"/>
      <c r="BQ32" s="110" t="n"/>
      <c r="BR32" s="109" t="n"/>
      <c r="BS32" s="110" t="n"/>
      <c r="BT32" s="109" t="n"/>
      <c r="BU32" s="110" t="n"/>
      <c r="BV32" s="186" t="n"/>
      <c r="BW32" s="112" t="n"/>
      <c r="BX32" s="113" t="n"/>
      <c r="BY32" s="112" t="n"/>
      <c r="BZ32" s="113" t="n"/>
      <c r="CA32" s="112" t="n"/>
      <c r="CB32" s="113" t="n"/>
      <c r="CC32" s="112" t="n"/>
      <c r="CD32" s="113" t="n"/>
      <c r="CE32" s="112" t="n"/>
      <c r="CF32" s="113" t="n"/>
      <c r="CG32" s="112" t="n"/>
      <c r="CH32" s="113" t="n"/>
      <c r="CI32" s="112" t="n"/>
      <c r="CJ32" s="113" t="n"/>
      <c r="CK32" s="112" t="n"/>
      <c r="CL32" s="113" t="n"/>
      <c r="CM32" s="187" t="n"/>
      <c r="CN32" s="115" t="n"/>
      <c r="CO32" s="116" t="n"/>
      <c r="CP32" s="115" t="n"/>
      <c r="CQ32" s="116" t="n"/>
      <c r="CR32" s="115" t="n"/>
      <c r="CS32" s="116" t="n"/>
      <c r="CT32" s="115" t="n"/>
      <c r="CU32" s="116" t="n"/>
      <c r="CV32" s="115" t="n"/>
      <c r="CW32" s="116" t="n"/>
      <c r="CX32" s="115" t="n"/>
      <c r="CY32" s="116" t="n"/>
      <c r="CZ32" s="115" t="n"/>
      <c r="DA32" s="116" t="n"/>
      <c r="DB32" s="115" t="n"/>
      <c r="DC32" s="116" t="n"/>
      <c r="DD32" s="188" t="n"/>
      <c r="DE32" s="118" t="n"/>
      <c r="DF32" s="119" t="n"/>
      <c r="DG32" s="118" t="n"/>
      <c r="DH32" s="119" t="n"/>
      <c r="DI32" s="118" t="n"/>
      <c r="DJ32" s="119" t="n"/>
      <c r="DK32" s="118" t="n"/>
      <c r="DL32" s="119" t="n"/>
      <c r="DM32" s="118" t="n"/>
      <c r="DN32" s="119" t="n"/>
      <c r="DO32" s="118" t="n"/>
      <c r="DP32" s="119" t="n"/>
      <c r="DQ32" s="118" t="n"/>
      <c r="DR32" s="119" t="n"/>
      <c r="DS32" s="118" t="n"/>
      <c r="DT32" s="119" t="n"/>
      <c r="DU32" s="189" t="n"/>
      <c r="DV32" s="121" t="n"/>
      <c r="DW32" s="122" t="n"/>
      <c r="DX32" s="121" t="n"/>
      <c r="DY32" s="122" t="n"/>
      <c r="DZ32" s="121" t="n"/>
      <c r="EA32" s="122" t="n"/>
      <c r="EB32" s="121" t="n"/>
      <c r="EC32" s="122" t="n"/>
      <c r="ED32" s="121" t="n"/>
      <c r="EE32" s="122" t="n"/>
      <c r="EF32" s="121" t="n"/>
      <c r="EG32" s="122" t="n"/>
      <c r="EH32" s="121" t="n"/>
      <c r="EI32" s="122" t="n"/>
      <c r="EJ32" s="121" t="n"/>
      <c r="EK32" s="122" t="n"/>
      <c r="EL32" s="190" t="n"/>
      <c r="EM32" s="124" t="n"/>
      <c r="EN32" s="125" t="n"/>
      <c r="EO32" s="124" t="n"/>
      <c r="EP32" s="125" t="n"/>
      <c r="EQ32" s="124" t="n"/>
      <c r="ER32" s="125" t="n"/>
      <c r="ES32" s="124" t="n"/>
      <c r="ET32" s="125" t="n"/>
      <c r="EU32" s="124" t="n"/>
      <c r="EV32" s="125" t="n"/>
      <c r="EW32" s="124" t="n"/>
      <c r="EX32" s="125" t="n"/>
      <c r="EY32" s="124" t="n"/>
      <c r="EZ32" s="125" t="n"/>
      <c r="FA32" s="124" t="n"/>
      <c r="FB32" s="125" t="n"/>
      <c r="FC32" s="191" t="n"/>
      <c r="FD32" s="127" t="n"/>
      <c r="FE32" s="128" t="n"/>
      <c r="FF32" s="127" t="n"/>
      <c r="FG32" s="128" t="n"/>
      <c r="FH32" s="127" t="n"/>
      <c r="FI32" s="128" t="n"/>
      <c r="FJ32" s="127" t="n"/>
      <c r="FK32" s="128" t="n"/>
      <c r="FL32" s="127" t="n"/>
      <c r="FM32" s="128" t="n"/>
      <c r="FN32" s="127" t="n"/>
      <c r="FO32" s="128" t="n"/>
      <c r="FP32" s="127" t="n"/>
      <c r="FQ32" s="128" t="n"/>
      <c r="FR32" s="127" t="n"/>
      <c r="FS32" s="128" t="n"/>
      <c r="FT32" s="192" t="n"/>
      <c r="FU32" s="130" t="n"/>
      <c r="FV32" s="131" t="n"/>
      <c r="FW32" s="130" t="n"/>
      <c r="FX32" s="131" t="n"/>
      <c r="FY32" s="130" t="n"/>
      <c r="FZ32" s="131" t="n"/>
      <c r="GA32" s="130" t="n"/>
      <c r="GB32" s="131" t="n"/>
      <c r="GC32" s="130" t="n"/>
      <c r="GD32" s="131" t="n"/>
      <c r="GE32" s="130" t="n"/>
      <c r="GF32" s="131" t="n"/>
      <c r="GG32" s="130" t="n"/>
      <c r="GH32" s="131" t="n"/>
      <c r="GI32" s="130" t="n"/>
      <c r="GJ32" s="131" t="n"/>
      <c r="GK32" s="193" t="n"/>
      <c r="GL32" s="133" t="n"/>
      <c r="GM32" s="134" t="n"/>
      <c r="GN32" s="133" t="n"/>
      <c r="GO32" s="134" t="n"/>
      <c r="GP32" s="133" t="n"/>
      <c r="GQ32" s="134" t="n"/>
      <c r="GR32" s="133" t="n"/>
      <c r="GS32" s="134" t="n"/>
      <c r="GT32" s="133" t="n"/>
      <c r="GU32" s="134" t="n"/>
      <c r="GV32" s="133" t="n"/>
      <c r="GW32" s="134" t="n"/>
      <c r="GX32" s="133" t="n"/>
      <c r="GY32" s="134" t="n"/>
      <c r="GZ32" s="133" t="n"/>
      <c r="HA32" s="134" t="n"/>
      <c r="HB32" s="194" t="n"/>
      <c r="HC32">
        <f>SUMIFS($G32:$HB32,$G$46:$HB$46,"&gt;="&amp;$HD$1,$G$46:$HB$46,"&lt;="&amp;$HD$2,$G$29:$HB$29,"&lt;&gt;ملاحظات",$G$28:$HB$28,"&gt;0")</f>
        <v>0</v>
      </c>
      <c r="HD32">
        <f>SUMIFS($G$28:$HB$28,$G$46:$HB$46,"&gt;="&amp;$HD$1,$G$46:$HB$46,"&lt;="&amp;$HD$2,$G$29:$HB$29,"&lt;&gt;ملاحظات",$G32:$HB32,"&gt;=0")</f>
        <v>0</v>
      </c>
    </row>
    <row r="33" ht="22.5" customHeight="1">
      <c r="A33" s="36" t="n">
        <v>4</v>
      </c>
      <c r="B33" s="181" t="str">
        <f>IF($B8="","",$B8)</f>
        <v/>
      </c>
      <c r="C33" s="136" t="str">
        <f>IF(OR($B33="",$HD33=0),"",ROUND($HC33,2)&amp;" / "&amp;$HD33)</f>
        <v/>
      </c>
      <c r="D33" s="182" t="str">
        <f>IF(OR($B33="",$HD33=0),"",$HC33/$HD33)</f>
        <v/>
      </c>
      <c r="E33" s="98" t="str">
        <f>IF($D33="","",RANK($D33,$D$30:$D$44))</f>
        <v/>
      </c>
      <c r="F33" s="99" t="str">
        <f>IF($D33="","",IF($D33&gt;=0.85,"ممتاز",IF($D33&gt;=0.75,"جيد جداً",IF($D33&gt;=0.65,"جيد",IF($D33&gt;=0.5,"مقبول","ضعيف")))))</f>
        <v/>
      </c>
      <c r="G33" s="100" t="n"/>
      <c r="H33" s="101" t="n"/>
      <c r="I33" s="100" t="n"/>
      <c r="J33" s="101" t="n"/>
      <c r="K33" s="100" t="n"/>
      <c r="L33" s="101" t="n"/>
      <c r="M33" s="100" t="n"/>
      <c r="N33" s="101" t="n"/>
      <c r="O33" s="100" t="n"/>
      <c r="P33" s="101" t="n"/>
      <c r="Q33" s="100" t="n"/>
      <c r="R33" s="101" t="n"/>
      <c r="S33" s="100" t="n"/>
      <c r="T33" s="101" t="n"/>
      <c r="U33" s="100" t="n"/>
      <c r="V33" s="101" t="n"/>
      <c r="W33" s="183" t="n"/>
      <c r="X33" s="103" t="n"/>
      <c r="Y33" s="104" t="n"/>
      <c r="Z33" s="103" t="n"/>
      <c r="AA33" s="104" t="n"/>
      <c r="AB33" s="103" t="n"/>
      <c r="AC33" s="104" t="n"/>
      <c r="AD33" s="103" t="n"/>
      <c r="AE33" s="104" t="n"/>
      <c r="AF33" s="103" t="n"/>
      <c r="AG33" s="104" t="n"/>
      <c r="AH33" s="103" t="n"/>
      <c r="AI33" s="104" t="n"/>
      <c r="AJ33" s="103" t="n"/>
      <c r="AK33" s="104" t="n"/>
      <c r="AL33" s="103" t="n"/>
      <c r="AM33" s="104" t="n"/>
      <c r="AN33" s="184" t="n"/>
      <c r="AO33" s="106" t="n"/>
      <c r="AP33" s="107" t="n"/>
      <c r="AQ33" s="106" t="n"/>
      <c r="AR33" s="107" t="n"/>
      <c r="AS33" s="106" t="n"/>
      <c r="AT33" s="107" t="n"/>
      <c r="AU33" s="106" t="n"/>
      <c r="AV33" s="107" t="n"/>
      <c r="AW33" s="106" t="n"/>
      <c r="AX33" s="107" t="n"/>
      <c r="AY33" s="106" t="n"/>
      <c r="AZ33" s="107" t="n"/>
      <c r="BA33" s="106" t="n"/>
      <c r="BB33" s="107" t="n"/>
      <c r="BC33" s="106" t="n"/>
      <c r="BD33" s="107" t="n"/>
      <c r="BE33" s="185" t="n"/>
      <c r="BF33" s="109" t="n"/>
      <c r="BG33" s="110" t="n"/>
      <c r="BH33" s="109" t="n"/>
      <c r="BI33" s="110" t="n"/>
      <c r="BJ33" s="109" t="n"/>
      <c r="BK33" s="110" t="n"/>
      <c r="BL33" s="109" t="n"/>
      <c r="BM33" s="110" t="n"/>
      <c r="BN33" s="109" t="n"/>
      <c r="BO33" s="110" t="n"/>
      <c r="BP33" s="109" t="n"/>
      <c r="BQ33" s="110" t="n"/>
      <c r="BR33" s="109" t="n"/>
      <c r="BS33" s="110" t="n"/>
      <c r="BT33" s="109" t="n"/>
      <c r="BU33" s="110" t="n"/>
      <c r="BV33" s="186" t="n"/>
      <c r="BW33" s="112" t="n"/>
      <c r="BX33" s="113" t="n"/>
      <c r="BY33" s="112" t="n"/>
      <c r="BZ33" s="113" t="n"/>
      <c r="CA33" s="112" t="n"/>
      <c r="CB33" s="113" t="n"/>
      <c r="CC33" s="112" t="n"/>
      <c r="CD33" s="113" t="n"/>
      <c r="CE33" s="112" t="n"/>
      <c r="CF33" s="113" t="n"/>
      <c r="CG33" s="112" t="n"/>
      <c r="CH33" s="113" t="n"/>
      <c r="CI33" s="112" t="n"/>
      <c r="CJ33" s="113" t="n"/>
      <c r="CK33" s="112" t="n"/>
      <c r="CL33" s="113" t="n"/>
      <c r="CM33" s="187" t="n"/>
      <c r="CN33" s="115" t="n"/>
      <c r="CO33" s="116" t="n"/>
      <c r="CP33" s="115" t="n"/>
      <c r="CQ33" s="116" t="n"/>
      <c r="CR33" s="115" t="n"/>
      <c r="CS33" s="116" t="n"/>
      <c r="CT33" s="115" t="n"/>
      <c r="CU33" s="116" t="n"/>
      <c r="CV33" s="115" t="n"/>
      <c r="CW33" s="116" t="n"/>
      <c r="CX33" s="115" t="n"/>
      <c r="CY33" s="116" t="n"/>
      <c r="CZ33" s="115" t="n"/>
      <c r="DA33" s="116" t="n"/>
      <c r="DB33" s="115" t="n"/>
      <c r="DC33" s="116" t="n"/>
      <c r="DD33" s="188" t="n"/>
      <c r="DE33" s="118" t="n"/>
      <c r="DF33" s="119" t="n"/>
      <c r="DG33" s="118" t="n"/>
      <c r="DH33" s="119" t="n"/>
      <c r="DI33" s="118" t="n"/>
      <c r="DJ33" s="119" t="n"/>
      <c r="DK33" s="118" t="n"/>
      <c r="DL33" s="119" t="n"/>
      <c r="DM33" s="118" t="n"/>
      <c r="DN33" s="119" t="n"/>
      <c r="DO33" s="118" t="n"/>
      <c r="DP33" s="119" t="n"/>
      <c r="DQ33" s="118" t="n"/>
      <c r="DR33" s="119" t="n"/>
      <c r="DS33" s="118" t="n"/>
      <c r="DT33" s="119" t="n"/>
      <c r="DU33" s="189" t="n"/>
      <c r="DV33" s="121" t="n"/>
      <c r="DW33" s="122" t="n"/>
      <c r="DX33" s="121" t="n"/>
      <c r="DY33" s="122" t="n"/>
      <c r="DZ33" s="121" t="n"/>
      <c r="EA33" s="122" t="n"/>
      <c r="EB33" s="121" t="n"/>
      <c r="EC33" s="122" t="n"/>
      <c r="ED33" s="121" t="n"/>
      <c r="EE33" s="122" t="n"/>
      <c r="EF33" s="121" t="n"/>
      <c r="EG33" s="122" t="n"/>
      <c r="EH33" s="121" t="n"/>
      <c r="EI33" s="122" t="n"/>
      <c r="EJ33" s="121" t="n"/>
      <c r="EK33" s="122" t="n"/>
      <c r="EL33" s="190" t="n"/>
      <c r="EM33" s="124" t="n"/>
      <c r="EN33" s="125" t="n"/>
      <c r="EO33" s="124" t="n"/>
      <c r="EP33" s="125" t="n"/>
      <c r="EQ33" s="124" t="n"/>
      <c r="ER33" s="125" t="n"/>
      <c r="ES33" s="124" t="n"/>
      <c r="ET33" s="125" t="n"/>
      <c r="EU33" s="124" t="n"/>
      <c r="EV33" s="125" t="n"/>
      <c r="EW33" s="124" t="n"/>
      <c r="EX33" s="125" t="n"/>
      <c r="EY33" s="124" t="n"/>
      <c r="EZ33" s="125" t="n"/>
      <c r="FA33" s="124" t="n"/>
      <c r="FB33" s="125" t="n"/>
      <c r="FC33" s="191" t="n"/>
      <c r="FD33" s="127" t="n"/>
      <c r="FE33" s="128" t="n"/>
      <c r="FF33" s="127" t="n"/>
      <c r="FG33" s="128" t="n"/>
      <c r="FH33" s="127" t="n"/>
      <c r="FI33" s="128" t="n"/>
      <c r="FJ33" s="127" t="n"/>
      <c r="FK33" s="128" t="n"/>
      <c r="FL33" s="127" t="n"/>
      <c r="FM33" s="128" t="n"/>
      <c r="FN33" s="127" t="n"/>
      <c r="FO33" s="128" t="n"/>
      <c r="FP33" s="127" t="n"/>
      <c r="FQ33" s="128" t="n"/>
      <c r="FR33" s="127" t="n"/>
      <c r="FS33" s="128" t="n"/>
      <c r="FT33" s="192" t="n"/>
      <c r="FU33" s="130" t="n"/>
      <c r="FV33" s="131" t="n"/>
      <c r="FW33" s="130" t="n"/>
      <c r="FX33" s="131" t="n"/>
      <c r="FY33" s="130" t="n"/>
      <c r="FZ33" s="131" t="n"/>
      <c r="GA33" s="130" t="n"/>
      <c r="GB33" s="131" t="n"/>
      <c r="GC33" s="130" t="n"/>
      <c r="GD33" s="131" t="n"/>
      <c r="GE33" s="130" t="n"/>
      <c r="GF33" s="131" t="n"/>
      <c r="GG33" s="130" t="n"/>
      <c r="GH33" s="131" t="n"/>
      <c r="GI33" s="130" t="n"/>
      <c r="GJ33" s="131" t="n"/>
      <c r="GK33" s="193" t="n"/>
      <c r="GL33" s="133" t="n"/>
      <c r="GM33" s="134" t="n"/>
      <c r="GN33" s="133" t="n"/>
      <c r="GO33" s="134" t="n"/>
      <c r="GP33" s="133" t="n"/>
      <c r="GQ33" s="134" t="n"/>
      <c r="GR33" s="133" t="n"/>
      <c r="GS33" s="134" t="n"/>
      <c r="GT33" s="133" t="n"/>
      <c r="GU33" s="134" t="n"/>
      <c r="GV33" s="133" t="n"/>
      <c r="GW33" s="134" t="n"/>
      <c r="GX33" s="133" t="n"/>
      <c r="GY33" s="134" t="n"/>
      <c r="GZ33" s="133" t="n"/>
      <c r="HA33" s="134" t="n"/>
      <c r="HB33" s="194" t="n"/>
      <c r="HC33">
        <f>SUMIFS($G33:$HB33,$G$46:$HB$46,"&gt;="&amp;$HD$1,$G$46:$HB$46,"&lt;="&amp;$HD$2,$G$29:$HB$29,"&lt;&gt;ملاحظات",$G$28:$HB$28,"&gt;0")</f>
        <v>0</v>
      </c>
      <c r="HD33">
        <f>SUMIFS($G$28:$HB$28,$G$46:$HB$46,"&gt;="&amp;$HD$1,$G$46:$HB$46,"&lt;="&amp;$HD$2,$G$29:$HB$29,"&lt;&gt;ملاحظات",$G33:$HB33,"&gt;=0")</f>
        <v>0</v>
      </c>
    </row>
    <row r="34" ht="22.5" customHeight="1">
      <c r="A34" s="36" t="n">
        <v>5</v>
      </c>
      <c r="B34" s="181" t="str">
        <f>IF($B9="","",$B9)</f>
        <v/>
      </c>
      <c r="C34" s="136" t="str">
        <f>IF(OR($B34="",$HD34=0),"",ROUND($HC34,2)&amp;" / "&amp;$HD34)</f>
        <v/>
      </c>
      <c r="D34" s="182" t="str">
        <f>IF(OR($B34="",$HD34=0),"",$HC34/$HD34)</f>
        <v/>
      </c>
      <c r="E34" s="98" t="str">
        <f>IF($D34="","",RANK($D34,$D$30:$D$44))</f>
        <v/>
      </c>
      <c r="F34" s="99" t="str">
        <f>IF($D34="","",IF($D34&gt;=0.85,"ممتاز",IF($D34&gt;=0.75,"جيد جداً",IF($D34&gt;=0.65,"جيد",IF($D34&gt;=0.5,"مقبول","ضعيف")))))</f>
        <v/>
      </c>
      <c r="G34" s="100" t="n"/>
      <c r="H34" s="101" t="n"/>
      <c r="I34" s="100" t="n"/>
      <c r="J34" s="101" t="n"/>
      <c r="K34" s="100" t="n"/>
      <c r="L34" s="101" t="n"/>
      <c r="M34" s="100" t="n"/>
      <c r="N34" s="101" t="n"/>
      <c r="O34" s="100" t="n"/>
      <c r="P34" s="101" t="n"/>
      <c r="Q34" s="100" t="n"/>
      <c r="R34" s="101" t="n"/>
      <c r="S34" s="100" t="n"/>
      <c r="T34" s="101" t="n"/>
      <c r="U34" s="100" t="n"/>
      <c r="V34" s="101" t="n"/>
      <c r="W34" s="183" t="n"/>
      <c r="X34" s="103" t="n"/>
      <c r="Y34" s="104" t="n"/>
      <c r="Z34" s="103" t="n"/>
      <c r="AA34" s="104" t="n"/>
      <c r="AB34" s="103" t="n"/>
      <c r="AC34" s="104" t="n"/>
      <c r="AD34" s="103" t="n"/>
      <c r="AE34" s="104" t="n"/>
      <c r="AF34" s="103" t="n"/>
      <c r="AG34" s="104" t="n"/>
      <c r="AH34" s="103" t="n"/>
      <c r="AI34" s="104" t="n"/>
      <c r="AJ34" s="103" t="n"/>
      <c r="AK34" s="104" t="n"/>
      <c r="AL34" s="103" t="n"/>
      <c r="AM34" s="104" t="n"/>
      <c r="AN34" s="184" t="n"/>
      <c r="AO34" s="106" t="n"/>
      <c r="AP34" s="107" t="n"/>
      <c r="AQ34" s="106" t="n"/>
      <c r="AR34" s="107" t="n"/>
      <c r="AS34" s="106" t="n"/>
      <c r="AT34" s="107" t="n"/>
      <c r="AU34" s="106" t="n"/>
      <c r="AV34" s="107" t="n"/>
      <c r="AW34" s="106" t="n"/>
      <c r="AX34" s="107" t="n"/>
      <c r="AY34" s="106" t="n"/>
      <c r="AZ34" s="107" t="n"/>
      <c r="BA34" s="106" t="n"/>
      <c r="BB34" s="107" t="n"/>
      <c r="BC34" s="106" t="n"/>
      <c r="BD34" s="107" t="n"/>
      <c r="BE34" s="185" t="n"/>
      <c r="BF34" s="109" t="n"/>
      <c r="BG34" s="110" t="n"/>
      <c r="BH34" s="109" t="n"/>
      <c r="BI34" s="110" t="n"/>
      <c r="BJ34" s="109" t="n"/>
      <c r="BK34" s="110" t="n"/>
      <c r="BL34" s="109" t="n"/>
      <c r="BM34" s="110" t="n"/>
      <c r="BN34" s="109" t="n"/>
      <c r="BO34" s="110" t="n"/>
      <c r="BP34" s="109" t="n"/>
      <c r="BQ34" s="110" t="n"/>
      <c r="BR34" s="109" t="n"/>
      <c r="BS34" s="110" t="n"/>
      <c r="BT34" s="109" t="n"/>
      <c r="BU34" s="110" t="n"/>
      <c r="BV34" s="186" t="n"/>
      <c r="BW34" s="112" t="n"/>
      <c r="BX34" s="113" t="n"/>
      <c r="BY34" s="112" t="n"/>
      <c r="BZ34" s="113" t="n"/>
      <c r="CA34" s="112" t="n"/>
      <c r="CB34" s="113" t="n"/>
      <c r="CC34" s="112" t="n"/>
      <c r="CD34" s="113" t="n"/>
      <c r="CE34" s="112" t="n"/>
      <c r="CF34" s="113" t="n"/>
      <c r="CG34" s="112" t="n"/>
      <c r="CH34" s="113" t="n"/>
      <c r="CI34" s="112" t="n"/>
      <c r="CJ34" s="113" t="n"/>
      <c r="CK34" s="112" t="n"/>
      <c r="CL34" s="113" t="n"/>
      <c r="CM34" s="187" t="n"/>
      <c r="CN34" s="115" t="n"/>
      <c r="CO34" s="116" t="n"/>
      <c r="CP34" s="115" t="n"/>
      <c r="CQ34" s="116" t="n"/>
      <c r="CR34" s="115" t="n"/>
      <c r="CS34" s="116" t="n"/>
      <c r="CT34" s="115" t="n"/>
      <c r="CU34" s="116" t="n"/>
      <c r="CV34" s="115" t="n"/>
      <c r="CW34" s="116" t="n"/>
      <c r="CX34" s="115" t="n"/>
      <c r="CY34" s="116" t="n"/>
      <c r="CZ34" s="115" t="n"/>
      <c r="DA34" s="116" t="n"/>
      <c r="DB34" s="115" t="n"/>
      <c r="DC34" s="116" t="n"/>
      <c r="DD34" s="188" t="n"/>
      <c r="DE34" s="118" t="n"/>
      <c r="DF34" s="119" t="n"/>
      <c r="DG34" s="118" t="n"/>
      <c r="DH34" s="119" t="n"/>
      <c r="DI34" s="118" t="n"/>
      <c r="DJ34" s="119" t="n"/>
      <c r="DK34" s="118" t="n"/>
      <c r="DL34" s="119" t="n"/>
      <c r="DM34" s="118" t="n"/>
      <c r="DN34" s="119" t="n"/>
      <c r="DO34" s="118" t="n"/>
      <c r="DP34" s="119" t="n"/>
      <c r="DQ34" s="118" t="n"/>
      <c r="DR34" s="119" t="n"/>
      <c r="DS34" s="118" t="n"/>
      <c r="DT34" s="119" t="n"/>
      <c r="DU34" s="189" t="n"/>
      <c r="DV34" s="121" t="n"/>
      <c r="DW34" s="122" t="n"/>
      <c r="DX34" s="121" t="n"/>
      <c r="DY34" s="122" t="n"/>
      <c r="DZ34" s="121" t="n"/>
      <c r="EA34" s="122" t="n"/>
      <c r="EB34" s="121" t="n"/>
      <c r="EC34" s="122" t="n"/>
      <c r="ED34" s="121" t="n"/>
      <c r="EE34" s="122" t="n"/>
      <c r="EF34" s="121" t="n"/>
      <c r="EG34" s="122" t="n"/>
      <c r="EH34" s="121" t="n"/>
      <c r="EI34" s="122" t="n"/>
      <c r="EJ34" s="121" t="n"/>
      <c r="EK34" s="122" t="n"/>
      <c r="EL34" s="190" t="n"/>
      <c r="EM34" s="124" t="n"/>
      <c r="EN34" s="125" t="n"/>
      <c r="EO34" s="124" t="n"/>
      <c r="EP34" s="125" t="n"/>
      <c r="EQ34" s="124" t="n"/>
      <c r="ER34" s="125" t="n"/>
      <c r="ES34" s="124" t="n"/>
      <c r="ET34" s="125" t="n"/>
      <c r="EU34" s="124" t="n"/>
      <c r="EV34" s="125" t="n"/>
      <c r="EW34" s="124" t="n"/>
      <c r="EX34" s="125" t="n"/>
      <c r="EY34" s="124" t="n"/>
      <c r="EZ34" s="125" t="n"/>
      <c r="FA34" s="124" t="n"/>
      <c r="FB34" s="125" t="n"/>
      <c r="FC34" s="191" t="n"/>
      <c r="FD34" s="127" t="n"/>
      <c r="FE34" s="128" t="n"/>
      <c r="FF34" s="127" t="n"/>
      <c r="FG34" s="128" t="n"/>
      <c r="FH34" s="127" t="n"/>
      <c r="FI34" s="128" t="n"/>
      <c r="FJ34" s="127" t="n"/>
      <c r="FK34" s="128" t="n"/>
      <c r="FL34" s="127" t="n"/>
      <c r="FM34" s="128" t="n"/>
      <c r="FN34" s="127" t="n"/>
      <c r="FO34" s="128" t="n"/>
      <c r="FP34" s="127" t="n"/>
      <c r="FQ34" s="128" t="n"/>
      <c r="FR34" s="127" t="n"/>
      <c r="FS34" s="128" t="n"/>
      <c r="FT34" s="192" t="n"/>
      <c r="FU34" s="130" t="n"/>
      <c r="FV34" s="131" t="n"/>
      <c r="FW34" s="130" t="n"/>
      <c r="FX34" s="131" t="n"/>
      <c r="FY34" s="130" t="n"/>
      <c r="FZ34" s="131" t="n"/>
      <c r="GA34" s="130" t="n"/>
      <c r="GB34" s="131" t="n"/>
      <c r="GC34" s="130" t="n"/>
      <c r="GD34" s="131" t="n"/>
      <c r="GE34" s="130" t="n"/>
      <c r="GF34" s="131" t="n"/>
      <c r="GG34" s="130" t="n"/>
      <c r="GH34" s="131" t="n"/>
      <c r="GI34" s="130" t="n"/>
      <c r="GJ34" s="131" t="n"/>
      <c r="GK34" s="193" t="n"/>
      <c r="GL34" s="133" t="n"/>
      <c r="GM34" s="134" t="n"/>
      <c r="GN34" s="133" t="n"/>
      <c r="GO34" s="134" t="n"/>
      <c r="GP34" s="133" t="n"/>
      <c r="GQ34" s="134" t="n"/>
      <c r="GR34" s="133" t="n"/>
      <c r="GS34" s="134" t="n"/>
      <c r="GT34" s="133" t="n"/>
      <c r="GU34" s="134" t="n"/>
      <c r="GV34" s="133" t="n"/>
      <c r="GW34" s="134" t="n"/>
      <c r="GX34" s="133" t="n"/>
      <c r="GY34" s="134" t="n"/>
      <c r="GZ34" s="133" t="n"/>
      <c r="HA34" s="134" t="n"/>
      <c r="HB34" s="194" t="n"/>
      <c r="HC34">
        <f>SUMIFS($G34:$HB34,$G$46:$HB$46,"&gt;="&amp;$HD$1,$G$46:$HB$46,"&lt;="&amp;$HD$2,$G$29:$HB$29,"&lt;&gt;ملاحظات",$G$28:$HB$28,"&gt;0")</f>
        <v>0</v>
      </c>
      <c r="HD34">
        <f>SUMIFS($G$28:$HB$28,$G$46:$HB$46,"&gt;="&amp;$HD$1,$G$46:$HB$46,"&lt;="&amp;$HD$2,$G$29:$HB$29,"&lt;&gt;ملاحظات",$G34:$HB34,"&gt;=0")</f>
        <v>0</v>
      </c>
    </row>
    <row r="35" ht="22.5" customHeight="1">
      <c r="A35" s="36" t="n">
        <v>6</v>
      </c>
      <c r="B35" s="181" t="str">
        <f>IF($B10="","",$B10)</f>
        <v/>
      </c>
      <c r="C35" s="136" t="str">
        <f>IF(OR($B35="",$HD35=0),"",ROUND($HC35,2)&amp;" / "&amp;$HD35)</f>
        <v/>
      </c>
      <c r="D35" s="182" t="str">
        <f>IF(OR($B35="",$HD35=0),"",$HC35/$HD35)</f>
        <v/>
      </c>
      <c r="E35" s="98" t="str">
        <f>IF($D35="","",RANK($D35,$D$30:$D$44))</f>
        <v/>
      </c>
      <c r="F35" s="99" t="str">
        <f>IF($D35="","",IF($D35&gt;=0.85,"ممتاز",IF($D35&gt;=0.75,"جيد جداً",IF($D35&gt;=0.65,"جيد",IF($D35&gt;=0.5,"مقبول","ضعيف")))))</f>
        <v/>
      </c>
      <c r="G35" s="100" t="n"/>
      <c r="H35" s="101" t="n"/>
      <c r="I35" s="100" t="n"/>
      <c r="J35" s="101" t="n"/>
      <c r="K35" s="100" t="n"/>
      <c r="L35" s="101" t="n"/>
      <c r="M35" s="100" t="n"/>
      <c r="N35" s="101" t="n"/>
      <c r="O35" s="100" t="n"/>
      <c r="P35" s="101" t="n"/>
      <c r="Q35" s="100" t="n"/>
      <c r="R35" s="101" t="n"/>
      <c r="S35" s="100" t="n"/>
      <c r="T35" s="101" t="n"/>
      <c r="U35" s="100" t="n"/>
      <c r="V35" s="101" t="n"/>
      <c r="W35" s="183" t="n"/>
      <c r="X35" s="103" t="n"/>
      <c r="Y35" s="104" t="n"/>
      <c r="Z35" s="103" t="n"/>
      <c r="AA35" s="104" t="n"/>
      <c r="AB35" s="103" t="n"/>
      <c r="AC35" s="104" t="n"/>
      <c r="AD35" s="103" t="n"/>
      <c r="AE35" s="104" t="n"/>
      <c r="AF35" s="103" t="n"/>
      <c r="AG35" s="104" t="n"/>
      <c r="AH35" s="103" t="n"/>
      <c r="AI35" s="104" t="n"/>
      <c r="AJ35" s="103" t="n"/>
      <c r="AK35" s="104" t="n"/>
      <c r="AL35" s="103" t="n"/>
      <c r="AM35" s="104" t="n"/>
      <c r="AN35" s="184" t="n"/>
      <c r="AO35" s="106" t="n"/>
      <c r="AP35" s="107" t="n"/>
      <c r="AQ35" s="106" t="n"/>
      <c r="AR35" s="107" t="n"/>
      <c r="AS35" s="106" t="n"/>
      <c r="AT35" s="107" t="n"/>
      <c r="AU35" s="106" t="n"/>
      <c r="AV35" s="107" t="n"/>
      <c r="AW35" s="106" t="n"/>
      <c r="AX35" s="107" t="n"/>
      <c r="AY35" s="106" t="n"/>
      <c r="AZ35" s="107" t="n"/>
      <c r="BA35" s="106" t="n"/>
      <c r="BB35" s="107" t="n"/>
      <c r="BC35" s="106" t="n"/>
      <c r="BD35" s="107" t="n"/>
      <c r="BE35" s="185" t="n"/>
      <c r="BF35" s="109" t="n"/>
      <c r="BG35" s="110" t="n"/>
      <c r="BH35" s="109" t="n"/>
      <c r="BI35" s="110" t="n"/>
      <c r="BJ35" s="109" t="n"/>
      <c r="BK35" s="110" t="n"/>
      <c r="BL35" s="109" t="n"/>
      <c r="BM35" s="110" t="n"/>
      <c r="BN35" s="109" t="n"/>
      <c r="BO35" s="110" t="n"/>
      <c r="BP35" s="109" t="n"/>
      <c r="BQ35" s="110" t="n"/>
      <c r="BR35" s="109" t="n"/>
      <c r="BS35" s="110" t="n"/>
      <c r="BT35" s="109" t="n"/>
      <c r="BU35" s="110" t="n"/>
      <c r="BV35" s="186" t="n"/>
      <c r="BW35" s="112" t="n"/>
      <c r="BX35" s="113" t="n"/>
      <c r="BY35" s="112" t="n"/>
      <c r="BZ35" s="113" t="n"/>
      <c r="CA35" s="112" t="n"/>
      <c r="CB35" s="113" t="n"/>
      <c r="CC35" s="112" t="n"/>
      <c r="CD35" s="113" t="n"/>
      <c r="CE35" s="112" t="n"/>
      <c r="CF35" s="113" t="n"/>
      <c r="CG35" s="112" t="n"/>
      <c r="CH35" s="113" t="n"/>
      <c r="CI35" s="112" t="n"/>
      <c r="CJ35" s="113" t="n"/>
      <c r="CK35" s="112" t="n"/>
      <c r="CL35" s="113" t="n"/>
      <c r="CM35" s="187" t="n"/>
      <c r="CN35" s="115" t="n"/>
      <c r="CO35" s="116" t="n"/>
      <c r="CP35" s="115" t="n"/>
      <c r="CQ35" s="116" t="n"/>
      <c r="CR35" s="115" t="n"/>
      <c r="CS35" s="116" t="n"/>
      <c r="CT35" s="115" t="n"/>
      <c r="CU35" s="116" t="n"/>
      <c r="CV35" s="115" t="n"/>
      <c r="CW35" s="116" t="n"/>
      <c r="CX35" s="115" t="n"/>
      <c r="CY35" s="116" t="n"/>
      <c r="CZ35" s="115" t="n"/>
      <c r="DA35" s="116" t="n"/>
      <c r="DB35" s="115" t="n"/>
      <c r="DC35" s="116" t="n"/>
      <c r="DD35" s="188" t="n"/>
      <c r="DE35" s="118" t="n"/>
      <c r="DF35" s="119" t="n"/>
      <c r="DG35" s="118" t="n"/>
      <c r="DH35" s="119" t="n"/>
      <c r="DI35" s="118" t="n"/>
      <c r="DJ35" s="119" t="n"/>
      <c r="DK35" s="118" t="n"/>
      <c r="DL35" s="119" t="n"/>
      <c r="DM35" s="118" t="n"/>
      <c r="DN35" s="119" t="n"/>
      <c r="DO35" s="118" t="n"/>
      <c r="DP35" s="119" t="n"/>
      <c r="DQ35" s="118" t="n"/>
      <c r="DR35" s="119" t="n"/>
      <c r="DS35" s="118" t="n"/>
      <c r="DT35" s="119" t="n"/>
      <c r="DU35" s="189" t="n"/>
      <c r="DV35" s="121" t="n"/>
      <c r="DW35" s="122" t="n"/>
      <c r="DX35" s="121" t="n"/>
      <c r="DY35" s="122" t="n"/>
      <c r="DZ35" s="121" t="n"/>
      <c r="EA35" s="122" t="n"/>
      <c r="EB35" s="121" t="n"/>
      <c r="EC35" s="122" t="n"/>
      <c r="ED35" s="121" t="n"/>
      <c r="EE35" s="122" t="n"/>
      <c r="EF35" s="121" t="n"/>
      <c r="EG35" s="122" t="n"/>
      <c r="EH35" s="121" t="n"/>
      <c r="EI35" s="122" t="n"/>
      <c r="EJ35" s="121" t="n"/>
      <c r="EK35" s="122" t="n"/>
      <c r="EL35" s="190" t="n"/>
      <c r="EM35" s="124" t="n"/>
      <c r="EN35" s="125" t="n"/>
      <c r="EO35" s="124" t="n"/>
      <c r="EP35" s="125" t="n"/>
      <c r="EQ35" s="124" t="n"/>
      <c r="ER35" s="125" t="n"/>
      <c r="ES35" s="124" t="n"/>
      <c r="ET35" s="125" t="n"/>
      <c r="EU35" s="124" t="n"/>
      <c r="EV35" s="125" t="n"/>
      <c r="EW35" s="124" t="n"/>
      <c r="EX35" s="125" t="n"/>
      <c r="EY35" s="124" t="n"/>
      <c r="EZ35" s="125" t="n"/>
      <c r="FA35" s="124" t="n"/>
      <c r="FB35" s="125" t="n"/>
      <c r="FC35" s="191" t="n"/>
      <c r="FD35" s="127" t="n"/>
      <c r="FE35" s="128" t="n"/>
      <c r="FF35" s="127" t="n"/>
      <c r="FG35" s="128" t="n"/>
      <c r="FH35" s="127" t="n"/>
      <c r="FI35" s="128" t="n"/>
      <c r="FJ35" s="127" t="n"/>
      <c r="FK35" s="128" t="n"/>
      <c r="FL35" s="127" t="n"/>
      <c r="FM35" s="128" t="n"/>
      <c r="FN35" s="127" t="n"/>
      <c r="FO35" s="128" t="n"/>
      <c r="FP35" s="127" t="n"/>
      <c r="FQ35" s="128" t="n"/>
      <c r="FR35" s="127" t="n"/>
      <c r="FS35" s="128" t="n"/>
      <c r="FT35" s="192" t="n"/>
      <c r="FU35" s="130" t="n"/>
      <c r="FV35" s="131" t="n"/>
      <c r="FW35" s="130" t="n"/>
      <c r="FX35" s="131" t="n"/>
      <c r="FY35" s="130" t="n"/>
      <c r="FZ35" s="131" t="n"/>
      <c r="GA35" s="130" t="n"/>
      <c r="GB35" s="131" t="n"/>
      <c r="GC35" s="130" t="n"/>
      <c r="GD35" s="131" t="n"/>
      <c r="GE35" s="130" t="n"/>
      <c r="GF35" s="131" t="n"/>
      <c r="GG35" s="130" t="n"/>
      <c r="GH35" s="131" t="n"/>
      <c r="GI35" s="130" t="n"/>
      <c r="GJ35" s="131" t="n"/>
      <c r="GK35" s="193" t="n"/>
      <c r="GL35" s="133" t="n"/>
      <c r="GM35" s="134" t="n"/>
      <c r="GN35" s="133" t="n"/>
      <c r="GO35" s="134" t="n"/>
      <c r="GP35" s="133" t="n"/>
      <c r="GQ35" s="134" t="n"/>
      <c r="GR35" s="133" t="n"/>
      <c r="GS35" s="134" t="n"/>
      <c r="GT35" s="133" t="n"/>
      <c r="GU35" s="134" t="n"/>
      <c r="GV35" s="133" t="n"/>
      <c r="GW35" s="134" t="n"/>
      <c r="GX35" s="133" t="n"/>
      <c r="GY35" s="134" t="n"/>
      <c r="GZ35" s="133" t="n"/>
      <c r="HA35" s="134" t="n"/>
      <c r="HB35" s="194" t="n"/>
      <c r="HC35">
        <f>SUMIFS($G35:$HB35,$G$46:$HB$46,"&gt;="&amp;$HD$1,$G$46:$HB$46,"&lt;="&amp;$HD$2,$G$29:$HB$29,"&lt;&gt;ملاحظات",$G$28:$HB$28,"&gt;0")</f>
        <v>0</v>
      </c>
      <c r="HD35">
        <f>SUMIFS($G$28:$HB$28,$G$46:$HB$46,"&gt;="&amp;$HD$1,$G$46:$HB$46,"&lt;="&amp;$HD$2,$G$29:$HB$29,"&lt;&gt;ملاحظات",$G35:$HB35,"&gt;=0")</f>
        <v>0</v>
      </c>
    </row>
    <row r="36" ht="22.5" customHeight="1">
      <c r="A36" s="36" t="n">
        <v>7</v>
      </c>
      <c r="B36" s="181" t="str">
        <f>IF($B11="","",$B11)</f>
        <v/>
      </c>
      <c r="C36" s="136" t="str">
        <f>IF(OR($B36="",$HD36=0),"",ROUND($HC36,2)&amp;" / "&amp;$HD36)</f>
        <v/>
      </c>
      <c r="D36" s="182" t="str">
        <f>IF(OR($B36="",$HD36=0),"",$HC36/$HD36)</f>
        <v/>
      </c>
      <c r="E36" s="98" t="str">
        <f>IF($D36="","",RANK($D36,$D$30:$D$44))</f>
        <v/>
      </c>
      <c r="F36" s="99" t="str">
        <f>IF($D36="","",IF($D36&gt;=0.85,"ممتاز",IF($D36&gt;=0.75,"جيد جداً",IF($D36&gt;=0.65,"جيد",IF($D36&gt;=0.5,"مقبول","ضعيف")))))</f>
        <v/>
      </c>
      <c r="G36" s="100" t="n"/>
      <c r="H36" s="101" t="n"/>
      <c r="I36" s="100" t="n"/>
      <c r="J36" s="101" t="n"/>
      <c r="K36" s="100" t="n"/>
      <c r="L36" s="101" t="n"/>
      <c r="M36" s="100" t="n"/>
      <c r="N36" s="101" t="n"/>
      <c r="O36" s="100" t="n"/>
      <c r="P36" s="101" t="n"/>
      <c r="Q36" s="100" t="n"/>
      <c r="R36" s="101" t="n"/>
      <c r="S36" s="100" t="n"/>
      <c r="T36" s="101" t="n"/>
      <c r="U36" s="100" t="n"/>
      <c r="V36" s="101" t="n"/>
      <c r="W36" s="183" t="n"/>
      <c r="X36" s="103" t="n"/>
      <c r="Y36" s="104" t="n"/>
      <c r="Z36" s="103" t="n"/>
      <c r="AA36" s="104" t="n"/>
      <c r="AB36" s="103" t="n"/>
      <c r="AC36" s="104" t="n"/>
      <c r="AD36" s="103" t="n"/>
      <c r="AE36" s="104" t="n"/>
      <c r="AF36" s="103" t="n"/>
      <c r="AG36" s="104" t="n"/>
      <c r="AH36" s="103" t="n"/>
      <c r="AI36" s="104" t="n"/>
      <c r="AJ36" s="103" t="n"/>
      <c r="AK36" s="104" t="n"/>
      <c r="AL36" s="103" t="n"/>
      <c r="AM36" s="104" t="n"/>
      <c r="AN36" s="184" t="n"/>
      <c r="AO36" s="106" t="n"/>
      <c r="AP36" s="107" t="n"/>
      <c r="AQ36" s="106" t="n"/>
      <c r="AR36" s="107" t="n"/>
      <c r="AS36" s="106" t="n"/>
      <c r="AT36" s="107" t="n"/>
      <c r="AU36" s="106" t="n"/>
      <c r="AV36" s="107" t="n"/>
      <c r="AW36" s="106" t="n"/>
      <c r="AX36" s="107" t="n"/>
      <c r="AY36" s="106" t="n"/>
      <c r="AZ36" s="107" t="n"/>
      <c r="BA36" s="106" t="n"/>
      <c r="BB36" s="107" t="n"/>
      <c r="BC36" s="106" t="n"/>
      <c r="BD36" s="107" t="n"/>
      <c r="BE36" s="185" t="n"/>
      <c r="BF36" s="109" t="n"/>
      <c r="BG36" s="110" t="n"/>
      <c r="BH36" s="109" t="n"/>
      <c r="BI36" s="110" t="n"/>
      <c r="BJ36" s="109" t="n"/>
      <c r="BK36" s="110" t="n"/>
      <c r="BL36" s="109" t="n"/>
      <c r="BM36" s="110" t="n"/>
      <c r="BN36" s="109" t="n"/>
      <c r="BO36" s="110" t="n"/>
      <c r="BP36" s="109" t="n"/>
      <c r="BQ36" s="110" t="n"/>
      <c r="BR36" s="109" t="n"/>
      <c r="BS36" s="110" t="n"/>
      <c r="BT36" s="109" t="n"/>
      <c r="BU36" s="110" t="n"/>
      <c r="BV36" s="186" t="n"/>
      <c r="BW36" s="112" t="n"/>
      <c r="BX36" s="113" t="n"/>
      <c r="BY36" s="112" t="n"/>
      <c r="BZ36" s="113" t="n"/>
      <c r="CA36" s="112" t="n"/>
      <c r="CB36" s="113" t="n"/>
      <c r="CC36" s="112" t="n"/>
      <c r="CD36" s="113" t="n"/>
      <c r="CE36" s="112" t="n"/>
      <c r="CF36" s="113" t="n"/>
      <c r="CG36" s="112" t="n"/>
      <c r="CH36" s="113" t="n"/>
      <c r="CI36" s="112" t="n"/>
      <c r="CJ36" s="113" t="n"/>
      <c r="CK36" s="112" t="n"/>
      <c r="CL36" s="113" t="n"/>
      <c r="CM36" s="187" t="n"/>
      <c r="CN36" s="115" t="n"/>
      <c r="CO36" s="116" t="n"/>
      <c r="CP36" s="115" t="n"/>
      <c r="CQ36" s="116" t="n"/>
      <c r="CR36" s="115" t="n"/>
      <c r="CS36" s="116" t="n"/>
      <c r="CT36" s="115" t="n"/>
      <c r="CU36" s="116" t="n"/>
      <c r="CV36" s="115" t="n"/>
      <c r="CW36" s="116" t="n"/>
      <c r="CX36" s="115" t="n"/>
      <c r="CY36" s="116" t="n"/>
      <c r="CZ36" s="115" t="n"/>
      <c r="DA36" s="116" t="n"/>
      <c r="DB36" s="115" t="n"/>
      <c r="DC36" s="116" t="n"/>
      <c r="DD36" s="188" t="n"/>
      <c r="DE36" s="118" t="n"/>
      <c r="DF36" s="119" t="n"/>
      <c r="DG36" s="118" t="n"/>
      <c r="DH36" s="119" t="n"/>
      <c r="DI36" s="118" t="n"/>
      <c r="DJ36" s="119" t="n"/>
      <c r="DK36" s="118" t="n"/>
      <c r="DL36" s="119" t="n"/>
      <c r="DM36" s="118" t="n"/>
      <c r="DN36" s="119" t="n"/>
      <c r="DO36" s="118" t="n"/>
      <c r="DP36" s="119" t="n"/>
      <c r="DQ36" s="118" t="n"/>
      <c r="DR36" s="119" t="n"/>
      <c r="DS36" s="118" t="n"/>
      <c r="DT36" s="119" t="n"/>
      <c r="DU36" s="189" t="n"/>
      <c r="DV36" s="121" t="n"/>
      <c r="DW36" s="122" t="n"/>
      <c r="DX36" s="121" t="n"/>
      <c r="DY36" s="122" t="n"/>
      <c r="DZ36" s="121" t="n"/>
      <c r="EA36" s="122" t="n"/>
      <c r="EB36" s="121" t="n"/>
      <c r="EC36" s="122" t="n"/>
      <c r="ED36" s="121" t="n"/>
      <c r="EE36" s="122" t="n"/>
      <c r="EF36" s="121" t="n"/>
      <c r="EG36" s="122" t="n"/>
      <c r="EH36" s="121" t="n"/>
      <c r="EI36" s="122" t="n"/>
      <c r="EJ36" s="121" t="n"/>
      <c r="EK36" s="122" t="n"/>
      <c r="EL36" s="190" t="n"/>
      <c r="EM36" s="124" t="n"/>
      <c r="EN36" s="125" t="n"/>
      <c r="EO36" s="124" t="n"/>
      <c r="EP36" s="125" t="n"/>
      <c r="EQ36" s="124" t="n"/>
      <c r="ER36" s="125" t="n"/>
      <c r="ES36" s="124" t="n"/>
      <c r="ET36" s="125" t="n"/>
      <c r="EU36" s="124" t="n"/>
      <c r="EV36" s="125" t="n"/>
      <c r="EW36" s="124" t="n"/>
      <c r="EX36" s="125" t="n"/>
      <c r="EY36" s="124" t="n"/>
      <c r="EZ36" s="125" t="n"/>
      <c r="FA36" s="124" t="n"/>
      <c r="FB36" s="125" t="n"/>
      <c r="FC36" s="191" t="n"/>
      <c r="FD36" s="127" t="n"/>
      <c r="FE36" s="128" t="n"/>
      <c r="FF36" s="127" t="n"/>
      <c r="FG36" s="128" t="n"/>
      <c r="FH36" s="127" t="n"/>
      <c r="FI36" s="128" t="n"/>
      <c r="FJ36" s="127" t="n"/>
      <c r="FK36" s="128" t="n"/>
      <c r="FL36" s="127" t="n"/>
      <c r="FM36" s="128" t="n"/>
      <c r="FN36" s="127" t="n"/>
      <c r="FO36" s="128" t="n"/>
      <c r="FP36" s="127" t="n"/>
      <c r="FQ36" s="128" t="n"/>
      <c r="FR36" s="127" t="n"/>
      <c r="FS36" s="128" t="n"/>
      <c r="FT36" s="192" t="n"/>
      <c r="FU36" s="130" t="n"/>
      <c r="FV36" s="131" t="n"/>
      <c r="FW36" s="130" t="n"/>
      <c r="FX36" s="131" t="n"/>
      <c r="FY36" s="130" t="n"/>
      <c r="FZ36" s="131" t="n"/>
      <c r="GA36" s="130" t="n"/>
      <c r="GB36" s="131" t="n"/>
      <c r="GC36" s="130" t="n"/>
      <c r="GD36" s="131" t="n"/>
      <c r="GE36" s="130" t="n"/>
      <c r="GF36" s="131" t="n"/>
      <c r="GG36" s="130" t="n"/>
      <c r="GH36" s="131" t="n"/>
      <c r="GI36" s="130" t="n"/>
      <c r="GJ36" s="131" t="n"/>
      <c r="GK36" s="193" t="n"/>
      <c r="GL36" s="133" t="n"/>
      <c r="GM36" s="134" t="n"/>
      <c r="GN36" s="133" t="n"/>
      <c r="GO36" s="134" t="n"/>
      <c r="GP36" s="133" t="n"/>
      <c r="GQ36" s="134" t="n"/>
      <c r="GR36" s="133" t="n"/>
      <c r="GS36" s="134" t="n"/>
      <c r="GT36" s="133" t="n"/>
      <c r="GU36" s="134" t="n"/>
      <c r="GV36" s="133" t="n"/>
      <c r="GW36" s="134" t="n"/>
      <c r="GX36" s="133" t="n"/>
      <c r="GY36" s="134" t="n"/>
      <c r="GZ36" s="133" t="n"/>
      <c r="HA36" s="134" t="n"/>
      <c r="HB36" s="194" t="n"/>
      <c r="HC36">
        <f>SUMIFS($G36:$HB36,$G$46:$HB$46,"&gt;="&amp;$HD$1,$G$46:$HB$46,"&lt;="&amp;$HD$2,$G$29:$HB$29,"&lt;&gt;ملاحظات",$G$28:$HB$28,"&gt;0")</f>
        <v>0</v>
      </c>
      <c r="HD36">
        <f>SUMIFS($G$28:$HB$28,$G$46:$HB$46,"&gt;="&amp;$HD$1,$G$46:$HB$46,"&lt;="&amp;$HD$2,$G$29:$HB$29,"&lt;&gt;ملاحظات",$G36:$HB36,"&gt;=0")</f>
        <v>0</v>
      </c>
    </row>
    <row r="37" ht="22.5" customHeight="1">
      <c r="A37" s="36" t="n">
        <v>8</v>
      </c>
      <c r="B37" s="181" t="str">
        <f>IF($B12="","",$B12)</f>
        <v/>
      </c>
      <c r="C37" s="136" t="str">
        <f>IF(OR($B37="",$HD37=0),"",ROUND($HC37,2)&amp;" / "&amp;$HD37)</f>
        <v/>
      </c>
      <c r="D37" s="182" t="str">
        <f>IF(OR($B37="",$HD37=0),"",$HC37/$HD37)</f>
        <v/>
      </c>
      <c r="E37" s="98" t="str">
        <f>IF($D37="","",RANK($D37,$D$30:$D$44))</f>
        <v/>
      </c>
      <c r="F37" s="99" t="str">
        <f>IF($D37="","",IF($D37&gt;=0.85,"ممتاز",IF($D37&gt;=0.75,"جيد جداً",IF($D37&gt;=0.65,"جيد",IF($D37&gt;=0.5,"مقبول","ضعيف")))))</f>
        <v/>
      </c>
      <c r="G37" s="100" t="n"/>
      <c r="H37" s="101" t="n"/>
      <c r="I37" s="100" t="n"/>
      <c r="J37" s="101" t="n"/>
      <c r="K37" s="100" t="n"/>
      <c r="L37" s="101" t="n"/>
      <c r="M37" s="100" t="n"/>
      <c r="N37" s="101" t="n"/>
      <c r="O37" s="100" t="n"/>
      <c r="P37" s="101" t="n"/>
      <c r="Q37" s="100" t="n"/>
      <c r="R37" s="101" t="n"/>
      <c r="S37" s="100" t="n"/>
      <c r="T37" s="101" t="n"/>
      <c r="U37" s="100" t="n"/>
      <c r="V37" s="101" t="n"/>
      <c r="W37" s="183" t="n"/>
      <c r="X37" s="103" t="n"/>
      <c r="Y37" s="104" t="n"/>
      <c r="Z37" s="103" t="n"/>
      <c r="AA37" s="104" t="n"/>
      <c r="AB37" s="103" t="n"/>
      <c r="AC37" s="104" t="n"/>
      <c r="AD37" s="103" t="n"/>
      <c r="AE37" s="104" t="n"/>
      <c r="AF37" s="103" t="n"/>
      <c r="AG37" s="104" t="n"/>
      <c r="AH37" s="103" t="n"/>
      <c r="AI37" s="104" t="n"/>
      <c r="AJ37" s="103" t="n"/>
      <c r="AK37" s="104" t="n"/>
      <c r="AL37" s="103" t="n"/>
      <c r="AM37" s="104" t="n"/>
      <c r="AN37" s="184" t="n"/>
      <c r="AO37" s="106" t="n"/>
      <c r="AP37" s="107" t="n"/>
      <c r="AQ37" s="106" t="n"/>
      <c r="AR37" s="107" t="n"/>
      <c r="AS37" s="106" t="n"/>
      <c r="AT37" s="107" t="n"/>
      <c r="AU37" s="106" t="n"/>
      <c r="AV37" s="107" t="n"/>
      <c r="AW37" s="106" t="n"/>
      <c r="AX37" s="107" t="n"/>
      <c r="AY37" s="106" t="n"/>
      <c r="AZ37" s="107" t="n"/>
      <c r="BA37" s="106" t="n"/>
      <c r="BB37" s="107" t="n"/>
      <c r="BC37" s="106" t="n"/>
      <c r="BD37" s="107" t="n"/>
      <c r="BE37" s="185" t="n"/>
      <c r="BF37" s="109" t="n"/>
      <c r="BG37" s="110" t="n"/>
      <c r="BH37" s="109" t="n"/>
      <c r="BI37" s="110" t="n"/>
      <c r="BJ37" s="109" t="n"/>
      <c r="BK37" s="110" t="n"/>
      <c r="BL37" s="109" t="n"/>
      <c r="BM37" s="110" t="n"/>
      <c r="BN37" s="109" t="n"/>
      <c r="BO37" s="110" t="n"/>
      <c r="BP37" s="109" t="n"/>
      <c r="BQ37" s="110" t="n"/>
      <c r="BR37" s="109" t="n"/>
      <c r="BS37" s="110" t="n"/>
      <c r="BT37" s="109" t="n"/>
      <c r="BU37" s="110" t="n"/>
      <c r="BV37" s="186" t="n"/>
      <c r="BW37" s="112" t="n"/>
      <c r="BX37" s="113" t="n"/>
      <c r="BY37" s="112" t="n"/>
      <c r="BZ37" s="113" t="n"/>
      <c r="CA37" s="112" t="n"/>
      <c r="CB37" s="113" t="n"/>
      <c r="CC37" s="112" t="n"/>
      <c r="CD37" s="113" t="n"/>
      <c r="CE37" s="112" t="n"/>
      <c r="CF37" s="113" t="n"/>
      <c r="CG37" s="112" t="n"/>
      <c r="CH37" s="113" t="n"/>
      <c r="CI37" s="112" t="n"/>
      <c r="CJ37" s="113" t="n"/>
      <c r="CK37" s="112" t="n"/>
      <c r="CL37" s="113" t="n"/>
      <c r="CM37" s="187" t="n"/>
      <c r="CN37" s="115" t="n"/>
      <c r="CO37" s="116" t="n"/>
      <c r="CP37" s="115" t="n"/>
      <c r="CQ37" s="116" t="n"/>
      <c r="CR37" s="115" t="n"/>
      <c r="CS37" s="116" t="n"/>
      <c r="CT37" s="115" t="n"/>
      <c r="CU37" s="116" t="n"/>
      <c r="CV37" s="115" t="n"/>
      <c r="CW37" s="116" t="n"/>
      <c r="CX37" s="115" t="n"/>
      <c r="CY37" s="116" t="n"/>
      <c r="CZ37" s="115" t="n"/>
      <c r="DA37" s="116" t="n"/>
      <c r="DB37" s="115" t="n"/>
      <c r="DC37" s="116" t="n"/>
      <c r="DD37" s="188" t="n"/>
      <c r="DE37" s="118" t="n"/>
      <c r="DF37" s="119" t="n"/>
      <c r="DG37" s="118" t="n"/>
      <c r="DH37" s="119" t="n"/>
      <c r="DI37" s="118" t="n"/>
      <c r="DJ37" s="119" t="n"/>
      <c r="DK37" s="118" t="n"/>
      <c r="DL37" s="119" t="n"/>
      <c r="DM37" s="118" t="n"/>
      <c r="DN37" s="119" t="n"/>
      <c r="DO37" s="118" t="n"/>
      <c r="DP37" s="119" t="n"/>
      <c r="DQ37" s="118" t="n"/>
      <c r="DR37" s="119" t="n"/>
      <c r="DS37" s="118" t="n"/>
      <c r="DT37" s="119" t="n"/>
      <c r="DU37" s="189" t="n"/>
      <c r="DV37" s="121" t="n"/>
      <c r="DW37" s="122" t="n"/>
      <c r="DX37" s="121" t="n"/>
      <c r="DY37" s="122" t="n"/>
      <c r="DZ37" s="121" t="n"/>
      <c r="EA37" s="122" t="n"/>
      <c r="EB37" s="121" t="n"/>
      <c r="EC37" s="122" t="n"/>
      <c r="ED37" s="121" t="n"/>
      <c r="EE37" s="122" t="n"/>
      <c r="EF37" s="121" t="n"/>
      <c r="EG37" s="122" t="n"/>
      <c r="EH37" s="121" t="n"/>
      <c r="EI37" s="122" t="n"/>
      <c r="EJ37" s="121" t="n"/>
      <c r="EK37" s="122" t="n"/>
      <c r="EL37" s="190" t="n"/>
      <c r="EM37" s="124" t="n"/>
      <c r="EN37" s="125" t="n"/>
      <c r="EO37" s="124" t="n"/>
      <c r="EP37" s="125" t="n"/>
      <c r="EQ37" s="124" t="n"/>
      <c r="ER37" s="125" t="n"/>
      <c r="ES37" s="124" t="n"/>
      <c r="ET37" s="125" t="n"/>
      <c r="EU37" s="124" t="n"/>
      <c r="EV37" s="125" t="n"/>
      <c r="EW37" s="124" t="n"/>
      <c r="EX37" s="125" t="n"/>
      <c r="EY37" s="124" t="n"/>
      <c r="EZ37" s="125" t="n"/>
      <c r="FA37" s="124" t="n"/>
      <c r="FB37" s="125" t="n"/>
      <c r="FC37" s="191" t="n"/>
      <c r="FD37" s="127" t="n"/>
      <c r="FE37" s="128" t="n"/>
      <c r="FF37" s="127" t="n"/>
      <c r="FG37" s="128" t="n"/>
      <c r="FH37" s="127" t="n"/>
      <c r="FI37" s="128" t="n"/>
      <c r="FJ37" s="127" t="n"/>
      <c r="FK37" s="128" t="n"/>
      <c r="FL37" s="127" t="n"/>
      <c r="FM37" s="128" t="n"/>
      <c r="FN37" s="127" t="n"/>
      <c r="FO37" s="128" t="n"/>
      <c r="FP37" s="127" t="n"/>
      <c r="FQ37" s="128" t="n"/>
      <c r="FR37" s="127" t="n"/>
      <c r="FS37" s="128" t="n"/>
      <c r="FT37" s="192" t="n"/>
      <c r="FU37" s="130" t="n"/>
      <c r="FV37" s="131" t="n"/>
      <c r="FW37" s="130" t="n"/>
      <c r="FX37" s="131" t="n"/>
      <c r="FY37" s="130" t="n"/>
      <c r="FZ37" s="131" t="n"/>
      <c r="GA37" s="130" t="n"/>
      <c r="GB37" s="131" t="n"/>
      <c r="GC37" s="130" t="n"/>
      <c r="GD37" s="131" t="n"/>
      <c r="GE37" s="130" t="n"/>
      <c r="GF37" s="131" t="n"/>
      <c r="GG37" s="130" t="n"/>
      <c r="GH37" s="131" t="n"/>
      <c r="GI37" s="130" t="n"/>
      <c r="GJ37" s="131" t="n"/>
      <c r="GK37" s="193" t="n"/>
      <c r="GL37" s="133" t="n"/>
      <c r="GM37" s="134" t="n"/>
      <c r="GN37" s="133" t="n"/>
      <c r="GO37" s="134" t="n"/>
      <c r="GP37" s="133" t="n"/>
      <c r="GQ37" s="134" t="n"/>
      <c r="GR37" s="133" t="n"/>
      <c r="GS37" s="134" t="n"/>
      <c r="GT37" s="133" t="n"/>
      <c r="GU37" s="134" t="n"/>
      <c r="GV37" s="133" t="n"/>
      <c r="GW37" s="134" t="n"/>
      <c r="GX37" s="133" t="n"/>
      <c r="GY37" s="134" t="n"/>
      <c r="GZ37" s="133" t="n"/>
      <c r="HA37" s="134" t="n"/>
      <c r="HB37" s="194" t="n"/>
      <c r="HC37">
        <f>SUMIFS($G37:$HB37,$G$46:$HB$46,"&gt;="&amp;$HD$1,$G$46:$HB$46,"&lt;="&amp;$HD$2,$G$29:$HB$29,"&lt;&gt;ملاحظات",$G$28:$HB$28,"&gt;0")</f>
        <v>0</v>
      </c>
      <c r="HD37">
        <f>SUMIFS($G$28:$HB$28,$G$46:$HB$46,"&gt;="&amp;$HD$1,$G$46:$HB$46,"&lt;="&amp;$HD$2,$G$29:$HB$29,"&lt;&gt;ملاحظات",$G37:$HB37,"&gt;=0")</f>
        <v>0</v>
      </c>
    </row>
    <row r="38" ht="22.5" customHeight="1">
      <c r="A38" s="36" t="n">
        <v>9</v>
      </c>
      <c r="B38" s="181" t="str">
        <f>IF($B13="","",$B13)</f>
        <v/>
      </c>
      <c r="C38" s="136" t="str">
        <f>IF(OR($B38="",$HD38=0),"",ROUND($HC38,2)&amp;" / "&amp;$HD38)</f>
        <v/>
      </c>
      <c r="D38" s="182" t="str">
        <f>IF(OR($B38="",$HD38=0),"",$HC38/$HD38)</f>
        <v/>
      </c>
      <c r="E38" s="98" t="str">
        <f>IF($D38="","",RANK($D38,$D$30:$D$44))</f>
        <v/>
      </c>
      <c r="F38" s="99" t="str">
        <f>IF($D38="","",IF($D38&gt;=0.85,"ممتاز",IF($D38&gt;=0.75,"جيد جداً",IF($D38&gt;=0.65,"جيد",IF($D38&gt;=0.5,"مقبول","ضعيف")))))</f>
        <v/>
      </c>
      <c r="G38" s="100" t="n"/>
      <c r="H38" s="101" t="n"/>
      <c r="I38" s="100" t="n"/>
      <c r="J38" s="101" t="n"/>
      <c r="K38" s="100" t="n"/>
      <c r="L38" s="101" t="n"/>
      <c r="M38" s="100" t="n"/>
      <c r="N38" s="101" t="n"/>
      <c r="O38" s="100" t="n"/>
      <c r="P38" s="101" t="n"/>
      <c r="Q38" s="100" t="n"/>
      <c r="R38" s="101" t="n"/>
      <c r="S38" s="100" t="n"/>
      <c r="T38" s="101" t="n"/>
      <c r="U38" s="100" t="n"/>
      <c r="V38" s="101" t="n"/>
      <c r="W38" s="183" t="n"/>
      <c r="X38" s="103" t="n"/>
      <c r="Y38" s="104" t="n"/>
      <c r="Z38" s="103" t="n"/>
      <c r="AA38" s="104" t="n"/>
      <c r="AB38" s="103" t="n"/>
      <c r="AC38" s="104" t="n"/>
      <c r="AD38" s="103" t="n"/>
      <c r="AE38" s="104" t="n"/>
      <c r="AF38" s="103" t="n"/>
      <c r="AG38" s="104" t="n"/>
      <c r="AH38" s="103" t="n"/>
      <c r="AI38" s="104" t="n"/>
      <c r="AJ38" s="103" t="n"/>
      <c r="AK38" s="104" t="n"/>
      <c r="AL38" s="103" t="n"/>
      <c r="AM38" s="104" t="n"/>
      <c r="AN38" s="184" t="n"/>
      <c r="AO38" s="106" t="n"/>
      <c r="AP38" s="107" t="n"/>
      <c r="AQ38" s="106" t="n"/>
      <c r="AR38" s="107" t="n"/>
      <c r="AS38" s="106" t="n"/>
      <c r="AT38" s="107" t="n"/>
      <c r="AU38" s="106" t="n"/>
      <c r="AV38" s="107" t="n"/>
      <c r="AW38" s="106" t="n"/>
      <c r="AX38" s="107" t="n"/>
      <c r="AY38" s="106" t="n"/>
      <c r="AZ38" s="107" t="n"/>
      <c r="BA38" s="106" t="n"/>
      <c r="BB38" s="107" t="n"/>
      <c r="BC38" s="106" t="n"/>
      <c r="BD38" s="107" t="n"/>
      <c r="BE38" s="185" t="n"/>
      <c r="BF38" s="109" t="n"/>
      <c r="BG38" s="110" t="n"/>
      <c r="BH38" s="109" t="n"/>
      <c r="BI38" s="110" t="n"/>
      <c r="BJ38" s="109" t="n"/>
      <c r="BK38" s="110" t="n"/>
      <c r="BL38" s="109" t="n"/>
      <c r="BM38" s="110" t="n"/>
      <c r="BN38" s="109" t="n"/>
      <c r="BO38" s="110" t="n"/>
      <c r="BP38" s="109" t="n"/>
      <c r="BQ38" s="110" t="n"/>
      <c r="BR38" s="109" t="n"/>
      <c r="BS38" s="110" t="n"/>
      <c r="BT38" s="109" t="n"/>
      <c r="BU38" s="110" t="n"/>
      <c r="BV38" s="186" t="n"/>
      <c r="BW38" s="112" t="n"/>
      <c r="BX38" s="113" t="n"/>
      <c r="BY38" s="112" t="n"/>
      <c r="BZ38" s="113" t="n"/>
      <c r="CA38" s="112" t="n"/>
      <c r="CB38" s="113" t="n"/>
      <c r="CC38" s="112" t="n"/>
      <c r="CD38" s="113" t="n"/>
      <c r="CE38" s="112" t="n"/>
      <c r="CF38" s="113" t="n"/>
      <c r="CG38" s="112" t="n"/>
      <c r="CH38" s="113" t="n"/>
      <c r="CI38" s="112" t="n"/>
      <c r="CJ38" s="113" t="n"/>
      <c r="CK38" s="112" t="n"/>
      <c r="CL38" s="113" t="n"/>
      <c r="CM38" s="187" t="n"/>
      <c r="CN38" s="115" t="n"/>
      <c r="CO38" s="116" t="n"/>
      <c r="CP38" s="115" t="n"/>
      <c r="CQ38" s="116" t="n"/>
      <c r="CR38" s="115" t="n"/>
      <c r="CS38" s="116" t="n"/>
      <c r="CT38" s="115" t="n"/>
      <c r="CU38" s="116" t="n"/>
      <c r="CV38" s="115" t="n"/>
      <c r="CW38" s="116" t="n"/>
      <c r="CX38" s="115" t="n"/>
      <c r="CY38" s="116" t="n"/>
      <c r="CZ38" s="115" t="n"/>
      <c r="DA38" s="116" t="n"/>
      <c r="DB38" s="115" t="n"/>
      <c r="DC38" s="116" t="n"/>
      <c r="DD38" s="188" t="n"/>
      <c r="DE38" s="118" t="n"/>
      <c r="DF38" s="119" t="n"/>
      <c r="DG38" s="118" t="n"/>
      <c r="DH38" s="119" t="n"/>
      <c r="DI38" s="118" t="n"/>
      <c r="DJ38" s="119" t="n"/>
      <c r="DK38" s="118" t="n"/>
      <c r="DL38" s="119" t="n"/>
      <c r="DM38" s="118" t="n"/>
      <c r="DN38" s="119" t="n"/>
      <c r="DO38" s="118" t="n"/>
      <c r="DP38" s="119" t="n"/>
      <c r="DQ38" s="118" t="n"/>
      <c r="DR38" s="119" t="n"/>
      <c r="DS38" s="118" t="n"/>
      <c r="DT38" s="119" t="n"/>
      <c r="DU38" s="189" t="n"/>
      <c r="DV38" s="121" t="n"/>
      <c r="DW38" s="122" t="n"/>
      <c r="DX38" s="121" t="n"/>
      <c r="DY38" s="122" t="n"/>
      <c r="DZ38" s="121" t="n"/>
      <c r="EA38" s="122" t="n"/>
      <c r="EB38" s="121" t="n"/>
      <c r="EC38" s="122" t="n"/>
      <c r="ED38" s="121" t="n"/>
      <c r="EE38" s="122" t="n"/>
      <c r="EF38" s="121" t="n"/>
      <c r="EG38" s="122" t="n"/>
      <c r="EH38" s="121" t="n"/>
      <c r="EI38" s="122" t="n"/>
      <c r="EJ38" s="121" t="n"/>
      <c r="EK38" s="122" t="n"/>
      <c r="EL38" s="190" t="n"/>
      <c r="EM38" s="124" t="n"/>
      <c r="EN38" s="125" t="n"/>
      <c r="EO38" s="124" t="n"/>
      <c r="EP38" s="125" t="n"/>
      <c r="EQ38" s="124" t="n"/>
      <c r="ER38" s="125" t="n"/>
      <c r="ES38" s="124" t="n"/>
      <c r="ET38" s="125" t="n"/>
      <c r="EU38" s="124" t="n"/>
      <c r="EV38" s="125" t="n"/>
      <c r="EW38" s="124" t="n"/>
      <c r="EX38" s="125" t="n"/>
      <c r="EY38" s="124" t="n"/>
      <c r="EZ38" s="125" t="n"/>
      <c r="FA38" s="124" t="n"/>
      <c r="FB38" s="125" t="n"/>
      <c r="FC38" s="191" t="n"/>
      <c r="FD38" s="127" t="n"/>
      <c r="FE38" s="128" t="n"/>
      <c r="FF38" s="127" t="n"/>
      <c r="FG38" s="128" t="n"/>
      <c r="FH38" s="127" t="n"/>
      <c r="FI38" s="128" t="n"/>
      <c r="FJ38" s="127" t="n"/>
      <c r="FK38" s="128" t="n"/>
      <c r="FL38" s="127" t="n"/>
      <c r="FM38" s="128" t="n"/>
      <c r="FN38" s="127" t="n"/>
      <c r="FO38" s="128" t="n"/>
      <c r="FP38" s="127" t="n"/>
      <c r="FQ38" s="128" t="n"/>
      <c r="FR38" s="127" t="n"/>
      <c r="FS38" s="128" t="n"/>
      <c r="FT38" s="192" t="n"/>
      <c r="FU38" s="130" t="n"/>
      <c r="FV38" s="131" t="n"/>
      <c r="FW38" s="130" t="n"/>
      <c r="FX38" s="131" t="n"/>
      <c r="FY38" s="130" t="n"/>
      <c r="FZ38" s="131" t="n"/>
      <c r="GA38" s="130" t="n"/>
      <c r="GB38" s="131" t="n"/>
      <c r="GC38" s="130" t="n"/>
      <c r="GD38" s="131" t="n"/>
      <c r="GE38" s="130" t="n"/>
      <c r="GF38" s="131" t="n"/>
      <c r="GG38" s="130" t="n"/>
      <c r="GH38" s="131" t="n"/>
      <c r="GI38" s="130" t="n"/>
      <c r="GJ38" s="131" t="n"/>
      <c r="GK38" s="193" t="n"/>
      <c r="GL38" s="133" t="n"/>
      <c r="GM38" s="134" t="n"/>
      <c r="GN38" s="133" t="n"/>
      <c r="GO38" s="134" t="n"/>
      <c r="GP38" s="133" t="n"/>
      <c r="GQ38" s="134" t="n"/>
      <c r="GR38" s="133" t="n"/>
      <c r="GS38" s="134" t="n"/>
      <c r="GT38" s="133" t="n"/>
      <c r="GU38" s="134" t="n"/>
      <c r="GV38" s="133" t="n"/>
      <c r="GW38" s="134" t="n"/>
      <c r="GX38" s="133" t="n"/>
      <c r="GY38" s="134" t="n"/>
      <c r="GZ38" s="133" t="n"/>
      <c r="HA38" s="134" t="n"/>
      <c r="HB38" s="194" t="n"/>
      <c r="HC38">
        <f>SUMIFS($G38:$HB38,$G$46:$HB$46,"&gt;="&amp;$HD$1,$G$46:$HB$46,"&lt;="&amp;$HD$2,$G$29:$HB$29,"&lt;&gt;ملاحظات",$G$28:$HB$28,"&gt;0")</f>
        <v>0</v>
      </c>
      <c r="HD38">
        <f>SUMIFS($G$28:$HB$28,$G$46:$HB$46,"&gt;="&amp;$HD$1,$G$46:$HB$46,"&lt;="&amp;$HD$2,$G$29:$HB$29,"&lt;&gt;ملاحظات",$G38:$HB38,"&gt;=0")</f>
        <v>0</v>
      </c>
    </row>
    <row r="39" ht="22.5" customHeight="1">
      <c r="A39" s="36" t="n">
        <v>10</v>
      </c>
      <c r="B39" s="181" t="str">
        <f>IF($B14="","",$B14)</f>
        <v/>
      </c>
      <c r="C39" s="136" t="str">
        <f>IF(OR($B39="",$HD39=0),"",ROUND($HC39,2)&amp;" / "&amp;$HD39)</f>
        <v/>
      </c>
      <c r="D39" s="182" t="str">
        <f>IF(OR($B39="",$HD39=0),"",$HC39/$HD39)</f>
        <v/>
      </c>
      <c r="E39" s="98" t="str">
        <f>IF($D39="","",RANK($D39,$D$30:$D$44))</f>
        <v/>
      </c>
      <c r="F39" s="99" t="str">
        <f>IF($D39="","",IF($D39&gt;=0.85,"ممتاز",IF($D39&gt;=0.75,"جيد جداً",IF($D39&gt;=0.65,"جيد",IF($D39&gt;=0.5,"مقبول","ضعيف")))))</f>
        <v/>
      </c>
      <c r="G39" s="100" t="n"/>
      <c r="H39" s="101" t="n"/>
      <c r="I39" s="100" t="n"/>
      <c r="J39" s="101" t="n"/>
      <c r="K39" s="100" t="n"/>
      <c r="L39" s="101" t="n"/>
      <c r="M39" s="100" t="n"/>
      <c r="N39" s="101" t="n"/>
      <c r="O39" s="100" t="n"/>
      <c r="P39" s="101" t="n"/>
      <c r="Q39" s="100" t="n"/>
      <c r="R39" s="101" t="n"/>
      <c r="S39" s="100" t="n"/>
      <c r="T39" s="101" t="n"/>
      <c r="U39" s="100" t="n"/>
      <c r="V39" s="101" t="n"/>
      <c r="W39" s="183" t="n"/>
      <c r="X39" s="103" t="n"/>
      <c r="Y39" s="104" t="n"/>
      <c r="Z39" s="103" t="n"/>
      <c r="AA39" s="104" t="n"/>
      <c r="AB39" s="103" t="n"/>
      <c r="AC39" s="104" t="n"/>
      <c r="AD39" s="103" t="n"/>
      <c r="AE39" s="104" t="n"/>
      <c r="AF39" s="103" t="n"/>
      <c r="AG39" s="104" t="n"/>
      <c r="AH39" s="103" t="n"/>
      <c r="AI39" s="104" t="n"/>
      <c r="AJ39" s="103" t="n"/>
      <c r="AK39" s="104" t="n"/>
      <c r="AL39" s="103" t="n"/>
      <c r="AM39" s="104" t="n"/>
      <c r="AN39" s="184" t="n"/>
      <c r="AO39" s="106" t="n"/>
      <c r="AP39" s="107" t="n"/>
      <c r="AQ39" s="106" t="n"/>
      <c r="AR39" s="107" t="n"/>
      <c r="AS39" s="106" t="n"/>
      <c r="AT39" s="107" t="n"/>
      <c r="AU39" s="106" t="n"/>
      <c r="AV39" s="107" t="n"/>
      <c r="AW39" s="106" t="n"/>
      <c r="AX39" s="107" t="n"/>
      <c r="AY39" s="106" t="n"/>
      <c r="AZ39" s="107" t="n"/>
      <c r="BA39" s="106" t="n"/>
      <c r="BB39" s="107" t="n"/>
      <c r="BC39" s="106" t="n"/>
      <c r="BD39" s="107" t="n"/>
      <c r="BE39" s="185" t="n"/>
      <c r="BF39" s="109" t="n"/>
      <c r="BG39" s="110" t="n"/>
      <c r="BH39" s="109" t="n"/>
      <c r="BI39" s="110" t="n"/>
      <c r="BJ39" s="109" t="n"/>
      <c r="BK39" s="110" t="n"/>
      <c r="BL39" s="109" t="n"/>
      <c r="BM39" s="110" t="n"/>
      <c r="BN39" s="109" t="n"/>
      <c r="BO39" s="110" t="n"/>
      <c r="BP39" s="109" t="n"/>
      <c r="BQ39" s="110" t="n"/>
      <c r="BR39" s="109" t="n"/>
      <c r="BS39" s="110" t="n"/>
      <c r="BT39" s="109" t="n"/>
      <c r="BU39" s="110" t="n"/>
      <c r="BV39" s="186" t="n"/>
      <c r="BW39" s="112" t="n"/>
      <c r="BX39" s="113" t="n"/>
      <c r="BY39" s="112" t="n"/>
      <c r="BZ39" s="113" t="n"/>
      <c r="CA39" s="112" t="n"/>
      <c r="CB39" s="113" t="n"/>
      <c r="CC39" s="112" t="n"/>
      <c r="CD39" s="113" t="n"/>
      <c r="CE39" s="112" t="n"/>
      <c r="CF39" s="113" t="n"/>
      <c r="CG39" s="112" t="n"/>
      <c r="CH39" s="113" t="n"/>
      <c r="CI39" s="112" t="n"/>
      <c r="CJ39" s="113" t="n"/>
      <c r="CK39" s="112" t="n"/>
      <c r="CL39" s="113" t="n"/>
      <c r="CM39" s="187" t="n"/>
      <c r="CN39" s="115" t="n"/>
      <c r="CO39" s="116" t="n"/>
      <c r="CP39" s="115" t="n"/>
      <c r="CQ39" s="116" t="n"/>
      <c r="CR39" s="115" t="n"/>
      <c r="CS39" s="116" t="n"/>
      <c r="CT39" s="115" t="n"/>
      <c r="CU39" s="116" t="n"/>
      <c r="CV39" s="115" t="n"/>
      <c r="CW39" s="116" t="n"/>
      <c r="CX39" s="115" t="n"/>
      <c r="CY39" s="116" t="n"/>
      <c r="CZ39" s="115" t="n"/>
      <c r="DA39" s="116" t="n"/>
      <c r="DB39" s="115" t="n"/>
      <c r="DC39" s="116" t="n"/>
      <c r="DD39" s="188" t="n"/>
      <c r="DE39" s="118" t="n"/>
      <c r="DF39" s="119" t="n"/>
      <c r="DG39" s="118" t="n"/>
      <c r="DH39" s="119" t="n"/>
      <c r="DI39" s="118" t="n"/>
      <c r="DJ39" s="119" t="n"/>
      <c r="DK39" s="118" t="n"/>
      <c r="DL39" s="119" t="n"/>
      <c r="DM39" s="118" t="n"/>
      <c r="DN39" s="119" t="n"/>
      <c r="DO39" s="118" t="n"/>
      <c r="DP39" s="119" t="n"/>
      <c r="DQ39" s="118" t="n"/>
      <c r="DR39" s="119" t="n"/>
      <c r="DS39" s="118" t="n"/>
      <c r="DT39" s="119" t="n"/>
      <c r="DU39" s="189" t="n"/>
      <c r="DV39" s="121" t="n"/>
      <c r="DW39" s="122" t="n"/>
      <c r="DX39" s="121" t="n"/>
      <c r="DY39" s="122" t="n"/>
      <c r="DZ39" s="121" t="n"/>
      <c r="EA39" s="122" t="n"/>
      <c r="EB39" s="121" t="n"/>
      <c r="EC39" s="122" t="n"/>
      <c r="ED39" s="121" t="n"/>
      <c r="EE39" s="122" t="n"/>
      <c r="EF39" s="121" t="n"/>
      <c r="EG39" s="122" t="n"/>
      <c r="EH39" s="121" t="n"/>
      <c r="EI39" s="122" t="n"/>
      <c r="EJ39" s="121" t="n"/>
      <c r="EK39" s="122" t="n"/>
      <c r="EL39" s="190" t="n"/>
      <c r="EM39" s="124" t="n"/>
      <c r="EN39" s="125" t="n"/>
      <c r="EO39" s="124" t="n"/>
      <c r="EP39" s="125" t="n"/>
      <c r="EQ39" s="124" t="n"/>
      <c r="ER39" s="125" t="n"/>
      <c r="ES39" s="124" t="n"/>
      <c r="ET39" s="125" t="n"/>
      <c r="EU39" s="124" t="n"/>
      <c r="EV39" s="125" t="n"/>
      <c r="EW39" s="124" t="n"/>
      <c r="EX39" s="125" t="n"/>
      <c r="EY39" s="124" t="n"/>
      <c r="EZ39" s="125" t="n"/>
      <c r="FA39" s="124" t="n"/>
      <c r="FB39" s="125" t="n"/>
      <c r="FC39" s="191" t="n"/>
      <c r="FD39" s="127" t="n"/>
      <c r="FE39" s="128" t="n"/>
      <c r="FF39" s="127" t="n"/>
      <c r="FG39" s="128" t="n"/>
      <c r="FH39" s="127" t="n"/>
      <c r="FI39" s="128" t="n"/>
      <c r="FJ39" s="127" t="n"/>
      <c r="FK39" s="128" t="n"/>
      <c r="FL39" s="127" t="n"/>
      <c r="FM39" s="128" t="n"/>
      <c r="FN39" s="127" t="n"/>
      <c r="FO39" s="128" t="n"/>
      <c r="FP39" s="127" t="n"/>
      <c r="FQ39" s="128" t="n"/>
      <c r="FR39" s="127" t="n"/>
      <c r="FS39" s="128" t="n"/>
      <c r="FT39" s="192" t="n"/>
      <c r="FU39" s="130" t="n"/>
      <c r="FV39" s="131" t="n"/>
      <c r="FW39" s="130" t="n"/>
      <c r="FX39" s="131" t="n"/>
      <c r="FY39" s="130" t="n"/>
      <c r="FZ39" s="131" t="n"/>
      <c r="GA39" s="130" t="n"/>
      <c r="GB39" s="131" t="n"/>
      <c r="GC39" s="130" t="n"/>
      <c r="GD39" s="131" t="n"/>
      <c r="GE39" s="130" t="n"/>
      <c r="GF39" s="131" t="n"/>
      <c r="GG39" s="130" t="n"/>
      <c r="GH39" s="131" t="n"/>
      <c r="GI39" s="130" t="n"/>
      <c r="GJ39" s="131" t="n"/>
      <c r="GK39" s="193" t="n"/>
      <c r="GL39" s="133" t="n"/>
      <c r="GM39" s="134" t="n"/>
      <c r="GN39" s="133" t="n"/>
      <c r="GO39" s="134" t="n"/>
      <c r="GP39" s="133" t="n"/>
      <c r="GQ39" s="134" t="n"/>
      <c r="GR39" s="133" t="n"/>
      <c r="GS39" s="134" t="n"/>
      <c r="GT39" s="133" t="n"/>
      <c r="GU39" s="134" t="n"/>
      <c r="GV39" s="133" t="n"/>
      <c r="GW39" s="134" t="n"/>
      <c r="GX39" s="133" t="n"/>
      <c r="GY39" s="134" t="n"/>
      <c r="GZ39" s="133" t="n"/>
      <c r="HA39" s="134" t="n"/>
      <c r="HB39" s="194" t="n"/>
      <c r="HC39">
        <f>SUMIFS($G39:$HB39,$G$46:$HB$46,"&gt;="&amp;$HD$1,$G$46:$HB$46,"&lt;="&amp;$HD$2,$G$29:$HB$29,"&lt;&gt;ملاحظات",$G$28:$HB$28,"&gt;0")</f>
        <v>0</v>
      </c>
      <c r="HD39">
        <f>SUMIFS($G$28:$HB$28,$G$46:$HB$46,"&gt;="&amp;$HD$1,$G$46:$HB$46,"&lt;="&amp;$HD$2,$G$29:$HB$29,"&lt;&gt;ملاحظات",$G39:$HB39,"&gt;=0")</f>
        <v>0</v>
      </c>
    </row>
    <row r="40" ht="22.5" customHeight="1">
      <c r="A40" s="36" t="n">
        <v>11</v>
      </c>
      <c r="B40" s="181" t="str">
        <f>IF($B15="","",$B15)</f>
        <v/>
      </c>
      <c r="C40" s="136" t="str">
        <f>IF(OR($B40="",$HD40=0),"",ROUND($HC40,2)&amp;" / "&amp;$HD40)</f>
        <v/>
      </c>
      <c r="D40" s="182" t="str">
        <f>IF(OR($B40="",$HD40=0),"",$HC40/$HD40)</f>
        <v/>
      </c>
      <c r="E40" s="98" t="str">
        <f>IF($D40="","",RANK($D40,$D$30:$D$44))</f>
        <v/>
      </c>
      <c r="F40" s="99" t="str">
        <f>IF($D40="","",IF($D40&gt;=0.85,"ممتاز",IF($D40&gt;=0.75,"جيد جداً",IF($D40&gt;=0.65,"جيد",IF($D40&gt;=0.5,"مقبول","ضعيف")))))</f>
        <v/>
      </c>
      <c r="G40" s="100" t="n"/>
      <c r="H40" s="101" t="n"/>
      <c r="I40" s="100" t="n"/>
      <c r="J40" s="101" t="n"/>
      <c r="K40" s="100" t="n"/>
      <c r="L40" s="101" t="n"/>
      <c r="M40" s="100" t="n"/>
      <c r="N40" s="101" t="n"/>
      <c r="O40" s="100" t="n"/>
      <c r="P40" s="101" t="n"/>
      <c r="Q40" s="100" t="n"/>
      <c r="R40" s="101" t="n"/>
      <c r="S40" s="100" t="n"/>
      <c r="T40" s="101" t="n"/>
      <c r="U40" s="100" t="n"/>
      <c r="V40" s="101" t="n"/>
      <c r="W40" s="183" t="n"/>
      <c r="X40" s="103" t="n"/>
      <c r="Y40" s="104" t="n"/>
      <c r="Z40" s="103" t="n"/>
      <c r="AA40" s="104" t="n"/>
      <c r="AB40" s="103" t="n"/>
      <c r="AC40" s="104" t="n"/>
      <c r="AD40" s="103" t="n"/>
      <c r="AE40" s="104" t="n"/>
      <c r="AF40" s="103" t="n"/>
      <c r="AG40" s="104" t="n"/>
      <c r="AH40" s="103" t="n"/>
      <c r="AI40" s="104" t="n"/>
      <c r="AJ40" s="103" t="n"/>
      <c r="AK40" s="104" t="n"/>
      <c r="AL40" s="103" t="n"/>
      <c r="AM40" s="104" t="n"/>
      <c r="AN40" s="184" t="n"/>
      <c r="AO40" s="106" t="n"/>
      <c r="AP40" s="107" t="n"/>
      <c r="AQ40" s="106" t="n"/>
      <c r="AR40" s="107" t="n"/>
      <c r="AS40" s="106" t="n"/>
      <c r="AT40" s="107" t="n"/>
      <c r="AU40" s="106" t="n"/>
      <c r="AV40" s="107" t="n"/>
      <c r="AW40" s="106" t="n"/>
      <c r="AX40" s="107" t="n"/>
      <c r="AY40" s="106" t="n"/>
      <c r="AZ40" s="107" t="n"/>
      <c r="BA40" s="106" t="n"/>
      <c r="BB40" s="107" t="n"/>
      <c r="BC40" s="106" t="n"/>
      <c r="BD40" s="107" t="n"/>
      <c r="BE40" s="185" t="n"/>
      <c r="BF40" s="109" t="n"/>
      <c r="BG40" s="110" t="n"/>
      <c r="BH40" s="109" t="n"/>
      <c r="BI40" s="110" t="n"/>
      <c r="BJ40" s="109" t="n"/>
      <c r="BK40" s="110" t="n"/>
      <c r="BL40" s="109" t="n"/>
      <c r="BM40" s="110" t="n"/>
      <c r="BN40" s="109" t="n"/>
      <c r="BO40" s="110" t="n"/>
      <c r="BP40" s="109" t="n"/>
      <c r="BQ40" s="110" t="n"/>
      <c r="BR40" s="109" t="n"/>
      <c r="BS40" s="110" t="n"/>
      <c r="BT40" s="109" t="n"/>
      <c r="BU40" s="110" t="n"/>
      <c r="BV40" s="186" t="n"/>
      <c r="BW40" s="112" t="n"/>
      <c r="BX40" s="113" t="n"/>
      <c r="BY40" s="112" t="n"/>
      <c r="BZ40" s="113" t="n"/>
      <c r="CA40" s="112" t="n"/>
      <c r="CB40" s="113" t="n"/>
      <c r="CC40" s="112" t="n"/>
      <c r="CD40" s="113" t="n"/>
      <c r="CE40" s="112" t="n"/>
      <c r="CF40" s="113" t="n"/>
      <c r="CG40" s="112" t="n"/>
      <c r="CH40" s="113" t="n"/>
      <c r="CI40" s="112" t="n"/>
      <c r="CJ40" s="113" t="n"/>
      <c r="CK40" s="112" t="n"/>
      <c r="CL40" s="113" t="n"/>
      <c r="CM40" s="187" t="n"/>
      <c r="CN40" s="115" t="n"/>
      <c r="CO40" s="116" t="n"/>
      <c r="CP40" s="115" t="n"/>
      <c r="CQ40" s="116" t="n"/>
      <c r="CR40" s="115" t="n"/>
      <c r="CS40" s="116" t="n"/>
      <c r="CT40" s="115" t="n"/>
      <c r="CU40" s="116" t="n"/>
      <c r="CV40" s="115" t="n"/>
      <c r="CW40" s="116" t="n"/>
      <c r="CX40" s="115" t="n"/>
      <c r="CY40" s="116" t="n"/>
      <c r="CZ40" s="115" t="n"/>
      <c r="DA40" s="116" t="n"/>
      <c r="DB40" s="115" t="n"/>
      <c r="DC40" s="116" t="n"/>
      <c r="DD40" s="188" t="n"/>
      <c r="DE40" s="118" t="n"/>
      <c r="DF40" s="119" t="n"/>
      <c r="DG40" s="118" t="n"/>
      <c r="DH40" s="119" t="n"/>
      <c r="DI40" s="118" t="n"/>
      <c r="DJ40" s="119" t="n"/>
      <c r="DK40" s="118" t="n"/>
      <c r="DL40" s="119" t="n"/>
      <c r="DM40" s="118" t="n"/>
      <c r="DN40" s="119" t="n"/>
      <c r="DO40" s="118" t="n"/>
      <c r="DP40" s="119" t="n"/>
      <c r="DQ40" s="118" t="n"/>
      <c r="DR40" s="119" t="n"/>
      <c r="DS40" s="118" t="n"/>
      <c r="DT40" s="119" t="n"/>
      <c r="DU40" s="189" t="n"/>
      <c r="DV40" s="121" t="n"/>
      <c r="DW40" s="122" t="n"/>
      <c r="DX40" s="121" t="n"/>
      <c r="DY40" s="122" t="n"/>
      <c r="DZ40" s="121" t="n"/>
      <c r="EA40" s="122" t="n"/>
      <c r="EB40" s="121" t="n"/>
      <c r="EC40" s="122" t="n"/>
      <c r="ED40" s="121" t="n"/>
      <c r="EE40" s="122" t="n"/>
      <c r="EF40" s="121" t="n"/>
      <c r="EG40" s="122" t="n"/>
      <c r="EH40" s="121" t="n"/>
      <c r="EI40" s="122" t="n"/>
      <c r="EJ40" s="121" t="n"/>
      <c r="EK40" s="122" t="n"/>
      <c r="EL40" s="190" t="n"/>
      <c r="EM40" s="124" t="n"/>
      <c r="EN40" s="125" t="n"/>
      <c r="EO40" s="124" t="n"/>
      <c r="EP40" s="125" t="n"/>
      <c r="EQ40" s="124" t="n"/>
      <c r="ER40" s="125" t="n"/>
      <c r="ES40" s="124" t="n"/>
      <c r="ET40" s="125" t="n"/>
      <c r="EU40" s="124" t="n"/>
      <c r="EV40" s="125" t="n"/>
      <c r="EW40" s="124" t="n"/>
      <c r="EX40" s="125" t="n"/>
      <c r="EY40" s="124" t="n"/>
      <c r="EZ40" s="125" t="n"/>
      <c r="FA40" s="124" t="n"/>
      <c r="FB40" s="125" t="n"/>
      <c r="FC40" s="191" t="n"/>
      <c r="FD40" s="127" t="n"/>
      <c r="FE40" s="128" t="n"/>
      <c r="FF40" s="127" t="n"/>
      <c r="FG40" s="128" t="n"/>
      <c r="FH40" s="127" t="n"/>
      <c r="FI40" s="128" t="n"/>
      <c r="FJ40" s="127" t="n"/>
      <c r="FK40" s="128" t="n"/>
      <c r="FL40" s="127" t="n"/>
      <c r="FM40" s="128" t="n"/>
      <c r="FN40" s="127" t="n"/>
      <c r="FO40" s="128" t="n"/>
      <c r="FP40" s="127" t="n"/>
      <c r="FQ40" s="128" t="n"/>
      <c r="FR40" s="127" t="n"/>
      <c r="FS40" s="128" t="n"/>
      <c r="FT40" s="192" t="n"/>
      <c r="FU40" s="130" t="n"/>
      <c r="FV40" s="131" t="n"/>
      <c r="FW40" s="130" t="n"/>
      <c r="FX40" s="131" t="n"/>
      <c r="FY40" s="130" t="n"/>
      <c r="FZ40" s="131" t="n"/>
      <c r="GA40" s="130" t="n"/>
      <c r="GB40" s="131" t="n"/>
      <c r="GC40" s="130" t="n"/>
      <c r="GD40" s="131" t="n"/>
      <c r="GE40" s="130" t="n"/>
      <c r="GF40" s="131" t="n"/>
      <c r="GG40" s="130" t="n"/>
      <c r="GH40" s="131" t="n"/>
      <c r="GI40" s="130" t="n"/>
      <c r="GJ40" s="131" t="n"/>
      <c r="GK40" s="193" t="n"/>
      <c r="GL40" s="133" t="n"/>
      <c r="GM40" s="134" t="n"/>
      <c r="GN40" s="133" t="n"/>
      <c r="GO40" s="134" t="n"/>
      <c r="GP40" s="133" t="n"/>
      <c r="GQ40" s="134" t="n"/>
      <c r="GR40" s="133" t="n"/>
      <c r="GS40" s="134" t="n"/>
      <c r="GT40" s="133" t="n"/>
      <c r="GU40" s="134" t="n"/>
      <c r="GV40" s="133" t="n"/>
      <c r="GW40" s="134" t="n"/>
      <c r="GX40" s="133" t="n"/>
      <c r="GY40" s="134" t="n"/>
      <c r="GZ40" s="133" t="n"/>
      <c r="HA40" s="134" t="n"/>
      <c r="HB40" s="194" t="n"/>
      <c r="HC40">
        <f>SUMIFS($G40:$HB40,$G$46:$HB$46,"&gt;="&amp;$HD$1,$G$46:$HB$46,"&lt;="&amp;$HD$2,$G$29:$HB$29,"&lt;&gt;ملاحظات",$G$28:$HB$28,"&gt;0")</f>
        <v>0</v>
      </c>
      <c r="HD40">
        <f>SUMIFS($G$28:$HB$28,$G$46:$HB$46,"&gt;="&amp;$HD$1,$G$46:$HB$46,"&lt;="&amp;$HD$2,$G$29:$HB$29,"&lt;&gt;ملاحظات",$G40:$HB40,"&gt;=0")</f>
        <v>0</v>
      </c>
    </row>
    <row r="41" ht="22.5" customHeight="1">
      <c r="A41" s="36" t="n">
        <v>12</v>
      </c>
      <c r="B41" s="181" t="str">
        <f>IF($B16="","",$B16)</f>
        <v/>
      </c>
      <c r="C41" s="136" t="str">
        <f>IF(OR($B41="",$HD41=0),"",ROUND($HC41,2)&amp;" / "&amp;$HD41)</f>
        <v/>
      </c>
      <c r="D41" s="182" t="str">
        <f>IF(OR($B41="",$HD41=0),"",$HC41/$HD41)</f>
        <v/>
      </c>
      <c r="E41" s="98" t="str">
        <f>IF($D41="","",RANK($D41,$D$30:$D$44))</f>
        <v/>
      </c>
      <c r="F41" s="99" t="str">
        <f>IF($D41="","",IF($D41&gt;=0.85,"ممتاز",IF($D41&gt;=0.75,"جيد جداً",IF($D41&gt;=0.65,"جيد",IF($D41&gt;=0.5,"مقبول","ضعيف")))))</f>
        <v/>
      </c>
      <c r="G41" s="100" t="n"/>
      <c r="H41" s="101" t="n"/>
      <c r="I41" s="100" t="n"/>
      <c r="J41" s="101" t="n"/>
      <c r="K41" s="100" t="n"/>
      <c r="L41" s="101" t="n"/>
      <c r="M41" s="100" t="n"/>
      <c r="N41" s="101" t="n"/>
      <c r="O41" s="100" t="n"/>
      <c r="P41" s="101" t="n"/>
      <c r="Q41" s="100" t="n"/>
      <c r="R41" s="101" t="n"/>
      <c r="S41" s="100" t="n"/>
      <c r="T41" s="101" t="n"/>
      <c r="U41" s="100" t="n"/>
      <c r="V41" s="101" t="n"/>
      <c r="W41" s="183" t="n"/>
      <c r="X41" s="103" t="n"/>
      <c r="Y41" s="104" t="n"/>
      <c r="Z41" s="103" t="n"/>
      <c r="AA41" s="104" t="n"/>
      <c r="AB41" s="103" t="n"/>
      <c r="AC41" s="104" t="n"/>
      <c r="AD41" s="103" t="n"/>
      <c r="AE41" s="104" t="n"/>
      <c r="AF41" s="103" t="n"/>
      <c r="AG41" s="104" t="n"/>
      <c r="AH41" s="103" t="n"/>
      <c r="AI41" s="104" t="n"/>
      <c r="AJ41" s="103" t="n"/>
      <c r="AK41" s="104" t="n"/>
      <c r="AL41" s="103" t="n"/>
      <c r="AM41" s="104" t="n"/>
      <c r="AN41" s="184" t="n"/>
      <c r="AO41" s="106" t="n"/>
      <c r="AP41" s="107" t="n"/>
      <c r="AQ41" s="106" t="n"/>
      <c r="AR41" s="107" t="n"/>
      <c r="AS41" s="106" t="n"/>
      <c r="AT41" s="107" t="n"/>
      <c r="AU41" s="106" t="n"/>
      <c r="AV41" s="107" t="n"/>
      <c r="AW41" s="106" t="n"/>
      <c r="AX41" s="107" t="n"/>
      <c r="AY41" s="106" t="n"/>
      <c r="AZ41" s="107" t="n"/>
      <c r="BA41" s="106" t="n"/>
      <c r="BB41" s="107" t="n"/>
      <c r="BC41" s="106" t="n"/>
      <c r="BD41" s="107" t="n"/>
      <c r="BE41" s="185" t="n"/>
      <c r="BF41" s="109" t="n"/>
      <c r="BG41" s="110" t="n"/>
      <c r="BH41" s="109" t="n"/>
      <c r="BI41" s="110" t="n"/>
      <c r="BJ41" s="109" t="n"/>
      <c r="BK41" s="110" t="n"/>
      <c r="BL41" s="109" t="n"/>
      <c r="BM41" s="110" t="n"/>
      <c r="BN41" s="109" t="n"/>
      <c r="BO41" s="110" t="n"/>
      <c r="BP41" s="109" t="n"/>
      <c r="BQ41" s="110" t="n"/>
      <c r="BR41" s="109" t="n"/>
      <c r="BS41" s="110" t="n"/>
      <c r="BT41" s="109" t="n"/>
      <c r="BU41" s="110" t="n"/>
      <c r="BV41" s="186" t="n"/>
      <c r="BW41" s="112" t="n"/>
      <c r="BX41" s="113" t="n"/>
      <c r="BY41" s="112" t="n"/>
      <c r="BZ41" s="113" t="n"/>
      <c r="CA41" s="112" t="n"/>
      <c r="CB41" s="113" t="n"/>
      <c r="CC41" s="112" t="n"/>
      <c r="CD41" s="113" t="n"/>
      <c r="CE41" s="112" t="n"/>
      <c r="CF41" s="113" t="n"/>
      <c r="CG41" s="112" t="n"/>
      <c r="CH41" s="113" t="n"/>
      <c r="CI41" s="112" t="n"/>
      <c r="CJ41" s="113" t="n"/>
      <c r="CK41" s="112" t="n"/>
      <c r="CL41" s="113" t="n"/>
      <c r="CM41" s="187" t="n"/>
      <c r="CN41" s="115" t="n"/>
      <c r="CO41" s="116" t="n"/>
      <c r="CP41" s="115" t="n"/>
      <c r="CQ41" s="116" t="n"/>
      <c r="CR41" s="115" t="n"/>
      <c r="CS41" s="116" t="n"/>
      <c r="CT41" s="115" t="n"/>
      <c r="CU41" s="116" t="n"/>
      <c r="CV41" s="115" t="n"/>
      <c r="CW41" s="116" t="n"/>
      <c r="CX41" s="115" t="n"/>
      <c r="CY41" s="116" t="n"/>
      <c r="CZ41" s="115" t="n"/>
      <c r="DA41" s="116" t="n"/>
      <c r="DB41" s="115" t="n"/>
      <c r="DC41" s="116" t="n"/>
      <c r="DD41" s="188" t="n"/>
      <c r="DE41" s="118" t="n"/>
      <c r="DF41" s="119" t="n"/>
      <c r="DG41" s="118" t="n"/>
      <c r="DH41" s="119" t="n"/>
      <c r="DI41" s="118" t="n"/>
      <c r="DJ41" s="119" t="n"/>
      <c r="DK41" s="118" t="n"/>
      <c r="DL41" s="119" t="n"/>
      <c r="DM41" s="118" t="n"/>
      <c r="DN41" s="119" t="n"/>
      <c r="DO41" s="118" t="n"/>
      <c r="DP41" s="119" t="n"/>
      <c r="DQ41" s="118" t="n"/>
      <c r="DR41" s="119" t="n"/>
      <c r="DS41" s="118" t="n"/>
      <c r="DT41" s="119" t="n"/>
      <c r="DU41" s="189" t="n"/>
      <c r="DV41" s="121" t="n"/>
      <c r="DW41" s="122" t="n"/>
      <c r="DX41" s="121" t="n"/>
      <c r="DY41" s="122" t="n"/>
      <c r="DZ41" s="121" t="n"/>
      <c r="EA41" s="122" t="n"/>
      <c r="EB41" s="121" t="n"/>
      <c r="EC41" s="122" t="n"/>
      <c r="ED41" s="121" t="n"/>
      <c r="EE41" s="122" t="n"/>
      <c r="EF41" s="121" t="n"/>
      <c r="EG41" s="122" t="n"/>
      <c r="EH41" s="121" t="n"/>
      <c r="EI41" s="122" t="n"/>
      <c r="EJ41" s="121" t="n"/>
      <c r="EK41" s="122" t="n"/>
      <c r="EL41" s="190" t="n"/>
      <c r="EM41" s="124" t="n"/>
      <c r="EN41" s="125" t="n"/>
      <c r="EO41" s="124" t="n"/>
      <c r="EP41" s="125" t="n"/>
      <c r="EQ41" s="124" t="n"/>
      <c r="ER41" s="125" t="n"/>
      <c r="ES41" s="124" t="n"/>
      <c r="ET41" s="125" t="n"/>
      <c r="EU41" s="124" t="n"/>
      <c r="EV41" s="125" t="n"/>
      <c r="EW41" s="124" t="n"/>
      <c r="EX41" s="125" t="n"/>
      <c r="EY41" s="124" t="n"/>
      <c r="EZ41" s="125" t="n"/>
      <c r="FA41" s="124" t="n"/>
      <c r="FB41" s="125" t="n"/>
      <c r="FC41" s="191" t="n"/>
      <c r="FD41" s="127" t="n"/>
      <c r="FE41" s="128" t="n"/>
      <c r="FF41" s="127" t="n"/>
      <c r="FG41" s="128" t="n"/>
      <c r="FH41" s="127" t="n"/>
      <c r="FI41" s="128" t="n"/>
      <c r="FJ41" s="127" t="n"/>
      <c r="FK41" s="128" t="n"/>
      <c r="FL41" s="127" t="n"/>
      <c r="FM41" s="128" t="n"/>
      <c r="FN41" s="127" t="n"/>
      <c r="FO41" s="128" t="n"/>
      <c r="FP41" s="127" t="n"/>
      <c r="FQ41" s="128" t="n"/>
      <c r="FR41" s="127" t="n"/>
      <c r="FS41" s="128" t="n"/>
      <c r="FT41" s="192" t="n"/>
      <c r="FU41" s="130" t="n"/>
      <c r="FV41" s="131" t="n"/>
      <c r="FW41" s="130" t="n"/>
      <c r="FX41" s="131" t="n"/>
      <c r="FY41" s="130" t="n"/>
      <c r="FZ41" s="131" t="n"/>
      <c r="GA41" s="130" t="n"/>
      <c r="GB41" s="131" t="n"/>
      <c r="GC41" s="130" t="n"/>
      <c r="GD41" s="131" t="n"/>
      <c r="GE41" s="130" t="n"/>
      <c r="GF41" s="131" t="n"/>
      <c r="GG41" s="130" t="n"/>
      <c r="GH41" s="131" t="n"/>
      <c r="GI41" s="130" t="n"/>
      <c r="GJ41" s="131" t="n"/>
      <c r="GK41" s="193" t="n"/>
      <c r="GL41" s="133" t="n"/>
      <c r="GM41" s="134" t="n"/>
      <c r="GN41" s="133" t="n"/>
      <c r="GO41" s="134" t="n"/>
      <c r="GP41" s="133" t="n"/>
      <c r="GQ41" s="134" t="n"/>
      <c r="GR41" s="133" t="n"/>
      <c r="GS41" s="134" t="n"/>
      <c r="GT41" s="133" t="n"/>
      <c r="GU41" s="134" t="n"/>
      <c r="GV41" s="133" t="n"/>
      <c r="GW41" s="134" t="n"/>
      <c r="GX41" s="133" t="n"/>
      <c r="GY41" s="134" t="n"/>
      <c r="GZ41" s="133" t="n"/>
      <c r="HA41" s="134" t="n"/>
      <c r="HB41" s="194" t="n"/>
      <c r="HC41">
        <f>SUMIFS($G41:$HB41,$G$46:$HB$46,"&gt;="&amp;$HD$1,$G$46:$HB$46,"&lt;="&amp;$HD$2,$G$29:$HB$29,"&lt;&gt;ملاحظات",$G$28:$HB$28,"&gt;0")</f>
        <v>0</v>
      </c>
      <c r="HD41">
        <f>SUMIFS($G$28:$HB$28,$G$46:$HB$46,"&gt;="&amp;$HD$1,$G$46:$HB$46,"&lt;="&amp;$HD$2,$G$29:$HB$29,"&lt;&gt;ملاحظات",$G41:$HB41,"&gt;=0")</f>
        <v>0</v>
      </c>
    </row>
    <row r="42" ht="22.5" customHeight="1">
      <c r="A42" s="36" t="n">
        <v>13</v>
      </c>
      <c r="B42" s="181" t="str">
        <f>IF($B17="","",$B17)</f>
        <v/>
      </c>
      <c r="C42" s="136" t="str">
        <f>IF(OR($B42="",$HD42=0),"",ROUND($HC42,2)&amp;" / "&amp;$HD42)</f>
        <v/>
      </c>
      <c r="D42" s="182" t="str">
        <f>IF(OR($B42="",$HD42=0),"",$HC42/$HD42)</f>
        <v/>
      </c>
      <c r="E42" s="98" t="str">
        <f>IF($D42="","",RANK($D42,$D$30:$D$44))</f>
        <v/>
      </c>
      <c r="F42" s="99" t="str">
        <f>IF($D42="","",IF($D42&gt;=0.85,"ممتاز",IF($D42&gt;=0.75,"جيد جداً",IF($D42&gt;=0.65,"جيد",IF($D42&gt;=0.5,"مقبول","ضعيف")))))</f>
        <v/>
      </c>
      <c r="G42" s="100" t="n"/>
      <c r="H42" s="101" t="n"/>
      <c r="I42" s="100" t="n"/>
      <c r="J42" s="101" t="n"/>
      <c r="K42" s="100" t="n"/>
      <c r="L42" s="101" t="n"/>
      <c r="M42" s="100" t="n"/>
      <c r="N42" s="101" t="n"/>
      <c r="O42" s="100" t="n"/>
      <c r="P42" s="101" t="n"/>
      <c r="Q42" s="100" t="n"/>
      <c r="R42" s="101" t="n"/>
      <c r="S42" s="100" t="n"/>
      <c r="T42" s="101" t="n"/>
      <c r="U42" s="100" t="n"/>
      <c r="V42" s="101" t="n"/>
      <c r="W42" s="183" t="n"/>
      <c r="X42" s="103" t="n"/>
      <c r="Y42" s="104" t="n"/>
      <c r="Z42" s="103" t="n"/>
      <c r="AA42" s="104" t="n"/>
      <c r="AB42" s="103" t="n"/>
      <c r="AC42" s="104" t="n"/>
      <c r="AD42" s="103" t="n"/>
      <c r="AE42" s="104" t="n"/>
      <c r="AF42" s="103" t="n"/>
      <c r="AG42" s="104" t="n"/>
      <c r="AH42" s="103" t="n"/>
      <c r="AI42" s="104" t="n"/>
      <c r="AJ42" s="103" t="n"/>
      <c r="AK42" s="104" t="n"/>
      <c r="AL42" s="103" t="n"/>
      <c r="AM42" s="104" t="n"/>
      <c r="AN42" s="184" t="n"/>
      <c r="AO42" s="106" t="n"/>
      <c r="AP42" s="107" t="n"/>
      <c r="AQ42" s="106" t="n"/>
      <c r="AR42" s="107" t="n"/>
      <c r="AS42" s="106" t="n"/>
      <c r="AT42" s="107" t="n"/>
      <c r="AU42" s="106" t="n"/>
      <c r="AV42" s="107" t="n"/>
      <c r="AW42" s="106" t="n"/>
      <c r="AX42" s="107" t="n"/>
      <c r="AY42" s="106" t="n"/>
      <c r="AZ42" s="107" t="n"/>
      <c r="BA42" s="106" t="n"/>
      <c r="BB42" s="107" t="n"/>
      <c r="BC42" s="106" t="n"/>
      <c r="BD42" s="107" t="n"/>
      <c r="BE42" s="185" t="n"/>
      <c r="BF42" s="109" t="n"/>
      <c r="BG42" s="110" t="n"/>
      <c r="BH42" s="109" t="n"/>
      <c r="BI42" s="110" t="n"/>
      <c r="BJ42" s="109" t="n"/>
      <c r="BK42" s="110" t="n"/>
      <c r="BL42" s="109" t="n"/>
      <c r="BM42" s="110" t="n"/>
      <c r="BN42" s="109" t="n"/>
      <c r="BO42" s="110" t="n"/>
      <c r="BP42" s="109" t="n"/>
      <c r="BQ42" s="110" t="n"/>
      <c r="BR42" s="109" t="n"/>
      <c r="BS42" s="110" t="n"/>
      <c r="BT42" s="109" t="n"/>
      <c r="BU42" s="110" t="n"/>
      <c r="BV42" s="186" t="n"/>
      <c r="BW42" s="112" t="n"/>
      <c r="BX42" s="113" t="n"/>
      <c r="BY42" s="112" t="n"/>
      <c r="BZ42" s="113" t="n"/>
      <c r="CA42" s="112" t="n"/>
      <c r="CB42" s="113" t="n"/>
      <c r="CC42" s="112" t="n"/>
      <c r="CD42" s="113" t="n"/>
      <c r="CE42" s="112" t="n"/>
      <c r="CF42" s="113" t="n"/>
      <c r="CG42" s="112" t="n"/>
      <c r="CH42" s="113" t="n"/>
      <c r="CI42" s="112" t="n"/>
      <c r="CJ42" s="113" t="n"/>
      <c r="CK42" s="112" t="n"/>
      <c r="CL42" s="113" t="n"/>
      <c r="CM42" s="187" t="n"/>
      <c r="CN42" s="115" t="n"/>
      <c r="CO42" s="116" t="n"/>
      <c r="CP42" s="115" t="n"/>
      <c r="CQ42" s="116" t="n"/>
      <c r="CR42" s="115" t="n"/>
      <c r="CS42" s="116" t="n"/>
      <c r="CT42" s="115" t="n"/>
      <c r="CU42" s="116" t="n"/>
      <c r="CV42" s="115" t="n"/>
      <c r="CW42" s="116" t="n"/>
      <c r="CX42" s="115" t="n"/>
      <c r="CY42" s="116" t="n"/>
      <c r="CZ42" s="115" t="n"/>
      <c r="DA42" s="116" t="n"/>
      <c r="DB42" s="115" t="n"/>
      <c r="DC42" s="116" t="n"/>
      <c r="DD42" s="188" t="n"/>
      <c r="DE42" s="118" t="n"/>
      <c r="DF42" s="119" t="n"/>
      <c r="DG42" s="118" t="n"/>
      <c r="DH42" s="119" t="n"/>
      <c r="DI42" s="118" t="n"/>
      <c r="DJ42" s="119" t="n"/>
      <c r="DK42" s="118" t="n"/>
      <c r="DL42" s="119" t="n"/>
      <c r="DM42" s="118" t="n"/>
      <c r="DN42" s="119" t="n"/>
      <c r="DO42" s="118" t="n"/>
      <c r="DP42" s="119" t="n"/>
      <c r="DQ42" s="118" t="n"/>
      <c r="DR42" s="119" t="n"/>
      <c r="DS42" s="118" t="n"/>
      <c r="DT42" s="119" t="n"/>
      <c r="DU42" s="189" t="n"/>
      <c r="DV42" s="121" t="n"/>
      <c r="DW42" s="122" t="n"/>
      <c r="DX42" s="121" t="n"/>
      <c r="DY42" s="122" t="n"/>
      <c r="DZ42" s="121" t="n"/>
      <c r="EA42" s="122" t="n"/>
      <c r="EB42" s="121" t="n"/>
      <c r="EC42" s="122" t="n"/>
      <c r="ED42" s="121" t="n"/>
      <c r="EE42" s="122" t="n"/>
      <c r="EF42" s="121" t="n"/>
      <c r="EG42" s="122" t="n"/>
      <c r="EH42" s="121" t="n"/>
      <c r="EI42" s="122" t="n"/>
      <c r="EJ42" s="121" t="n"/>
      <c r="EK42" s="122" t="n"/>
      <c r="EL42" s="190" t="n"/>
      <c r="EM42" s="124" t="n"/>
      <c r="EN42" s="125" t="n"/>
      <c r="EO42" s="124" t="n"/>
      <c r="EP42" s="125" t="n"/>
      <c r="EQ42" s="124" t="n"/>
      <c r="ER42" s="125" t="n"/>
      <c r="ES42" s="124" t="n"/>
      <c r="ET42" s="125" t="n"/>
      <c r="EU42" s="124" t="n"/>
      <c r="EV42" s="125" t="n"/>
      <c r="EW42" s="124" t="n"/>
      <c r="EX42" s="125" t="n"/>
      <c r="EY42" s="124" t="n"/>
      <c r="EZ42" s="125" t="n"/>
      <c r="FA42" s="124" t="n"/>
      <c r="FB42" s="125" t="n"/>
      <c r="FC42" s="191" t="n"/>
      <c r="FD42" s="127" t="n"/>
      <c r="FE42" s="128" t="n"/>
      <c r="FF42" s="127" t="n"/>
      <c r="FG42" s="128" t="n"/>
      <c r="FH42" s="127" t="n"/>
      <c r="FI42" s="128" t="n"/>
      <c r="FJ42" s="127" t="n"/>
      <c r="FK42" s="128" t="n"/>
      <c r="FL42" s="127" t="n"/>
      <c r="FM42" s="128" t="n"/>
      <c r="FN42" s="127" t="n"/>
      <c r="FO42" s="128" t="n"/>
      <c r="FP42" s="127" t="n"/>
      <c r="FQ42" s="128" t="n"/>
      <c r="FR42" s="127" t="n"/>
      <c r="FS42" s="128" t="n"/>
      <c r="FT42" s="192" t="n"/>
      <c r="FU42" s="130" t="n"/>
      <c r="FV42" s="131" t="n"/>
      <c r="FW42" s="130" t="n"/>
      <c r="FX42" s="131" t="n"/>
      <c r="FY42" s="130" t="n"/>
      <c r="FZ42" s="131" t="n"/>
      <c r="GA42" s="130" t="n"/>
      <c r="GB42" s="131" t="n"/>
      <c r="GC42" s="130" t="n"/>
      <c r="GD42" s="131" t="n"/>
      <c r="GE42" s="130" t="n"/>
      <c r="GF42" s="131" t="n"/>
      <c r="GG42" s="130" t="n"/>
      <c r="GH42" s="131" t="n"/>
      <c r="GI42" s="130" t="n"/>
      <c r="GJ42" s="131" t="n"/>
      <c r="GK42" s="193" t="n"/>
      <c r="GL42" s="133" t="n"/>
      <c r="GM42" s="134" t="n"/>
      <c r="GN42" s="133" t="n"/>
      <c r="GO42" s="134" t="n"/>
      <c r="GP42" s="133" t="n"/>
      <c r="GQ42" s="134" t="n"/>
      <c r="GR42" s="133" t="n"/>
      <c r="GS42" s="134" t="n"/>
      <c r="GT42" s="133" t="n"/>
      <c r="GU42" s="134" t="n"/>
      <c r="GV42" s="133" t="n"/>
      <c r="GW42" s="134" t="n"/>
      <c r="GX42" s="133" t="n"/>
      <c r="GY42" s="134" t="n"/>
      <c r="GZ42" s="133" t="n"/>
      <c r="HA42" s="134" t="n"/>
      <c r="HB42" s="194" t="n"/>
      <c r="HC42">
        <f>SUMIFS($G42:$HB42,$G$46:$HB$46,"&gt;="&amp;$HD$1,$G$46:$HB$46,"&lt;="&amp;$HD$2,$G$29:$HB$29,"&lt;&gt;ملاحظات",$G$28:$HB$28,"&gt;0")</f>
        <v>0</v>
      </c>
      <c r="HD42">
        <f>SUMIFS($G$28:$HB$28,$G$46:$HB$46,"&gt;="&amp;$HD$1,$G$46:$HB$46,"&lt;="&amp;$HD$2,$G$29:$HB$29,"&lt;&gt;ملاحظات",$G42:$HB42,"&gt;=0")</f>
        <v>0</v>
      </c>
    </row>
    <row r="43" ht="22.5" customHeight="1">
      <c r="A43" s="36" t="n">
        <v>14</v>
      </c>
      <c r="B43" s="181" t="str">
        <f>IF($B18="","",$B18)</f>
        <v/>
      </c>
      <c r="C43" s="136" t="str">
        <f>IF(OR($B43="",$HD43=0),"",ROUND($HC43,2)&amp;" / "&amp;$HD43)</f>
        <v/>
      </c>
      <c r="D43" s="182" t="str">
        <f>IF(OR($B43="",$HD43=0),"",$HC43/$HD43)</f>
        <v/>
      </c>
      <c r="E43" s="98" t="str">
        <f>IF($D43="","",RANK($D43,$D$30:$D$44))</f>
        <v/>
      </c>
      <c r="F43" s="99" t="str">
        <f>IF($D43="","",IF($D43&gt;=0.85,"ممتاز",IF($D43&gt;=0.75,"جيد جداً",IF($D43&gt;=0.65,"جيد",IF($D43&gt;=0.5,"مقبول","ضعيف")))))</f>
        <v/>
      </c>
      <c r="G43" s="100" t="n"/>
      <c r="H43" s="101" t="n"/>
      <c r="I43" s="100" t="n"/>
      <c r="J43" s="101" t="n"/>
      <c r="K43" s="100" t="n"/>
      <c r="L43" s="101" t="n"/>
      <c r="M43" s="100" t="n"/>
      <c r="N43" s="101" t="n"/>
      <c r="O43" s="100" t="n"/>
      <c r="P43" s="101" t="n"/>
      <c r="Q43" s="100" t="n"/>
      <c r="R43" s="101" t="n"/>
      <c r="S43" s="100" t="n"/>
      <c r="T43" s="101" t="n"/>
      <c r="U43" s="100" t="n"/>
      <c r="V43" s="101" t="n"/>
      <c r="W43" s="183" t="n"/>
      <c r="X43" s="103" t="n"/>
      <c r="Y43" s="104" t="n"/>
      <c r="Z43" s="103" t="n"/>
      <c r="AA43" s="104" t="n"/>
      <c r="AB43" s="103" t="n"/>
      <c r="AC43" s="104" t="n"/>
      <c r="AD43" s="103" t="n"/>
      <c r="AE43" s="104" t="n"/>
      <c r="AF43" s="103" t="n"/>
      <c r="AG43" s="104" t="n"/>
      <c r="AH43" s="103" t="n"/>
      <c r="AI43" s="104" t="n"/>
      <c r="AJ43" s="103" t="n"/>
      <c r="AK43" s="104" t="n"/>
      <c r="AL43" s="103" t="n"/>
      <c r="AM43" s="104" t="n"/>
      <c r="AN43" s="184" t="n"/>
      <c r="AO43" s="106" t="n"/>
      <c r="AP43" s="107" t="n"/>
      <c r="AQ43" s="106" t="n"/>
      <c r="AR43" s="107" t="n"/>
      <c r="AS43" s="106" t="n"/>
      <c r="AT43" s="107" t="n"/>
      <c r="AU43" s="106" t="n"/>
      <c r="AV43" s="107" t="n"/>
      <c r="AW43" s="106" t="n"/>
      <c r="AX43" s="107" t="n"/>
      <c r="AY43" s="106" t="n"/>
      <c r="AZ43" s="107" t="n"/>
      <c r="BA43" s="106" t="n"/>
      <c r="BB43" s="107" t="n"/>
      <c r="BC43" s="106" t="n"/>
      <c r="BD43" s="107" t="n"/>
      <c r="BE43" s="185" t="n"/>
      <c r="BF43" s="109" t="n"/>
      <c r="BG43" s="110" t="n"/>
      <c r="BH43" s="109" t="n"/>
      <c r="BI43" s="110" t="n"/>
      <c r="BJ43" s="109" t="n"/>
      <c r="BK43" s="110" t="n"/>
      <c r="BL43" s="109" t="n"/>
      <c r="BM43" s="110" t="n"/>
      <c r="BN43" s="109" t="n"/>
      <c r="BO43" s="110" t="n"/>
      <c r="BP43" s="109" t="n"/>
      <c r="BQ43" s="110" t="n"/>
      <c r="BR43" s="109" t="n"/>
      <c r="BS43" s="110" t="n"/>
      <c r="BT43" s="109" t="n"/>
      <c r="BU43" s="110" t="n"/>
      <c r="BV43" s="186" t="n"/>
      <c r="BW43" s="112" t="n"/>
      <c r="BX43" s="113" t="n"/>
      <c r="BY43" s="112" t="n"/>
      <c r="BZ43" s="113" t="n"/>
      <c r="CA43" s="112" t="n"/>
      <c r="CB43" s="113" t="n"/>
      <c r="CC43" s="112" t="n"/>
      <c r="CD43" s="113" t="n"/>
      <c r="CE43" s="112" t="n"/>
      <c r="CF43" s="113" t="n"/>
      <c r="CG43" s="112" t="n"/>
      <c r="CH43" s="113" t="n"/>
      <c r="CI43" s="112" t="n"/>
      <c r="CJ43" s="113" t="n"/>
      <c r="CK43" s="112" t="n"/>
      <c r="CL43" s="113" t="n"/>
      <c r="CM43" s="187" t="n"/>
      <c r="CN43" s="115" t="n"/>
      <c r="CO43" s="116" t="n"/>
      <c r="CP43" s="115" t="n"/>
      <c r="CQ43" s="116" t="n"/>
      <c r="CR43" s="115" t="n"/>
      <c r="CS43" s="116" t="n"/>
      <c r="CT43" s="115" t="n"/>
      <c r="CU43" s="116" t="n"/>
      <c r="CV43" s="115" t="n"/>
      <c r="CW43" s="116" t="n"/>
      <c r="CX43" s="115" t="n"/>
      <c r="CY43" s="116" t="n"/>
      <c r="CZ43" s="115" t="n"/>
      <c r="DA43" s="116" t="n"/>
      <c r="DB43" s="115" t="n"/>
      <c r="DC43" s="116" t="n"/>
      <c r="DD43" s="188" t="n"/>
      <c r="DE43" s="118" t="n"/>
      <c r="DF43" s="119" t="n"/>
      <c r="DG43" s="118" t="n"/>
      <c r="DH43" s="119" t="n"/>
      <c r="DI43" s="118" t="n"/>
      <c r="DJ43" s="119" t="n"/>
      <c r="DK43" s="118" t="n"/>
      <c r="DL43" s="119" t="n"/>
      <c r="DM43" s="118" t="n"/>
      <c r="DN43" s="119" t="n"/>
      <c r="DO43" s="118" t="n"/>
      <c r="DP43" s="119" t="n"/>
      <c r="DQ43" s="118" t="n"/>
      <c r="DR43" s="119" t="n"/>
      <c r="DS43" s="118" t="n"/>
      <c r="DT43" s="119" t="n"/>
      <c r="DU43" s="189" t="n"/>
      <c r="DV43" s="121" t="n"/>
      <c r="DW43" s="122" t="n"/>
      <c r="DX43" s="121" t="n"/>
      <c r="DY43" s="122" t="n"/>
      <c r="DZ43" s="121" t="n"/>
      <c r="EA43" s="122" t="n"/>
      <c r="EB43" s="121" t="n"/>
      <c r="EC43" s="122" t="n"/>
      <c r="ED43" s="121" t="n"/>
      <c r="EE43" s="122" t="n"/>
      <c r="EF43" s="121" t="n"/>
      <c r="EG43" s="122" t="n"/>
      <c r="EH43" s="121" t="n"/>
      <c r="EI43" s="122" t="n"/>
      <c r="EJ43" s="121" t="n"/>
      <c r="EK43" s="122" t="n"/>
      <c r="EL43" s="190" t="n"/>
      <c r="EM43" s="124" t="n"/>
      <c r="EN43" s="125" t="n"/>
      <c r="EO43" s="124" t="n"/>
      <c r="EP43" s="125" t="n"/>
      <c r="EQ43" s="124" t="n"/>
      <c r="ER43" s="125" t="n"/>
      <c r="ES43" s="124" t="n"/>
      <c r="ET43" s="125" t="n"/>
      <c r="EU43" s="124" t="n"/>
      <c r="EV43" s="125" t="n"/>
      <c r="EW43" s="124" t="n"/>
      <c r="EX43" s="125" t="n"/>
      <c r="EY43" s="124" t="n"/>
      <c r="EZ43" s="125" t="n"/>
      <c r="FA43" s="124" t="n"/>
      <c r="FB43" s="125" t="n"/>
      <c r="FC43" s="191" t="n"/>
      <c r="FD43" s="127" t="n"/>
      <c r="FE43" s="128" t="n"/>
      <c r="FF43" s="127" t="n"/>
      <c r="FG43" s="128" t="n"/>
      <c r="FH43" s="127" t="n"/>
      <c r="FI43" s="128" t="n"/>
      <c r="FJ43" s="127" t="n"/>
      <c r="FK43" s="128" t="n"/>
      <c r="FL43" s="127" t="n"/>
      <c r="FM43" s="128" t="n"/>
      <c r="FN43" s="127" t="n"/>
      <c r="FO43" s="128" t="n"/>
      <c r="FP43" s="127" t="n"/>
      <c r="FQ43" s="128" t="n"/>
      <c r="FR43" s="127" t="n"/>
      <c r="FS43" s="128" t="n"/>
      <c r="FT43" s="192" t="n"/>
      <c r="FU43" s="130" t="n"/>
      <c r="FV43" s="131" t="n"/>
      <c r="FW43" s="130" t="n"/>
      <c r="FX43" s="131" t="n"/>
      <c r="FY43" s="130" t="n"/>
      <c r="FZ43" s="131" t="n"/>
      <c r="GA43" s="130" t="n"/>
      <c r="GB43" s="131" t="n"/>
      <c r="GC43" s="130" t="n"/>
      <c r="GD43" s="131" t="n"/>
      <c r="GE43" s="130" t="n"/>
      <c r="GF43" s="131" t="n"/>
      <c r="GG43" s="130" t="n"/>
      <c r="GH43" s="131" t="n"/>
      <c r="GI43" s="130" t="n"/>
      <c r="GJ43" s="131" t="n"/>
      <c r="GK43" s="193" t="n"/>
      <c r="GL43" s="133" t="n"/>
      <c r="GM43" s="134" t="n"/>
      <c r="GN43" s="133" t="n"/>
      <c r="GO43" s="134" t="n"/>
      <c r="GP43" s="133" t="n"/>
      <c r="GQ43" s="134" t="n"/>
      <c r="GR43" s="133" t="n"/>
      <c r="GS43" s="134" t="n"/>
      <c r="GT43" s="133" t="n"/>
      <c r="GU43" s="134" t="n"/>
      <c r="GV43" s="133" t="n"/>
      <c r="GW43" s="134" t="n"/>
      <c r="GX43" s="133" t="n"/>
      <c r="GY43" s="134" t="n"/>
      <c r="GZ43" s="133" t="n"/>
      <c r="HA43" s="134" t="n"/>
      <c r="HB43" s="194" t="n"/>
      <c r="HC43">
        <f>SUMIFS($G43:$HB43,$G$46:$HB$46,"&gt;="&amp;$HD$1,$G$46:$HB$46,"&lt;="&amp;$HD$2,$G$29:$HB$29,"&lt;&gt;ملاحظات",$G$28:$HB$28,"&gt;0")</f>
        <v>0</v>
      </c>
      <c r="HD43">
        <f>SUMIFS($G$28:$HB$28,$G$46:$HB$46,"&gt;="&amp;$HD$1,$G$46:$HB$46,"&lt;="&amp;$HD$2,$G$29:$HB$29,"&lt;&gt;ملاحظات",$G43:$HB43,"&gt;=0")</f>
        <v>0</v>
      </c>
    </row>
    <row r="44" ht="22.5" customHeight="1">
      <c r="A44" s="36" t="n">
        <v>15</v>
      </c>
      <c r="B44" s="181" t="str">
        <f>IF($B19="","",$B19)</f>
        <v/>
      </c>
      <c r="C44" s="136" t="str">
        <f>IF(OR($B44="",$HD44=0),"",ROUND($HC44,2)&amp;" / "&amp;$HD44)</f>
        <v/>
      </c>
      <c r="D44" s="182" t="str">
        <f>IF(OR($B44="",$HD44=0),"",$HC44/$HD44)</f>
        <v/>
      </c>
      <c r="E44" s="98" t="str">
        <f>IF($D44="","",RANK($D44,$D$30:$D$44))</f>
        <v/>
      </c>
      <c r="F44" s="99" t="str">
        <f>IF($D44="","",IF($D44&gt;=0.85,"ممتاز",IF($D44&gt;=0.75,"جيد جداً",IF($D44&gt;=0.65,"جيد",IF($D44&gt;=0.5,"مقبول","ضعيف")))))</f>
        <v/>
      </c>
      <c r="G44" s="100" t="n"/>
      <c r="H44" s="101" t="n"/>
      <c r="I44" s="100" t="n"/>
      <c r="J44" s="101" t="n"/>
      <c r="K44" s="100" t="n"/>
      <c r="L44" s="101" t="n"/>
      <c r="M44" s="100" t="n"/>
      <c r="N44" s="101" t="n"/>
      <c r="O44" s="100" t="n"/>
      <c r="P44" s="101" t="n"/>
      <c r="Q44" s="100" t="n"/>
      <c r="R44" s="101" t="n"/>
      <c r="S44" s="100" t="n"/>
      <c r="T44" s="101" t="n"/>
      <c r="U44" s="100" t="n"/>
      <c r="V44" s="101" t="n"/>
      <c r="W44" s="183" t="n"/>
      <c r="X44" s="103" t="n"/>
      <c r="Y44" s="104" t="n"/>
      <c r="Z44" s="103" t="n"/>
      <c r="AA44" s="104" t="n"/>
      <c r="AB44" s="103" t="n"/>
      <c r="AC44" s="104" t="n"/>
      <c r="AD44" s="103" t="n"/>
      <c r="AE44" s="104" t="n"/>
      <c r="AF44" s="103" t="n"/>
      <c r="AG44" s="104" t="n"/>
      <c r="AH44" s="103" t="n"/>
      <c r="AI44" s="104" t="n"/>
      <c r="AJ44" s="103" t="n"/>
      <c r="AK44" s="104" t="n"/>
      <c r="AL44" s="103" t="n"/>
      <c r="AM44" s="104" t="n"/>
      <c r="AN44" s="184" t="n"/>
      <c r="AO44" s="106" t="n"/>
      <c r="AP44" s="107" t="n"/>
      <c r="AQ44" s="106" t="n"/>
      <c r="AR44" s="107" t="n"/>
      <c r="AS44" s="106" t="n"/>
      <c r="AT44" s="107" t="n"/>
      <c r="AU44" s="106" t="n"/>
      <c r="AV44" s="107" t="n"/>
      <c r="AW44" s="106" t="n"/>
      <c r="AX44" s="107" t="n"/>
      <c r="AY44" s="106" t="n"/>
      <c r="AZ44" s="107" t="n"/>
      <c r="BA44" s="106" t="n"/>
      <c r="BB44" s="107" t="n"/>
      <c r="BC44" s="106" t="n"/>
      <c r="BD44" s="107" t="n"/>
      <c r="BE44" s="185" t="n"/>
      <c r="BF44" s="109" t="n"/>
      <c r="BG44" s="110" t="n"/>
      <c r="BH44" s="109" t="n"/>
      <c r="BI44" s="110" t="n"/>
      <c r="BJ44" s="109" t="n"/>
      <c r="BK44" s="110" t="n"/>
      <c r="BL44" s="109" t="n"/>
      <c r="BM44" s="110" t="n"/>
      <c r="BN44" s="109" t="n"/>
      <c r="BO44" s="110" t="n"/>
      <c r="BP44" s="109" t="n"/>
      <c r="BQ44" s="110" t="n"/>
      <c r="BR44" s="109" t="n"/>
      <c r="BS44" s="110" t="n"/>
      <c r="BT44" s="109" t="n"/>
      <c r="BU44" s="110" t="n"/>
      <c r="BV44" s="186" t="n"/>
      <c r="BW44" s="112" t="n"/>
      <c r="BX44" s="113" t="n"/>
      <c r="BY44" s="112" t="n"/>
      <c r="BZ44" s="113" t="n"/>
      <c r="CA44" s="112" t="n"/>
      <c r="CB44" s="113" t="n"/>
      <c r="CC44" s="112" t="n"/>
      <c r="CD44" s="113" t="n"/>
      <c r="CE44" s="112" t="n"/>
      <c r="CF44" s="113" t="n"/>
      <c r="CG44" s="112" t="n"/>
      <c r="CH44" s="113" t="n"/>
      <c r="CI44" s="112" t="n"/>
      <c r="CJ44" s="113" t="n"/>
      <c r="CK44" s="112" t="n"/>
      <c r="CL44" s="113" t="n"/>
      <c r="CM44" s="187" t="n"/>
      <c r="CN44" s="115" t="n"/>
      <c r="CO44" s="116" t="n"/>
      <c r="CP44" s="115" t="n"/>
      <c r="CQ44" s="116" t="n"/>
      <c r="CR44" s="115" t="n"/>
      <c r="CS44" s="116" t="n"/>
      <c r="CT44" s="115" t="n"/>
      <c r="CU44" s="116" t="n"/>
      <c r="CV44" s="115" t="n"/>
      <c r="CW44" s="116" t="n"/>
      <c r="CX44" s="115" t="n"/>
      <c r="CY44" s="116" t="n"/>
      <c r="CZ44" s="115" t="n"/>
      <c r="DA44" s="116" t="n"/>
      <c r="DB44" s="115" t="n"/>
      <c r="DC44" s="116" t="n"/>
      <c r="DD44" s="188" t="n"/>
      <c r="DE44" s="118" t="n"/>
      <c r="DF44" s="119" t="n"/>
      <c r="DG44" s="118" t="n"/>
      <c r="DH44" s="119" t="n"/>
      <c r="DI44" s="118" t="n"/>
      <c r="DJ44" s="119" t="n"/>
      <c r="DK44" s="118" t="n"/>
      <c r="DL44" s="119" t="n"/>
      <c r="DM44" s="118" t="n"/>
      <c r="DN44" s="119" t="n"/>
      <c r="DO44" s="118" t="n"/>
      <c r="DP44" s="119" t="n"/>
      <c r="DQ44" s="118" t="n"/>
      <c r="DR44" s="119" t="n"/>
      <c r="DS44" s="118" t="n"/>
      <c r="DT44" s="119" t="n"/>
      <c r="DU44" s="189" t="n"/>
      <c r="DV44" s="121" t="n"/>
      <c r="DW44" s="122" t="n"/>
      <c r="DX44" s="121" t="n"/>
      <c r="DY44" s="122" t="n"/>
      <c r="DZ44" s="121" t="n"/>
      <c r="EA44" s="122" t="n"/>
      <c r="EB44" s="121" t="n"/>
      <c r="EC44" s="122" t="n"/>
      <c r="ED44" s="121" t="n"/>
      <c r="EE44" s="122" t="n"/>
      <c r="EF44" s="121" t="n"/>
      <c r="EG44" s="122" t="n"/>
      <c r="EH44" s="121" t="n"/>
      <c r="EI44" s="122" t="n"/>
      <c r="EJ44" s="121" t="n"/>
      <c r="EK44" s="122" t="n"/>
      <c r="EL44" s="190" t="n"/>
      <c r="EM44" s="124" t="n"/>
      <c r="EN44" s="125" t="n"/>
      <c r="EO44" s="124" t="n"/>
      <c r="EP44" s="125" t="n"/>
      <c r="EQ44" s="124" t="n"/>
      <c r="ER44" s="125" t="n"/>
      <c r="ES44" s="124" t="n"/>
      <c r="ET44" s="125" t="n"/>
      <c r="EU44" s="124" t="n"/>
      <c r="EV44" s="125" t="n"/>
      <c r="EW44" s="124" t="n"/>
      <c r="EX44" s="125" t="n"/>
      <c r="EY44" s="124" t="n"/>
      <c r="EZ44" s="125" t="n"/>
      <c r="FA44" s="124" t="n"/>
      <c r="FB44" s="125" t="n"/>
      <c r="FC44" s="191" t="n"/>
      <c r="FD44" s="127" t="n"/>
      <c r="FE44" s="128" t="n"/>
      <c r="FF44" s="127" t="n"/>
      <c r="FG44" s="128" t="n"/>
      <c r="FH44" s="127" t="n"/>
      <c r="FI44" s="128" t="n"/>
      <c r="FJ44" s="127" t="n"/>
      <c r="FK44" s="128" t="n"/>
      <c r="FL44" s="127" t="n"/>
      <c r="FM44" s="128" t="n"/>
      <c r="FN44" s="127" t="n"/>
      <c r="FO44" s="128" t="n"/>
      <c r="FP44" s="127" t="n"/>
      <c r="FQ44" s="128" t="n"/>
      <c r="FR44" s="127" t="n"/>
      <c r="FS44" s="128" t="n"/>
      <c r="FT44" s="192" t="n"/>
      <c r="FU44" s="130" t="n"/>
      <c r="FV44" s="131" t="n"/>
      <c r="FW44" s="130" t="n"/>
      <c r="FX44" s="131" t="n"/>
      <c r="FY44" s="130" t="n"/>
      <c r="FZ44" s="131" t="n"/>
      <c r="GA44" s="130" t="n"/>
      <c r="GB44" s="131" t="n"/>
      <c r="GC44" s="130" t="n"/>
      <c r="GD44" s="131" t="n"/>
      <c r="GE44" s="130" t="n"/>
      <c r="GF44" s="131" t="n"/>
      <c r="GG44" s="130" t="n"/>
      <c r="GH44" s="131" t="n"/>
      <c r="GI44" s="130" t="n"/>
      <c r="GJ44" s="131" t="n"/>
      <c r="GK44" s="193" t="n"/>
      <c r="GL44" s="133" t="n"/>
      <c r="GM44" s="134" t="n"/>
      <c r="GN44" s="133" t="n"/>
      <c r="GO44" s="134" t="n"/>
      <c r="GP44" s="133" t="n"/>
      <c r="GQ44" s="134" t="n"/>
      <c r="GR44" s="133" t="n"/>
      <c r="GS44" s="134" t="n"/>
      <c r="GT44" s="133" t="n"/>
      <c r="GU44" s="134" t="n"/>
      <c r="GV44" s="133" t="n"/>
      <c r="GW44" s="134" t="n"/>
      <c r="GX44" s="133" t="n"/>
      <c r="GY44" s="134" t="n"/>
      <c r="GZ44" s="133" t="n"/>
      <c r="HA44" s="134" t="n"/>
      <c r="HB44" s="194" t="n"/>
      <c r="HC44">
        <f>SUMIFS($G44:$HB44,$G$46:$HB$46,"&gt;="&amp;$HD$1,$G$46:$HB$46,"&lt;="&amp;$HD$2,$G$29:$HB$29,"&lt;&gt;ملاحظات",$G$28:$HB$28,"&gt;0")</f>
        <v>0</v>
      </c>
      <c r="HD44">
        <f>SUMIFS($G$28:$HB$28,$G$46:$HB$46,"&gt;="&amp;$HD$1,$G$46:$HB$46,"&lt;="&amp;$HD$2,$G$29:$HB$29,"&lt;&gt;ملاحظات",$G44:$HB44,"&gt;=0")</f>
        <v>0</v>
      </c>
    </row>
    <row r="45" ht="7.5" customHeight="1"/>
    <row r="46" hidden="1">
      <c r="G46" t="n">
        <v>1</v>
      </c>
      <c r="H46" t="n">
        <v>1</v>
      </c>
      <c r="I46" t="n">
        <v>1</v>
      </c>
      <c r="J46" t="n">
        <v>1</v>
      </c>
      <c r="K46" t="n">
        <v>1</v>
      </c>
      <c r="L46" t="n">
        <v>1</v>
      </c>
      <c r="M46" t="n">
        <v>1</v>
      </c>
      <c r="N46" t="n">
        <v>1</v>
      </c>
      <c r="O46" t="n">
        <v>1</v>
      </c>
      <c r="P46" t="n">
        <v>1</v>
      </c>
      <c r="Q46" t="n">
        <v>1</v>
      </c>
      <c r="R46" t="n">
        <v>1</v>
      </c>
      <c r="S46" t="n">
        <v>1</v>
      </c>
      <c r="T46" t="n">
        <v>1</v>
      </c>
      <c r="U46" t="n">
        <v>1</v>
      </c>
      <c r="V46" t="n">
        <v>1</v>
      </c>
      <c r="W46" t="n">
        <v>1</v>
      </c>
      <c r="X46" t="n">
        <v>2</v>
      </c>
      <c r="Y46" t="n">
        <v>2</v>
      </c>
      <c r="Z46" t="n">
        <v>2</v>
      </c>
      <c r="AA46" t="n">
        <v>2</v>
      </c>
      <c r="AB46" t="n">
        <v>2</v>
      </c>
      <c r="AC46" t="n">
        <v>2</v>
      </c>
      <c r="AD46" t="n">
        <v>2</v>
      </c>
      <c r="AE46" t="n">
        <v>2</v>
      </c>
      <c r="AF46" t="n">
        <v>2</v>
      </c>
      <c r="AG46" t="n">
        <v>2</v>
      </c>
      <c r="AH46" t="n">
        <v>2</v>
      </c>
      <c r="AI46" t="n">
        <v>2</v>
      </c>
      <c r="AJ46" t="n">
        <v>2</v>
      </c>
      <c r="AK46" t="n">
        <v>2</v>
      </c>
      <c r="AL46" t="n">
        <v>2</v>
      </c>
      <c r="AM46" t="n">
        <v>2</v>
      </c>
      <c r="AN46" t="n">
        <v>2</v>
      </c>
      <c r="AO46" t="n">
        <v>3</v>
      </c>
      <c r="AP46" t="n">
        <v>3</v>
      </c>
      <c r="AQ46" t="n">
        <v>3</v>
      </c>
      <c r="AR46" t="n">
        <v>3</v>
      </c>
      <c r="AS46" t="n">
        <v>3</v>
      </c>
      <c r="AT46" t="n">
        <v>3</v>
      </c>
      <c r="AU46" t="n">
        <v>3</v>
      </c>
      <c r="AV46" t="n">
        <v>3</v>
      </c>
      <c r="AW46" t="n">
        <v>3</v>
      </c>
      <c r="AX46" t="n">
        <v>3</v>
      </c>
      <c r="AY46" t="n">
        <v>3</v>
      </c>
      <c r="AZ46" t="n">
        <v>3</v>
      </c>
      <c r="BA46" t="n">
        <v>3</v>
      </c>
      <c r="BB46" t="n">
        <v>3</v>
      </c>
      <c r="BC46" t="n">
        <v>3</v>
      </c>
      <c r="BD46" t="n">
        <v>3</v>
      </c>
      <c r="BE46" t="n">
        <v>3</v>
      </c>
      <c r="BF46" t="n">
        <v>4</v>
      </c>
      <c r="BG46" t="n">
        <v>4</v>
      </c>
      <c r="BH46" t="n">
        <v>4</v>
      </c>
      <c r="BI46" t="n">
        <v>4</v>
      </c>
      <c r="BJ46" t="n">
        <v>4</v>
      </c>
      <c r="BK46" t="n">
        <v>4</v>
      </c>
      <c r="BL46" t="n">
        <v>4</v>
      </c>
      <c r="BM46" t="n">
        <v>4</v>
      </c>
      <c r="BN46" t="n">
        <v>4</v>
      </c>
      <c r="BO46" t="n">
        <v>4</v>
      </c>
      <c r="BP46" t="n">
        <v>4</v>
      </c>
      <c r="BQ46" t="n">
        <v>4</v>
      </c>
      <c r="BR46" t="n">
        <v>4</v>
      </c>
      <c r="BS46" t="n">
        <v>4</v>
      </c>
      <c r="BT46" t="n">
        <v>4</v>
      </c>
      <c r="BU46" t="n">
        <v>4</v>
      </c>
      <c r="BV46" t="n">
        <v>4</v>
      </c>
      <c r="BW46" t="n">
        <v>5</v>
      </c>
      <c r="BX46" t="n">
        <v>5</v>
      </c>
      <c r="BY46" t="n">
        <v>5</v>
      </c>
      <c r="BZ46" t="n">
        <v>5</v>
      </c>
      <c r="CA46" t="n">
        <v>5</v>
      </c>
      <c r="CB46" t="n">
        <v>5</v>
      </c>
      <c r="CC46" t="n">
        <v>5</v>
      </c>
      <c r="CD46" t="n">
        <v>5</v>
      </c>
      <c r="CE46" t="n">
        <v>5</v>
      </c>
      <c r="CF46" t="n">
        <v>5</v>
      </c>
      <c r="CG46" t="n">
        <v>5</v>
      </c>
      <c r="CH46" t="n">
        <v>5</v>
      </c>
      <c r="CI46" t="n">
        <v>5</v>
      </c>
      <c r="CJ46" t="n">
        <v>5</v>
      </c>
      <c r="CK46" t="n">
        <v>5</v>
      </c>
      <c r="CL46" t="n">
        <v>5</v>
      </c>
      <c r="CM46" t="n">
        <v>5</v>
      </c>
      <c r="CN46" t="n">
        <v>6</v>
      </c>
      <c r="CO46" t="n">
        <v>6</v>
      </c>
      <c r="CP46" t="n">
        <v>6</v>
      </c>
      <c r="CQ46" t="n">
        <v>6</v>
      </c>
      <c r="CR46" t="n">
        <v>6</v>
      </c>
      <c r="CS46" t="n">
        <v>6</v>
      </c>
      <c r="CT46" t="n">
        <v>6</v>
      </c>
      <c r="CU46" t="n">
        <v>6</v>
      </c>
      <c r="CV46" t="n">
        <v>6</v>
      </c>
      <c r="CW46" t="n">
        <v>6</v>
      </c>
      <c r="CX46" t="n">
        <v>6</v>
      </c>
      <c r="CY46" t="n">
        <v>6</v>
      </c>
      <c r="CZ46" t="n">
        <v>6</v>
      </c>
      <c r="DA46" t="n">
        <v>6</v>
      </c>
      <c r="DB46" t="n">
        <v>6</v>
      </c>
      <c r="DC46" t="n">
        <v>6</v>
      </c>
      <c r="DD46" t="n">
        <v>6</v>
      </c>
      <c r="DE46" t="n">
        <v>7</v>
      </c>
      <c r="DF46" t="n">
        <v>7</v>
      </c>
      <c r="DG46" t="n">
        <v>7</v>
      </c>
      <c r="DH46" t="n">
        <v>7</v>
      </c>
      <c r="DI46" t="n">
        <v>7</v>
      </c>
      <c r="DJ46" t="n">
        <v>7</v>
      </c>
      <c r="DK46" t="n">
        <v>7</v>
      </c>
      <c r="DL46" t="n">
        <v>7</v>
      </c>
      <c r="DM46" t="n">
        <v>7</v>
      </c>
      <c r="DN46" t="n">
        <v>7</v>
      </c>
      <c r="DO46" t="n">
        <v>7</v>
      </c>
      <c r="DP46" t="n">
        <v>7</v>
      </c>
      <c r="DQ46" t="n">
        <v>7</v>
      </c>
      <c r="DR46" t="n">
        <v>7</v>
      </c>
      <c r="DS46" t="n">
        <v>7</v>
      </c>
      <c r="DT46" t="n">
        <v>7</v>
      </c>
      <c r="DU46" t="n">
        <v>7</v>
      </c>
      <c r="DV46" t="n">
        <v>8</v>
      </c>
      <c r="DW46" t="n">
        <v>8</v>
      </c>
      <c r="DX46" t="n">
        <v>8</v>
      </c>
      <c r="DY46" t="n">
        <v>8</v>
      </c>
      <c r="DZ46" t="n">
        <v>8</v>
      </c>
      <c r="EA46" t="n">
        <v>8</v>
      </c>
      <c r="EB46" t="n">
        <v>8</v>
      </c>
      <c r="EC46" t="n">
        <v>8</v>
      </c>
      <c r="ED46" t="n">
        <v>8</v>
      </c>
      <c r="EE46" t="n">
        <v>8</v>
      </c>
      <c r="EF46" t="n">
        <v>8</v>
      </c>
      <c r="EG46" t="n">
        <v>8</v>
      </c>
      <c r="EH46" t="n">
        <v>8</v>
      </c>
      <c r="EI46" t="n">
        <v>8</v>
      </c>
      <c r="EJ46" t="n">
        <v>8</v>
      </c>
      <c r="EK46" t="n">
        <v>8</v>
      </c>
      <c r="EL46" t="n">
        <v>8</v>
      </c>
      <c r="EM46" t="n">
        <v>9</v>
      </c>
      <c r="EN46" t="n">
        <v>9</v>
      </c>
      <c r="EO46" t="n">
        <v>9</v>
      </c>
      <c r="EP46" t="n">
        <v>9</v>
      </c>
      <c r="EQ46" t="n">
        <v>9</v>
      </c>
      <c r="ER46" t="n">
        <v>9</v>
      </c>
      <c r="ES46" t="n">
        <v>9</v>
      </c>
      <c r="ET46" t="n">
        <v>9</v>
      </c>
      <c r="EU46" t="n">
        <v>9</v>
      </c>
      <c r="EV46" t="n">
        <v>9</v>
      </c>
      <c r="EW46" t="n">
        <v>9</v>
      </c>
      <c r="EX46" t="n">
        <v>9</v>
      </c>
      <c r="EY46" t="n">
        <v>9</v>
      </c>
      <c r="EZ46" t="n">
        <v>9</v>
      </c>
      <c r="FA46" t="n">
        <v>9</v>
      </c>
      <c r="FB46" t="n">
        <v>9</v>
      </c>
      <c r="FC46" t="n">
        <v>9</v>
      </c>
      <c r="FD46" t="n">
        <v>10</v>
      </c>
      <c r="FE46" t="n">
        <v>10</v>
      </c>
      <c r="FF46" t="n">
        <v>10</v>
      </c>
      <c r="FG46" t="n">
        <v>10</v>
      </c>
      <c r="FH46" t="n">
        <v>10</v>
      </c>
      <c r="FI46" t="n">
        <v>10</v>
      </c>
      <c r="FJ46" t="n">
        <v>10</v>
      </c>
      <c r="FK46" t="n">
        <v>10</v>
      </c>
      <c r="FL46" t="n">
        <v>10</v>
      </c>
      <c r="FM46" t="n">
        <v>10</v>
      </c>
      <c r="FN46" t="n">
        <v>10</v>
      </c>
      <c r="FO46" t="n">
        <v>10</v>
      </c>
      <c r="FP46" t="n">
        <v>10</v>
      </c>
      <c r="FQ46" t="n">
        <v>10</v>
      </c>
      <c r="FR46" t="n">
        <v>10</v>
      </c>
      <c r="FS46" t="n">
        <v>10</v>
      </c>
      <c r="FT46" t="n">
        <v>10</v>
      </c>
      <c r="FU46" t="n">
        <v>11</v>
      </c>
      <c r="FV46" t="n">
        <v>11</v>
      </c>
      <c r="FW46" t="n">
        <v>11</v>
      </c>
      <c r="FX46" t="n">
        <v>11</v>
      </c>
      <c r="FY46" t="n">
        <v>11</v>
      </c>
      <c r="FZ46" t="n">
        <v>11</v>
      </c>
      <c r="GA46" t="n">
        <v>11</v>
      </c>
      <c r="GB46" t="n">
        <v>11</v>
      </c>
      <c r="GC46" t="n">
        <v>11</v>
      </c>
      <c r="GD46" t="n">
        <v>11</v>
      </c>
      <c r="GE46" t="n">
        <v>11</v>
      </c>
      <c r="GF46" t="n">
        <v>11</v>
      </c>
      <c r="GG46" t="n">
        <v>11</v>
      </c>
      <c r="GH46" t="n">
        <v>11</v>
      </c>
      <c r="GI46" t="n">
        <v>11</v>
      </c>
      <c r="GJ46" t="n">
        <v>11</v>
      </c>
      <c r="GK46" t="n">
        <v>11</v>
      </c>
      <c r="GL46" t="n">
        <v>12</v>
      </c>
      <c r="GM46" t="n">
        <v>12</v>
      </c>
      <c r="GN46" t="n">
        <v>12</v>
      </c>
      <c r="GO46" t="n">
        <v>12</v>
      </c>
      <c r="GP46" t="n">
        <v>12</v>
      </c>
      <c r="GQ46" t="n">
        <v>12</v>
      </c>
      <c r="GR46" t="n">
        <v>12</v>
      </c>
      <c r="GS46" t="n">
        <v>12</v>
      </c>
      <c r="GT46" t="n">
        <v>12</v>
      </c>
      <c r="GU46" t="n">
        <v>12</v>
      </c>
      <c r="GV46" t="n">
        <v>12</v>
      </c>
      <c r="GW46" t="n">
        <v>12</v>
      </c>
      <c r="GX46" t="n">
        <v>12</v>
      </c>
      <c r="GY46" t="n">
        <v>12</v>
      </c>
      <c r="GZ46" t="n">
        <v>12</v>
      </c>
      <c r="HA46" t="n">
        <v>12</v>
      </c>
      <c r="HB46" t="n">
        <v>12</v>
      </c>
    </row>
    <row r="47" hidden="1">
      <c r="G47" t="n">
        <v>1</v>
      </c>
      <c r="H47" t="n">
        <v>1</v>
      </c>
      <c r="I47" t="n">
        <v>2</v>
      </c>
      <c r="J47" t="n">
        <v>2</v>
      </c>
      <c r="K47" t="n">
        <v>3</v>
      </c>
      <c r="L47" t="n">
        <v>3</v>
      </c>
      <c r="M47" t="n">
        <v>4</v>
      </c>
      <c r="N47" t="n">
        <v>4</v>
      </c>
      <c r="O47" t="n">
        <v>5</v>
      </c>
      <c r="P47" t="n">
        <v>5</v>
      </c>
      <c r="Q47" t="n">
        <v>6</v>
      </c>
      <c r="R47" t="n">
        <v>6</v>
      </c>
      <c r="S47" t="n">
        <v>7</v>
      </c>
      <c r="T47" t="n">
        <v>7</v>
      </c>
      <c r="U47" t="n">
        <v>8</v>
      </c>
      <c r="V47" t="n">
        <v>8</v>
      </c>
      <c r="W47" t="n">
        <v>0</v>
      </c>
      <c r="X47" t="n">
        <v>9</v>
      </c>
      <c r="Y47" t="n">
        <v>9</v>
      </c>
      <c r="Z47" t="n">
        <v>10</v>
      </c>
      <c r="AA47" t="n">
        <v>10</v>
      </c>
      <c r="AB47" t="n">
        <v>11</v>
      </c>
      <c r="AC47" t="n">
        <v>11</v>
      </c>
      <c r="AD47" t="n">
        <v>12</v>
      </c>
      <c r="AE47" t="n">
        <v>12</v>
      </c>
      <c r="AF47" t="n">
        <v>13</v>
      </c>
      <c r="AG47" t="n">
        <v>13</v>
      </c>
      <c r="AH47" t="n">
        <v>14</v>
      </c>
      <c r="AI47" t="n">
        <v>14</v>
      </c>
      <c r="AJ47" t="n">
        <v>15</v>
      </c>
      <c r="AK47" t="n">
        <v>15</v>
      </c>
      <c r="AL47" t="n">
        <v>16</v>
      </c>
      <c r="AM47" t="n">
        <v>16</v>
      </c>
      <c r="AN47" t="n">
        <v>0</v>
      </c>
      <c r="AO47" t="n">
        <v>17</v>
      </c>
      <c r="AP47" t="n">
        <v>17</v>
      </c>
      <c r="AQ47" t="n">
        <v>18</v>
      </c>
      <c r="AR47" t="n">
        <v>18</v>
      </c>
      <c r="AS47" t="n">
        <v>19</v>
      </c>
      <c r="AT47" t="n">
        <v>19</v>
      </c>
      <c r="AU47" t="n">
        <v>20</v>
      </c>
      <c r="AV47" t="n">
        <v>20</v>
      </c>
      <c r="AW47" t="n">
        <v>21</v>
      </c>
      <c r="AX47" t="n">
        <v>21</v>
      </c>
      <c r="AY47" t="n">
        <v>22</v>
      </c>
      <c r="AZ47" t="n">
        <v>22</v>
      </c>
      <c r="BA47" t="n">
        <v>23</v>
      </c>
      <c r="BB47" t="n">
        <v>23</v>
      </c>
      <c r="BC47" t="n">
        <v>24</v>
      </c>
      <c r="BD47" t="n">
        <v>24</v>
      </c>
      <c r="BE47" t="n">
        <v>0</v>
      </c>
      <c r="BF47" t="n">
        <v>25</v>
      </c>
      <c r="BG47" t="n">
        <v>25</v>
      </c>
      <c r="BH47" t="n">
        <v>26</v>
      </c>
      <c r="BI47" t="n">
        <v>26</v>
      </c>
      <c r="BJ47" t="n">
        <v>27</v>
      </c>
      <c r="BK47" t="n">
        <v>27</v>
      </c>
      <c r="BL47" t="n">
        <v>28</v>
      </c>
      <c r="BM47" t="n">
        <v>28</v>
      </c>
      <c r="BN47" t="n">
        <v>29</v>
      </c>
      <c r="BO47" t="n">
        <v>29</v>
      </c>
      <c r="BP47" t="n">
        <v>30</v>
      </c>
      <c r="BQ47" t="n">
        <v>30</v>
      </c>
      <c r="BR47" t="n">
        <v>31</v>
      </c>
      <c r="BS47" t="n">
        <v>31</v>
      </c>
      <c r="BT47" t="n">
        <v>32</v>
      </c>
      <c r="BU47" t="n">
        <v>32</v>
      </c>
      <c r="BV47" t="n">
        <v>0</v>
      </c>
      <c r="BW47" t="n">
        <v>33</v>
      </c>
      <c r="BX47" t="n">
        <v>33</v>
      </c>
      <c r="BY47" t="n">
        <v>34</v>
      </c>
      <c r="BZ47" t="n">
        <v>34</v>
      </c>
      <c r="CA47" t="n">
        <v>35</v>
      </c>
      <c r="CB47" t="n">
        <v>35</v>
      </c>
      <c r="CC47" t="n">
        <v>36</v>
      </c>
      <c r="CD47" t="n">
        <v>36</v>
      </c>
      <c r="CE47" t="n">
        <v>37</v>
      </c>
      <c r="CF47" t="n">
        <v>37</v>
      </c>
      <c r="CG47" t="n">
        <v>38</v>
      </c>
      <c r="CH47" t="n">
        <v>38</v>
      </c>
      <c r="CI47" t="n">
        <v>39</v>
      </c>
      <c r="CJ47" t="n">
        <v>39</v>
      </c>
      <c r="CK47" t="n">
        <v>40</v>
      </c>
      <c r="CL47" t="n">
        <v>40</v>
      </c>
      <c r="CM47" t="n">
        <v>0</v>
      </c>
      <c r="CN47" t="n">
        <v>41</v>
      </c>
      <c r="CO47" t="n">
        <v>41</v>
      </c>
      <c r="CP47" t="n">
        <v>42</v>
      </c>
      <c r="CQ47" t="n">
        <v>42</v>
      </c>
      <c r="CR47" t="n">
        <v>43</v>
      </c>
      <c r="CS47" t="n">
        <v>43</v>
      </c>
      <c r="CT47" t="n">
        <v>44</v>
      </c>
      <c r="CU47" t="n">
        <v>44</v>
      </c>
      <c r="CV47" t="n">
        <v>45</v>
      </c>
      <c r="CW47" t="n">
        <v>45</v>
      </c>
      <c r="CX47" t="n">
        <v>46</v>
      </c>
      <c r="CY47" t="n">
        <v>46</v>
      </c>
      <c r="CZ47" t="n">
        <v>47</v>
      </c>
      <c r="DA47" t="n">
        <v>47</v>
      </c>
      <c r="DB47" t="n">
        <v>48</v>
      </c>
      <c r="DC47" t="n">
        <v>48</v>
      </c>
      <c r="DD47" t="n">
        <v>0</v>
      </c>
      <c r="DE47" t="n">
        <v>49</v>
      </c>
      <c r="DF47" t="n">
        <v>49</v>
      </c>
      <c r="DG47" t="n">
        <v>50</v>
      </c>
      <c r="DH47" t="n">
        <v>50</v>
      </c>
      <c r="DI47" t="n">
        <v>51</v>
      </c>
      <c r="DJ47" t="n">
        <v>51</v>
      </c>
      <c r="DK47" t="n">
        <v>52</v>
      </c>
      <c r="DL47" t="n">
        <v>52</v>
      </c>
      <c r="DM47" t="n">
        <v>53</v>
      </c>
      <c r="DN47" t="n">
        <v>53</v>
      </c>
      <c r="DO47" t="n">
        <v>54</v>
      </c>
      <c r="DP47" t="n">
        <v>54</v>
      </c>
      <c r="DQ47" t="n">
        <v>55</v>
      </c>
      <c r="DR47" t="n">
        <v>55</v>
      </c>
      <c r="DS47" t="n">
        <v>56</v>
      </c>
      <c r="DT47" t="n">
        <v>56</v>
      </c>
      <c r="DU47" t="n">
        <v>0</v>
      </c>
      <c r="DV47" t="n">
        <v>57</v>
      </c>
      <c r="DW47" t="n">
        <v>57</v>
      </c>
      <c r="DX47" t="n">
        <v>58</v>
      </c>
      <c r="DY47" t="n">
        <v>58</v>
      </c>
      <c r="DZ47" t="n">
        <v>59</v>
      </c>
      <c r="EA47" t="n">
        <v>59</v>
      </c>
      <c r="EB47" t="n">
        <v>60</v>
      </c>
      <c r="EC47" t="n">
        <v>60</v>
      </c>
      <c r="ED47" t="n">
        <v>61</v>
      </c>
      <c r="EE47" t="n">
        <v>61</v>
      </c>
      <c r="EF47" t="n">
        <v>62</v>
      </c>
      <c r="EG47" t="n">
        <v>62</v>
      </c>
      <c r="EH47" t="n">
        <v>63</v>
      </c>
      <c r="EI47" t="n">
        <v>63</v>
      </c>
      <c r="EJ47" t="n">
        <v>64</v>
      </c>
      <c r="EK47" t="n">
        <v>64</v>
      </c>
      <c r="EL47" t="n">
        <v>0</v>
      </c>
      <c r="EM47" t="n">
        <v>65</v>
      </c>
      <c r="EN47" t="n">
        <v>65</v>
      </c>
      <c r="EO47" t="n">
        <v>66</v>
      </c>
      <c r="EP47" t="n">
        <v>66</v>
      </c>
      <c r="EQ47" t="n">
        <v>67</v>
      </c>
      <c r="ER47" t="n">
        <v>67</v>
      </c>
      <c r="ES47" t="n">
        <v>68</v>
      </c>
      <c r="ET47" t="n">
        <v>68</v>
      </c>
      <c r="EU47" t="n">
        <v>69</v>
      </c>
      <c r="EV47" t="n">
        <v>69</v>
      </c>
      <c r="EW47" t="n">
        <v>70</v>
      </c>
      <c r="EX47" t="n">
        <v>70</v>
      </c>
      <c r="EY47" t="n">
        <v>71</v>
      </c>
      <c r="EZ47" t="n">
        <v>71</v>
      </c>
      <c r="FA47" t="n">
        <v>72</v>
      </c>
      <c r="FB47" t="n">
        <v>72</v>
      </c>
      <c r="FC47" t="n">
        <v>0</v>
      </c>
      <c r="FD47" t="n">
        <v>73</v>
      </c>
      <c r="FE47" t="n">
        <v>73</v>
      </c>
      <c r="FF47" t="n">
        <v>74</v>
      </c>
      <c r="FG47" t="n">
        <v>74</v>
      </c>
      <c r="FH47" t="n">
        <v>75</v>
      </c>
      <c r="FI47" t="n">
        <v>75</v>
      </c>
      <c r="FJ47" t="n">
        <v>76</v>
      </c>
      <c r="FK47" t="n">
        <v>76</v>
      </c>
      <c r="FL47" t="n">
        <v>77</v>
      </c>
      <c r="FM47" t="n">
        <v>77</v>
      </c>
      <c r="FN47" t="n">
        <v>78</v>
      </c>
      <c r="FO47" t="n">
        <v>78</v>
      </c>
      <c r="FP47" t="n">
        <v>79</v>
      </c>
      <c r="FQ47" t="n">
        <v>79</v>
      </c>
      <c r="FR47" t="n">
        <v>80</v>
      </c>
      <c r="FS47" t="n">
        <v>80</v>
      </c>
      <c r="FT47" t="n">
        <v>0</v>
      </c>
      <c r="FU47" t="n">
        <v>81</v>
      </c>
      <c r="FV47" t="n">
        <v>81</v>
      </c>
      <c r="FW47" t="n">
        <v>82</v>
      </c>
      <c r="FX47" t="n">
        <v>82</v>
      </c>
      <c r="FY47" t="n">
        <v>83</v>
      </c>
      <c r="FZ47" t="n">
        <v>83</v>
      </c>
      <c r="GA47" t="n">
        <v>84</v>
      </c>
      <c r="GB47" t="n">
        <v>84</v>
      </c>
      <c r="GC47" t="n">
        <v>85</v>
      </c>
      <c r="GD47" t="n">
        <v>85</v>
      </c>
      <c r="GE47" t="n">
        <v>86</v>
      </c>
      <c r="GF47" t="n">
        <v>86</v>
      </c>
      <c r="GG47" t="n">
        <v>87</v>
      </c>
      <c r="GH47" t="n">
        <v>87</v>
      </c>
      <c r="GI47" t="n">
        <v>88</v>
      </c>
      <c r="GJ47" t="n">
        <v>88</v>
      </c>
      <c r="GK47" t="n">
        <v>0</v>
      </c>
      <c r="GL47" t="n">
        <v>89</v>
      </c>
      <c r="GM47" t="n">
        <v>89</v>
      </c>
      <c r="GN47" t="n">
        <v>90</v>
      </c>
      <c r="GO47" t="n">
        <v>90</v>
      </c>
      <c r="GP47" t="n">
        <v>91</v>
      </c>
      <c r="GQ47" t="n">
        <v>91</v>
      </c>
      <c r="GR47" t="n">
        <v>92</v>
      </c>
      <c r="GS47" t="n">
        <v>92</v>
      </c>
      <c r="GT47" t="n">
        <v>93</v>
      </c>
      <c r="GU47" t="n">
        <v>93</v>
      </c>
      <c r="GV47" t="n">
        <v>94</v>
      </c>
      <c r="GW47" t="n">
        <v>94</v>
      </c>
      <c r="GX47" t="n">
        <v>95</v>
      </c>
      <c r="GY47" t="n">
        <v>95</v>
      </c>
      <c r="GZ47" t="n">
        <v>96</v>
      </c>
      <c r="HA47" t="n">
        <v>96</v>
      </c>
      <c r="HB47" t="n">
        <v>0</v>
      </c>
    </row>
  </sheetData>
  <mergeCells count="340">
    <mergeCell ref="BW1:CM1"/>
    <mergeCell ref="X2:Y2"/>
    <mergeCell ref="FY2:FZ2"/>
    <mergeCell ref="FU1:GK1"/>
    <mergeCell ref="DV2:DW2"/>
    <mergeCell ref="CZ27:DA27"/>
    <mergeCell ref="DB27:DC27"/>
    <mergeCell ref="BH2:BI2"/>
    <mergeCell ref="BJ2:BK2"/>
    <mergeCell ref="EB3:EC3"/>
    <mergeCell ref="ED3:EE3"/>
    <mergeCell ref="FD2:FE2"/>
    <mergeCell ref="FF2:FG2"/>
    <mergeCell ref="AQ2:AR2"/>
    <mergeCell ref="AS2:AT2"/>
    <mergeCell ref="O27:P27"/>
    <mergeCell ref="GL3:GM3"/>
    <mergeCell ref="Q27:R27"/>
    <mergeCell ref="FN3:FO3"/>
    <mergeCell ref="CM27:CM28"/>
    <mergeCell ref="GR2:GS2"/>
    <mergeCell ref="A28:B28"/>
    <mergeCell ref="CC2:CD2"/>
    <mergeCell ref="CE2:CF2"/>
    <mergeCell ref="EW3:EX3"/>
    <mergeCell ref="GA2:GB2"/>
    <mergeCell ref="DI3:DJ3"/>
    <mergeCell ref="GL1:HB1"/>
    <mergeCell ref="AJ27:AK27"/>
    <mergeCell ref="DO2:DP2"/>
    <mergeCell ref="AL27:AM27"/>
    <mergeCell ref="DQ2:DR2"/>
    <mergeCell ref="GI3:GJ3"/>
    <mergeCell ref="CX2:CY2"/>
    <mergeCell ref="EM3:EN3"/>
    <mergeCell ref="CZ2:DA2"/>
    <mergeCell ref="X3:Y3"/>
    <mergeCell ref="Z3:AA3"/>
    <mergeCell ref="AF2:AG2"/>
    <mergeCell ref="EJ2:EK2"/>
    <mergeCell ref="FY3:FZ3"/>
    <mergeCell ref="BJ3:BK3"/>
    <mergeCell ref="BL3:BM3"/>
    <mergeCell ref="EM1:FC1"/>
    <mergeCell ref="X1:AN1"/>
    <mergeCell ref="HB27:HB28"/>
    <mergeCell ref="FF3:FG3"/>
    <mergeCell ref="FP3:FQ3"/>
    <mergeCell ref="FH3:FI3"/>
    <mergeCell ref="BA2:BB2"/>
    <mergeCell ref="BC27:BD27"/>
    <mergeCell ref="BC2:BD2"/>
    <mergeCell ref="A1:B1"/>
    <mergeCell ref="GR3:GS3"/>
    <mergeCell ref="GT3:GU3"/>
    <mergeCell ref="M2:N2"/>
    <mergeCell ref="CE3:CF3"/>
    <mergeCell ref="CG3:CH3"/>
    <mergeCell ref="CK2:CL2"/>
    <mergeCell ref="C20:F20"/>
    <mergeCell ref="FC27:FC28"/>
    <mergeCell ref="DQ3:DR3"/>
    <mergeCell ref="DS3:DT3"/>
    <mergeCell ref="AN27:AN28"/>
    <mergeCell ref="DK3:DL3"/>
    <mergeCell ref="C22:F22"/>
    <mergeCell ref="AH2:AI2"/>
    <mergeCell ref="FF27:FG27"/>
    <mergeCell ref="AF3:AG3"/>
    <mergeCell ref="A24:B24"/>
    <mergeCell ref="AH3:AI3"/>
    <mergeCell ref="BW27:BX27"/>
    <mergeCell ref="C27:E27"/>
    <mergeCell ref="BR3:BS3"/>
    <mergeCell ref="FN27:FO27"/>
    <mergeCell ref="BA3:BB3"/>
    <mergeCell ref="DG27:DH27"/>
    <mergeCell ref="BC3:BD3"/>
    <mergeCell ref="FT2:FT3"/>
    <mergeCell ref="DI27:DJ27"/>
    <mergeCell ref="M3:N3"/>
    <mergeCell ref="CP27:CQ27"/>
    <mergeCell ref="FC2:FC3"/>
    <mergeCell ref="FU2:FV2"/>
    <mergeCell ref="CR27:CS27"/>
    <mergeCell ref="AF27:AG27"/>
    <mergeCell ref="X27:Y27"/>
    <mergeCell ref="GI27:GJ27"/>
    <mergeCell ref="EB27:EC27"/>
    <mergeCell ref="ED27:EE27"/>
    <mergeCell ref="CN2:CO2"/>
    <mergeCell ref="FP27:FQ27"/>
    <mergeCell ref="BA27:BB27"/>
    <mergeCell ref="BE2:BE3"/>
    <mergeCell ref="BT3:BU3"/>
    <mergeCell ref="K2:L2"/>
    <mergeCell ref="EW27:EX27"/>
    <mergeCell ref="EY27:EZ27"/>
    <mergeCell ref="DG2:DH2"/>
    <mergeCell ref="FH27:FI27"/>
    <mergeCell ref="DI2:DJ2"/>
    <mergeCell ref="EJ27:EK27"/>
    <mergeCell ref="CE27:CF27"/>
    <mergeCell ref="AU2:AV2"/>
    <mergeCell ref="AQ27:AR27"/>
    <mergeCell ref="ES2:ET2"/>
    <mergeCell ref="GT27:GU27"/>
    <mergeCell ref="EU2:EV2"/>
    <mergeCell ref="EM27:EN27"/>
    <mergeCell ref="Z27:AA27"/>
    <mergeCell ref="FW3:FX3"/>
    <mergeCell ref="GC2:GD2"/>
    <mergeCell ref="DO27:DP27"/>
    <mergeCell ref="BP2:BQ2"/>
    <mergeCell ref="BJ27:BK27"/>
    <mergeCell ref="BL27:BM27"/>
    <mergeCell ref="FL2:FM2"/>
    <mergeCell ref="FN2:FO2"/>
    <mergeCell ref="FP2:FQ2"/>
    <mergeCell ref="CN3:CO3"/>
    <mergeCell ref="CP3:CQ3"/>
    <mergeCell ref="DX2:DY2"/>
    <mergeCell ref="DZ2:EA2"/>
    <mergeCell ref="CV27:CW27"/>
    <mergeCell ref="CX27:CY27"/>
    <mergeCell ref="GX2:GY2"/>
    <mergeCell ref="GZ2:HA2"/>
    <mergeCell ref="DX3:DY3"/>
    <mergeCell ref="DZ3:EA3"/>
    <mergeCell ref="CG27:CH27"/>
    <mergeCell ref="K3:L3"/>
    <mergeCell ref="CN1:DD1"/>
    <mergeCell ref="A2:B3"/>
    <mergeCell ref="AO2:AP2"/>
    <mergeCell ref="DQ27:DR27"/>
    <mergeCell ref="AW3:AX3"/>
    <mergeCell ref="AO3:AP3"/>
    <mergeCell ref="AQ3:AR3"/>
    <mergeCell ref="BY2:BZ2"/>
    <mergeCell ref="CA2:CB2"/>
    <mergeCell ref="ES3:ET3"/>
    <mergeCell ref="EU3:EV3"/>
    <mergeCell ref="GE2:GF2"/>
    <mergeCell ref="FW2:FX2"/>
    <mergeCell ref="A23:B23"/>
    <mergeCell ref="AH27:AI27"/>
    <mergeCell ref="AO1:BE1"/>
    <mergeCell ref="GE3:GF3"/>
    <mergeCell ref="GG3:GH3"/>
    <mergeCell ref="DD27:DD28"/>
    <mergeCell ref="CT2:CU2"/>
    <mergeCell ref="CV2:CW2"/>
    <mergeCell ref="C24:F25"/>
    <mergeCell ref="CV3:CW3"/>
    <mergeCell ref="CX3:CY3"/>
    <mergeCell ref="EF2:EG2"/>
    <mergeCell ref="EH2:EI2"/>
    <mergeCell ref="GZ3:HA3"/>
    <mergeCell ref="BF3:BG3"/>
    <mergeCell ref="S2:T2"/>
    <mergeCell ref="BH3:BI3"/>
    <mergeCell ref="U2:V2"/>
    <mergeCell ref="HB2:HB3"/>
    <mergeCell ref="GR27:GS27"/>
    <mergeCell ref="FD3:FE3"/>
    <mergeCell ref="BE27:BE28"/>
    <mergeCell ref="U3:V3"/>
    <mergeCell ref="AY2:AZ2"/>
    <mergeCell ref="FA2:FB2"/>
    <mergeCell ref="CA3:CB3"/>
    <mergeCell ref="CC3:CD3"/>
    <mergeCell ref="FW27:FX27"/>
    <mergeCell ref="FA3:FB3"/>
    <mergeCell ref="CT27:CU27"/>
    <mergeCell ref="DM3:DN3"/>
    <mergeCell ref="DO3:DP3"/>
    <mergeCell ref="BR2:BS2"/>
    <mergeCell ref="FD27:FE27"/>
    <mergeCell ref="W2:W3"/>
    <mergeCell ref="FT27:FT28"/>
    <mergeCell ref="DU2:DU3"/>
    <mergeCell ref="EH3:EI3"/>
    <mergeCell ref="EJ3:EK3"/>
    <mergeCell ref="FY27:FZ27"/>
    <mergeCell ref="FR3:FS3"/>
    <mergeCell ref="AY3:AZ3"/>
    <mergeCell ref="DE27:DF27"/>
    <mergeCell ref="ES27:ET27"/>
    <mergeCell ref="C28:F28"/>
    <mergeCell ref="CN27:CO27"/>
    <mergeCell ref="GE27:GF27"/>
    <mergeCell ref="GG27:GH27"/>
    <mergeCell ref="DX27:DY27"/>
    <mergeCell ref="GK2:GK3"/>
    <mergeCell ref="DZ27:EA27"/>
    <mergeCell ref="K27:L27"/>
    <mergeCell ref="M27:N27"/>
    <mergeCell ref="GL2:GM2"/>
    <mergeCell ref="GN2:GO2"/>
    <mergeCell ref="FL27:FM27"/>
    <mergeCell ref="AW27:AX27"/>
    <mergeCell ref="AO27:AP27"/>
    <mergeCell ref="AY27:AZ27"/>
    <mergeCell ref="BF1:BV1"/>
    <mergeCell ref="GZ27:HA27"/>
    <mergeCell ref="GN3:GO3"/>
    <mergeCell ref="G2:H2"/>
    <mergeCell ref="GP3:GQ3"/>
    <mergeCell ref="I2:J2"/>
    <mergeCell ref="EU27:EV27"/>
    <mergeCell ref="FD1:FT1"/>
    <mergeCell ref="DE2:DF2"/>
    <mergeCell ref="CK27:CL27"/>
    <mergeCell ref="GT2:GU2"/>
    <mergeCell ref="BR27:BS27"/>
    <mergeCell ref="BV2:BV3"/>
    <mergeCell ref="EM2:EN2"/>
    <mergeCell ref="BT27:BU27"/>
    <mergeCell ref="EO2:EP2"/>
    <mergeCell ref="EQ2:ER2"/>
    <mergeCell ref="Z2:AA2"/>
    <mergeCell ref="AB2:AC2"/>
    <mergeCell ref="AD2:AE2"/>
    <mergeCell ref="FU3:FV3"/>
    <mergeCell ref="FA27:FB27"/>
    <mergeCell ref="BL2:BM2"/>
    <mergeCell ref="BN2:BO2"/>
    <mergeCell ref="BF2:BG2"/>
    <mergeCell ref="BH27:BI27"/>
    <mergeCell ref="FH2:FI2"/>
    <mergeCell ref="FJ2:FK2"/>
    <mergeCell ref="AW2:AX2"/>
    <mergeCell ref="S27:T27"/>
    <mergeCell ref="U27:V27"/>
    <mergeCell ref="GV2:GW2"/>
    <mergeCell ref="CG2:CH2"/>
    <mergeCell ref="DV3:DW3"/>
    <mergeCell ref="CI2:CJ2"/>
    <mergeCell ref="CA27:CB27"/>
    <mergeCell ref="CC27:CD27"/>
    <mergeCell ref="G3:H3"/>
    <mergeCell ref="I3:J3"/>
    <mergeCell ref="DE3:DF3"/>
    <mergeCell ref="DS2:DT2"/>
    <mergeCell ref="DK2:DL2"/>
    <mergeCell ref="DM2:DN2"/>
    <mergeCell ref="AS3:AT3"/>
    <mergeCell ref="AU3:AV3"/>
    <mergeCell ref="DV1:EL1"/>
    <mergeCell ref="G1:W1"/>
    <mergeCell ref="GK27:GK28"/>
    <mergeCell ref="EO3:EP3"/>
    <mergeCell ref="DB2:DC2"/>
    <mergeCell ref="EQ3:ER3"/>
    <mergeCell ref="AB3:AC3"/>
    <mergeCell ref="AD3:AE3"/>
    <mergeCell ref="DE1:DU1"/>
    <mergeCell ref="AJ2:AK2"/>
    <mergeCell ref="AL2:AM2"/>
    <mergeCell ref="GA3:GB3"/>
    <mergeCell ref="GC3:GD3"/>
    <mergeCell ref="EH27:EI27"/>
    <mergeCell ref="BN3:BO3"/>
    <mergeCell ref="BP3:BQ3"/>
    <mergeCell ref="CR2:CS2"/>
    <mergeCell ref="FJ3:FK3"/>
    <mergeCell ref="FL3:FM3"/>
    <mergeCell ref="A27:B27"/>
    <mergeCell ref="FR2:FS2"/>
    <mergeCell ref="EL27:EL28"/>
    <mergeCell ref="CZ3:DA3"/>
    <mergeCell ref="CR3:CS3"/>
    <mergeCell ref="DB3:DC3"/>
    <mergeCell ref="W27:W28"/>
    <mergeCell ref="CT3:CU3"/>
    <mergeCell ref="ED2:EE2"/>
    <mergeCell ref="A22:B22"/>
    <mergeCell ref="GV3:GW3"/>
    <mergeCell ref="O2:P2"/>
    <mergeCell ref="GX3:GY3"/>
    <mergeCell ref="Q2:R2"/>
    <mergeCell ref="DU27:DU28"/>
    <mergeCell ref="GL27:GM27"/>
    <mergeCell ref="CI3:CJ3"/>
    <mergeCell ref="GN27:GO27"/>
    <mergeCell ref="C1:F3"/>
    <mergeCell ref="CK3:CL3"/>
    <mergeCell ref="O3:P3"/>
    <mergeCell ref="Q3:R3"/>
    <mergeCell ref="EW2:EX2"/>
    <mergeCell ref="EY2:EZ2"/>
    <mergeCell ref="BF27:BG27"/>
    <mergeCell ref="BY3:BZ3"/>
    <mergeCell ref="EY3:EZ3"/>
    <mergeCell ref="BV27:BV28"/>
    <mergeCell ref="AJ3:AK3"/>
    <mergeCell ref="AL3:AM3"/>
    <mergeCell ref="BT2:BU2"/>
    <mergeCell ref="GP27:GQ27"/>
    <mergeCell ref="BY27:BZ27"/>
    <mergeCell ref="EL2:EL3"/>
    <mergeCell ref="FR27:FS27"/>
    <mergeCell ref="FJ27:FK27"/>
    <mergeCell ref="DK27:DL27"/>
    <mergeCell ref="DM27:DN27"/>
    <mergeCell ref="EF3:EG3"/>
    <mergeCell ref="S3:T3"/>
    <mergeCell ref="FU27:FV27"/>
    <mergeCell ref="CM2:CM3"/>
    <mergeCell ref="AN2:AN3"/>
    <mergeCell ref="AB27:AC27"/>
    <mergeCell ref="AD27:AE27"/>
    <mergeCell ref="EF27:EG27"/>
    <mergeCell ref="EO27:EP27"/>
    <mergeCell ref="CP2:CQ2"/>
    <mergeCell ref="GA27:GB27"/>
    <mergeCell ref="EB2:EC2"/>
    <mergeCell ref="GC27:GD27"/>
    <mergeCell ref="C23:F23"/>
    <mergeCell ref="DV27:DW27"/>
    <mergeCell ref="G27:H27"/>
    <mergeCell ref="I27:J27"/>
    <mergeCell ref="A25:B25"/>
    <mergeCell ref="CI27:CJ27"/>
    <mergeCell ref="BW2:BX2"/>
    <mergeCell ref="DD2:DD3"/>
    <mergeCell ref="AS27:AT27"/>
    <mergeCell ref="AU27:AV27"/>
    <mergeCell ref="GV27:GW27"/>
    <mergeCell ref="GX27:GY27"/>
    <mergeCell ref="EQ27:ER27"/>
    <mergeCell ref="BW3:BX3"/>
    <mergeCell ref="A20:B20"/>
    <mergeCell ref="GG2:GH2"/>
    <mergeCell ref="GI2:GJ2"/>
    <mergeCell ref="DS27:DT27"/>
    <mergeCell ref="DG3:DH3"/>
    <mergeCell ref="GP2:GQ2"/>
    <mergeCell ref="BN27:BO27"/>
    <mergeCell ref="BP27:BQ27"/>
  </mergeCells>
  <conditionalFormatting sqref="G5:HB19">
    <cfRule type="expression" priority="1" dxfId="1">
      <formula>AND($B5&lt;&gt;"",G$4="ح",G$20&gt;0,N(G5)=0)</formula>
    </cfRule>
  </conditionalFormatting>
  <conditionalFormatting sqref="W5:W19">
    <cfRule type="expression" priority="2" dxfId="2">
      <formula>AND($B5&lt;&gt;"",N($W5)=0,SUMPRODUCT(--$G5:$V5)&gt;0)</formula>
    </cfRule>
  </conditionalFormatting>
  <conditionalFormatting sqref="AN5:AN19">
    <cfRule type="expression" priority="3" dxfId="2">
      <formula>AND($B5&lt;&gt;"",N($AN5)=0,SUMPRODUCT(--$X5:$AM5)&gt;0)</formula>
    </cfRule>
  </conditionalFormatting>
  <conditionalFormatting sqref="BE5:BE19">
    <cfRule type="expression" priority="4" dxfId="2">
      <formula>AND($B5&lt;&gt;"",N($BE5)=0,SUMPRODUCT(--$AO5:$BD5)&gt;0)</formula>
    </cfRule>
  </conditionalFormatting>
  <conditionalFormatting sqref="BV5:BV19">
    <cfRule type="expression" priority="5" dxfId="2">
      <formula>AND($B5&lt;&gt;"",N($BV5)=0,SUMPRODUCT(--$BF5:$BU5)&gt;0)</formula>
    </cfRule>
  </conditionalFormatting>
  <conditionalFormatting sqref="CM5:CM19">
    <cfRule type="expression" priority="6" dxfId="2">
      <formula>AND($B5&lt;&gt;"",N($CM5)=0,SUMPRODUCT(--$BW5:$CL5)&gt;0)</formula>
    </cfRule>
  </conditionalFormatting>
  <conditionalFormatting sqref="DD5:DD19">
    <cfRule type="expression" priority="7" dxfId="2">
      <formula>AND($B5&lt;&gt;"",N($DD5)=0,SUMPRODUCT(--$CN5:$DC5)&gt;0)</formula>
    </cfRule>
  </conditionalFormatting>
  <conditionalFormatting sqref="DU5:DU19">
    <cfRule type="expression" priority="8" dxfId="2">
      <formula>AND($B5&lt;&gt;"",N($DU5)=0,SUMPRODUCT(--$DE5:$DT5)&gt;0)</formula>
    </cfRule>
  </conditionalFormatting>
  <conditionalFormatting sqref="EL5:EL19">
    <cfRule type="expression" priority="9" dxfId="2">
      <formula>AND($B5&lt;&gt;"",N($EL5)=0,SUMPRODUCT(--$DV5:$EK5)&gt;0)</formula>
    </cfRule>
  </conditionalFormatting>
  <conditionalFormatting sqref="FC5:FC19">
    <cfRule type="expression" priority="10" dxfId="2">
      <formula>AND($B5&lt;&gt;"",N($FC5)=0,SUMPRODUCT(--$EM5:$FB5)&gt;0)</formula>
    </cfRule>
  </conditionalFormatting>
  <conditionalFormatting sqref="FT5:FT19">
    <cfRule type="expression" priority="11" dxfId="2">
      <formula>AND($B5&lt;&gt;"",N($FT5)=0,SUMPRODUCT(--$FD5:$FS5)&gt;0)</formula>
    </cfRule>
  </conditionalFormatting>
  <conditionalFormatting sqref="GK5:GK19">
    <cfRule type="expression" priority="12" dxfId="2">
      <formula>AND($B5&lt;&gt;"",N($GK5)=0,SUMPRODUCT(--$FU5:$GJ5)&gt;0)</formula>
    </cfRule>
  </conditionalFormatting>
  <conditionalFormatting sqref="HB5:HB19">
    <cfRule type="expression" priority="13" dxfId="2">
      <formula>AND($B5&lt;&gt;"",N($HB5)=0,SUMPRODUCT(--$GL5:$HA5)&gt;0)</formula>
    </cfRule>
  </conditionalFormatting>
  <conditionalFormatting sqref="G3:HB3">
    <cfRule type="expression" priority="14" dxfId="0">
      <formula>AND(G3&lt;&gt;"",G3=TODAY())</formula>
    </cfRule>
  </conditionalFormatting>
  <conditionalFormatting sqref="D5:D19">
    <cfRule type="expression" priority="15" dxfId="1">
      <formula>AND(ISNUMBER(D5),D5&gt;=$HG$1)</formula>
    </cfRule>
  </conditionalFormatting>
  <conditionalFormatting sqref="E5:E19">
    <cfRule type="expression" priority="16" dxfId="0">
      <formula>AND(ISNUMBER(E5),E5&gt;=2)</formula>
    </cfRule>
  </conditionalFormatting>
  <conditionalFormatting sqref="F5:F19">
    <cfRule type="expression" priority="17" dxfId="2">
      <formula>AND(F5&lt;&gt;"",F5&lt;&gt;"تمام",F5&lt;&gt;"-")</formula>
    </cfRule>
  </conditionalFormatting>
  <conditionalFormatting sqref="G30:HB44">
    <cfRule type="expression" priority="18" dxfId="1">
      <formula>AND(G$29&lt;&gt;"ملاحظات",ISNUMBER(G30),ISNUMBER(G$28),G30&gt;G$28)</formula>
    </cfRule>
    <cfRule type="expression" priority="19" dxfId="3">
      <formula>AND(G$29&lt;&gt;"ملاحظات",ISNUMBER(G30),ISNUMBER(G$28),G30&lt;G$28/2)</formula>
    </cfRule>
  </conditionalFormatting>
  <conditionalFormatting sqref="E30:E44">
    <cfRule type="expression" priority="20" dxfId="0">
      <formula>AND(ISNUMBER(E30),E30&lt;=3)</formula>
    </cfRule>
  </conditionalFormatting>
  <conditionalFormatting sqref="G28:HB28">
    <cfRule type="expression" priority="21" dxfId="2">
      <formula>AND(G$29&lt;&gt;"ملاحظات",NOT(ISNUMBER(G28)),COUNT(G$30:G$44)&gt;0)</formula>
    </cfRule>
  </conditionalFormatting>
  <dataValidations count="4">
    <dataValidation sqref="G27 I27 K27 M27 O27 Q27 S27 U27 X27 Z27 AB27 AD27 AF27 AH27 AJ27 AL27 AO27 AQ27 AS27 AU27 AW27 AY27 BA27 BC27 BF27 BH27 BJ27 BL27 BN27 BP27 BR27 BT27 BW27 BY27 CA27 CC27 CE27 CG27 CI27 CK27 CN27 CP27 CR27 CT27 CV27 CX27 CZ27 DB27 DE27 DG27 DI27 DK27 DM27 DO27 DQ27 DS27 DV27 DX27 DZ27 EB27 ED27 EF27 EH27 EJ27 EM27 EO27 EQ27 ES27 EU27 EW27 EY27 FA27 FD27 FF27 FH27 FJ27 FL27 FN27 FP27 FR27 FU27 FW27 FY27 GA27 GC27 GE27 GG27 GI27 GL27 GN27 GP27 GR27 GT27 GV27 GX27 GZ27" showDropDown="0" showInputMessage="0" showErrorMessage="1" allowBlank="1" type="list" errorStyle="warning">
      <formula1>"وحدة,شهر"</formula1>
    </dataValidation>
    <dataValidation sqref="F27" showDropDown="0" showInputMessage="0" showErrorMessage="1" allowBlank="0" type="list">
      <formula1>'حسابات'!$F$2:$F$14</formula1>
    </dataValidation>
    <dataValidation sqref="G28:V28 G30:V44 X28:AM28 X30:AM44 AO28:BD28 AO30:BD44 BF28:BU28 BF30:BU44 BW28:CL28 BW30:CL44 CN28:DC28 CN30:DC44 DE28:DT28 DE30:DT44 DV28:EK28 DV30:EK44 EM28:FB28 EM30:FB44 FD28:FS28 FD30:FS44 FU28:GJ28 FU30:GJ44 GL28:HA28 GL30:HA44" showDropDown="0" showInputMessage="0" showErrorMessage="1" allowBlank="1" errorTitle="الدرجة" error="اكتبي رقم بس، بالشكل ده: 8 أو 8.5" type="decimal" operator="between">
      <formula1>0</formula1>
      <formula2>1000</formula2>
    </dataValidation>
    <dataValidation sqref="G3:V3 X3:AM3 AO3:BD3 BF3:BU3 BW3:CL3 CN3:DC3 DE3:DT3 DV3:EK3 EM3:FB3 FD3:FS3 FU3:GJ3 GL3:HA3" showDropDown="0" showInputMessage="0" showErrorMessage="1" allowBlank="1" errorTitle="التاريخ" error="اكتبي التاريخ كده: 5/10" type="date" operator="greaterThan">
      <formula1>40000</formula1>
    </dataValidation>
  </dataValidations>
  <pageMargins left="0.75" right="0.75" top="1" bottom="1" header="0.5" footer="0.5"/>
</worksheet>
</file>

<file path=xl/worksheets/sheet9.xml><?xml version="1.0" encoding="utf-8"?>
<worksheet xmlns="http://schemas.openxmlformats.org/spreadsheetml/2006/main">
  <sheetPr>
    <tabColor rgb="00A9DEF9"/>
    <outlinePr summaryBelow="1" summaryRight="1"/>
    <pageSetUpPr/>
  </sheetPr>
  <dimension ref="A1:HG47"/>
  <sheetViews>
    <sheetView showGridLines="0" rightToLeft="1" workbookViewId="0">
      <pane xSplit="2" ySplit="3" topLeftCell="C4" activePane="bottomRight" state="frozen"/>
      <selection pane="topRight"/>
      <selection pane="bottomLeft"/>
      <selection pane="bottomRight" activeCell="A1" sqref="A1"/>
    </sheetView>
  </sheetViews>
  <sheetFormatPr baseColWidth="8" defaultRowHeight="15"/>
  <cols>
    <col width="3.57" customWidth="1" min="1" max="1"/>
    <col width="19.29" customWidth="1" min="2" max="2"/>
    <col width="14.71" customWidth="1" min="3" max="3"/>
    <col width="5.86" customWidth="1" min="4" max="4"/>
    <col width="5.86" customWidth="1" min="5" max="5"/>
    <col width="10.71" customWidth="1" min="6" max="6"/>
    <col outlineLevel="1" width="5" customWidth="1" min="7" max="7"/>
    <col outlineLevel="1" width="5" customWidth="1" min="8" max="8"/>
    <col outlineLevel="1" width="5" customWidth="1" min="9" max="9"/>
    <col outlineLevel="1" width="5" customWidth="1" min="10" max="10"/>
    <col outlineLevel="1" width="5" customWidth="1" min="11" max="11"/>
    <col outlineLevel="1" width="5" customWidth="1" min="12" max="12"/>
    <col outlineLevel="1" width="5" customWidth="1" min="13" max="13"/>
    <col outlineLevel="1" width="5" customWidth="1" min="14" max="14"/>
    <col outlineLevel="1" width="5" customWidth="1" min="15" max="15"/>
    <col outlineLevel="1" width="5" customWidth="1" min="16" max="16"/>
    <col outlineLevel="1" width="5" customWidth="1" min="17" max="17"/>
    <col outlineLevel="1" width="5" customWidth="1" min="18" max="18"/>
    <col outlineLevel="1" width="5" customWidth="1" min="19" max="19"/>
    <col outlineLevel="1" width="5" customWidth="1" min="20" max="20"/>
    <col outlineLevel="1" width="5" customWidth="1" min="21" max="21"/>
    <col outlineLevel="1" width="5" customWidth="1" min="22" max="22"/>
    <col width="14.14" customWidth="1" min="23" max="23"/>
    <col outlineLevel="1" width="5" customWidth="1" min="24" max="24"/>
    <col outlineLevel="1" width="5" customWidth="1" min="25" max="25"/>
    <col outlineLevel="1" width="5" customWidth="1" min="26" max="26"/>
    <col outlineLevel="1" width="5" customWidth="1" min="27" max="27"/>
    <col outlineLevel="1" width="5" customWidth="1" min="28" max="28"/>
    <col outlineLevel="1" width="5" customWidth="1" min="29" max="29"/>
    <col outlineLevel="1" width="5" customWidth="1" min="30" max="30"/>
    <col outlineLevel="1" width="5" customWidth="1" min="31" max="31"/>
    <col outlineLevel="1" width="5" customWidth="1" min="32" max="32"/>
    <col outlineLevel="1" width="5" customWidth="1" min="33" max="33"/>
    <col outlineLevel="1" width="5" customWidth="1" min="34" max="34"/>
    <col outlineLevel="1" width="5" customWidth="1" min="35" max="35"/>
    <col outlineLevel="1" width="5" customWidth="1" min="36" max="36"/>
    <col outlineLevel="1" width="5" customWidth="1" min="37" max="37"/>
    <col outlineLevel="1" width="5" customWidth="1" min="38" max="38"/>
    <col outlineLevel="1" width="5" customWidth="1" min="39" max="39"/>
    <col width="14.14" customWidth="1" min="40" max="40"/>
    <col outlineLevel="1" width="5" customWidth="1" min="41" max="41"/>
    <col outlineLevel="1" width="5" customWidth="1" min="42" max="42"/>
    <col outlineLevel="1" width="5" customWidth="1" min="43" max="43"/>
    <col outlineLevel="1" width="5" customWidth="1" min="44" max="44"/>
    <col outlineLevel="1" width="5" customWidth="1" min="45" max="45"/>
    <col outlineLevel="1" width="5" customWidth="1" min="46" max="46"/>
    <col outlineLevel="1" width="5" customWidth="1" min="47" max="47"/>
    <col outlineLevel="1" width="5" customWidth="1" min="48" max="48"/>
    <col outlineLevel="1" width="5" customWidth="1" min="49" max="49"/>
    <col outlineLevel="1" width="5" customWidth="1" min="50" max="50"/>
    <col outlineLevel="1" width="5" customWidth="1" min="51" max="51"/>
    <col outlineLevel="1" width="5" customWidth="1" min="52" max="52"/>
    <col outlineLevel="1" width="5" customWidth="1" min="53" max="53"/>
    <col outlineLevel="1" width="5" customWidth="1" min="54" max="54"/>
    <col outlineLevel="1" width="5" customWidth="1" min="55" max="55"/>
    <col outlineLevel="1" width="5" customWidth="1" min="56" max="56"/>
    <col width="14.14" customWidth="1" min="57" max="57"/>
    <col outlineLevel="1" width="5" customWidth="1" min="58" max="58"/>
    <col outlineLevel="1" width="5" customWidth="1" min="59" max="59"/>
    <col outlineLevel="1" width="5" customWidth="1" min="60" max="60"/>
    <col outlineLevel="1" width="5" customWidth="1" min="61" max="61"/>
    <col outlineLevel="1" width="5" customWidth="1" min="62" max="62"/>
    <col outlineLevel="1" width="5" customWidth="1" min="63" max="63"/>
    <col outlineLevel="1" width="5" customWidth="1" min="64" max="64"/>
    <col outlineLevel="1" width="5" customWidth="1" min="65" max="65"/>
    <col outlineLevel="1" width="5" customWidth="1" min="66" max="66"/>
    <col outlineLevel="1" width="5" customWidth="1" min="67" max="67"/>
    <col outlineLevel="1" width="5" customWidth="1" min="68" max="68"/>
    <col outlineLevel="1" width="5" customWidth="1" min="69" max="69"/>
    <col outlineLevel="1" width="5" customWidth="1" min="70" max="70"/>
    <col outlineLevel="1" width="5" customWidth="1" min="71" max="71"/>
    <col outlineLevel="1" width="5" customWidth="1" min="72" max="72"/>
    <col outlineLevel="1" width="5" customWidth="1" min="73" max="73"/>
    <col width="14.14" customWidth="1" min="74" max="74"/>
    <col outlineLevel="1" width="5" customWidth="1" min="75" max="75"/>
    <col outlineLevel="1" width="5" customWidth="1" min="76" max="76"/>
    <col outlineLevel="1" width="5" customWidth="1" min="77" max="77"/>
    <col outlineLevel="1" width="5" customWidth="1" min="78" max="78"/>
    <col outlineLevel="1" width="5" customWidth="1" min="79" max="79"/>
    <col outlineLevel="1" width="5" customWidth="1" min="80" max="80"/>
    <col outlineLevel="1" width="5" customWidth="1" min="81" max="81"/>
    <col outlineLevel="1" width="5" customWidth="1" min="82" max="82"/>
    <col outlineLevel="1" width="5" customWidth="1" min="83" max="83"/>
    <col outlineLevel="1" width="5" customWidth="1" min="84" max="84"/>
    <col outlineLevel="1" width="5" customWidth="1" min="85" max="85"/>
    <col outlineLevel="1" width="5" customWidth="1" min="86" max="86"/>
    <col outlineLevel="1" width="5" customWidth="1" min="87" max="87"/>
    <col outlineLevel="1" width="5" customWidth="1" min="88" max="88"/>
    <col outlineLevel="1" width="5" customWidth="1" min="89" max="89"/>
    <col outlineLevel="1" width="5" customWidth="1" min="90" max="90"/>
    <col width="14.14" customWidth="1" min="91" max="91"/>
    <col outlineLevel="1" width="5" customWidth="1" min="92" max="92"/>
    <col outlineLevel="1" width="5" customWidth="1" min="93" max="93"/>
    <col outlineLevel="1" width="5" customWidth="1" min="94" max="94"/>
    <col outlineLevel="1" width="5" customWidth="1" min="95" max="95"/>
    <col outlineLevel="1" width="5" customWidth="1" min="96" max="96"/>
    <col outlineLevel="1" width="5" customWidth="1" min="97" max="97"/>
    <col outlineLevel="1" width="5" customWidth="1" min="98" max="98"/>
    <col outlineLevel="1" width="5" customWidth="1" min="99" max="99"/>
    <col outlineLevel="1" width="5" customWidth="1" min="100" max="100"/>
    <col outlineLevel="1" width="5" customWidth="1" min="101" max="101"/>
    <col outlineLevel="1" width="5" customWidth="1" min="102" max="102"/>
    <col outlineLevel="1" width="5" customWidth="1" min="103" max="103"/>
    <col outlineLevel="1" width="5" customWidth="1" min="104" max="104"/>
    <col outlineLevel="1" width="5" customWidth="1" min="105" max="105"/>
    <col outlineLevel="1" width="5" customWidth="1" min="106" max="106"/>
    <col outlineLevel="1" width="5" customWidth="1" min="107" max="107"/>
    <col width="14.14" customWidth="1" min="108" max="108"/>
    <col outlineLevel="1" width="5" customWidth="1" min="109" max="109"/>
    <col outlineLevel="1" width="5" customWidth="1" min="110" max="110"/>
    <col outlineLevel="1" width="5" customWidth="1" min="111" max="111"/>
    <col outlineLevel="1" width="5" customWidth="1" min="112" max="112"/>
    <col outlineLevel="1" width="5" customWidth="1" min="113" max="113"/>
    <col outlineLevel="1" width="5" customWidth="1" min="114" max="114"/>
    <col outlineLevel="1" width="5" customWidth="1" min="115" max="115"/>
    <col outlineLevel="1" width="5" customWidth="1" min="116" max="116"/>
    <col outlineLevel="1" width="5" customWidth="1" min="117" max="117"/>
    <col outlineLevel="1" width="5" customWidth="1" min="118" max="118"/>
    <col outlineLevel="1" width="5" customWidth="1" min="119" max="119"/>
    <col outlineLevel="1" width="5" customWidth="1" min="120" max="120"/>
    <col outlineLevel="1" width="5" customWidth="1" min="121" max="121"/>
    <col outlineLevel="1" width="5" customWidth="1" min="122" max="122"/>
    <col outlineLevel="1" width="5" customWidth="1" min="123" max="123"/>
    <col outlineLevel="1" width="5" customWidth="1" min="124" max="124"/>
    <col width="14.14" customWidth="1" min="125" max="125"/>
    <col outlineLevel="1" width="5" customWidth="1" min="126" max="126"/>
    <col outlineLevel="1" width="5" customWidth="1" min="127" max="127"/>
    <col outlineLevel="1" width="5" customWidth="1" min="128" max="128"/>
    <col outlineLevel="1" width="5" customWidth="1" min="129" max="129"/>
    <col outlineLevel="1" width="5" customWidth="1" min="130" max="130"/>
    <col outlineLevel="1" width="5" customWidth="1" min="131" max="131"/>
    <col outlineLevel="1" width="5" customWidth="1" min="132" max="132"/>
    <col outlineLevel="1" width="5" customWidth="1" min="133" max="133"/>
    <col outlineLevel="1" width="5" customWidth="1" min="134" max="134"/>
    <col outlineLevel="1" width="5" customWidth="1" min="135" max="135"/>
    <col outlineLevel="1" width="5" customWidth="1" min="136" max="136"/>
    <col outlineLevel="1" width="5" customWidth="1" min="137" max="137"/>
    <col outlineLevel="1" width="5" customWidth="1" min="138" max="138"/>
    <col outlineLevel="1" width="5" customWidth="1" min="139" max="139"/>
    <col outlineLevel="1" width="5" customWidth="1" min="140" max="140"/>
    <col outlineLevel="1" width="5" customWidth="1" min="141" max="141"/>
    <col width="14.14" customWidth="1" min="142" max="142"/>
    <col outlineLevel="1" width="5" customWidth="1" min="143" max="143"/>
    <col outlineLevel="1" width="5" customWidth="1" min="144" max="144"/>
    <col outlineLevel="1" width="5" customWidth="1" min="145" max="145"/>
    <col outlineLevel="1" width="5" customWidth="1" min="146" max="146"/>
    <col outlineLevel="1" width="5" customWidth="1" min="147" max="147"/>
    <col outlineLevel="1" width="5" customWidth="1" min="148" max="148"/>
    <col outlineLevel="1" width="5" customWidth="1" min="149" max="149"/>
    <col outlineLevel="1" width="5" customWidth="1" min="150" max="150"/>
    <col outlineLevel="1" width="5" customWidth="1" min="151" max="151"/>
    <col outlineLevel="1" width="5" customWidth="1" min="152" max="152"/>
    <col outlineLevel="1" width="5" customWidth="1" min="153" max="153"/>
    <col outlineLevel="1" width="5" customWidth="1" min="154" max="154"/>
    <col outlineLevel="1" width="5" customWidth="1" min="155" max="155"/>
    <col outlineLevel="1" width="5" customWidth="1" min="156" max="156"/>
    <col outlineLevel="1" width="5" customWidth="1" min="157" max="157"/>
    <col outlineLevel="1" width="5" customWidth="1" min="158" max="158"/>
    <col width="14.14" customWidth="1" min="159" max="159"/>
    <col outlineLevel="1" width="5" customWidth="1" min="160" max="160"/>
    <col outlineLevel="1" width="5" customWidth="1" min="161" max="161"/>
    <col outlineLevel="1" width="5" customWidth="1" min="162" max="162"/>
    <col outlineLevel="1" width="5" customWidth="1" min="163" max="163"/>
    <col outlineLevel="1" width="5" customWidth="1" min="164" max="164"/>
    <col outlineLevel="1" width="5" customWidth="1" min="165" max="165"/>
    <col outlineLevel="1" width="5" customWidth="1" min="166" max="166"/>
    <col outlineLevel="1" width="5" customWidth="1" min="167" max="167"/>
    <col outlineLevel="1" width="5" customWidth="1" min="168" max="168"/>
    <col outlineLevel="1" width="5" customWidth="1" min="169" max="169"/>
    <col outlineLevel="1" width="5" customWidth="1" min="170" max="170"/>
    <col outlineLevel="1" width="5" customWidth="1" min="171" max="171"/>
    <col outlineLevel="1" width="5" customWidth="1" min="172" max="172"/>
    <col outlineLevel="1" width="5" customWidth="1" min="173" max="173"/>
    <col outlineLevel="1" width="5" customWidth="1" min="174" max="174"/>
    <col outlineLevel="1" width="5" customWidth="1" min="175" max="175"/>
    <col width="14.14" customWidth="1" min="176" max="176"/>
    <col outlineLevel="1" width="5" customWidth="1" min="177" max="177"/>
    <col outlineLevel="1" width="5" customWidth="1" min="178" max="178"/>
    <col outlineLevel="1" width="5" customWidth="1" min="179" max="179"/>
    <col outlineLevel="1" width="5" customWidth="1" min="180" max="180"/>
    <col outlineLevel="1" width="5" customWidth="1" min="181" max="181"/>
    <col outlineLevel="1" width="5" customWidth="1" min="182" max="182"/>
    <col outlineLevel="1" width="5" customWidth="1" min="183" max="183"/>
    <col outlineLevel="1" width="5" customWidth="1" min="184" max="184"/>
    <col outlineLevel="1" width="5" customWidth="1" min="185" max="185"/>
    <col outlineLevel="1" width="5" customWidth="1" min="186" max="186"/>
    <col outlineLevel="1" width="5" customWidth="1" min="187" max="187"/>
    <col outlineLevel="1" width="5" customWidth="1" min="188" max="188"/>
    <col outlineLevel="1" width="5" customWidth="1" min="189" max="189"/>
    <col outlineLevel="1" width="5" customWidth="1" min="190" max="190"/>
    <col outlineLevel="1" width="5" customWidth="1" min="191" max="191"/>
    <col outlineLevel="1" width="5" customWidth="1" min="192" max="192"/>
    <col width="14.14" customWidth="1" min="193" max="193"/>
    <col outlineLevel="1" width="5" customWidth="1" min="194" max="194"/>
    <col outlineLevel="1" width="5" customWidth="1" min="195" max="195"/>
    <col outlineLevel="1" width="5" customWidth="1" min="196" max="196"/>
    <col outlineLevel="1" width="5" customWidth="1" min="197" max="197"/>
    <col outlineLevel="1" width="5" customWidth="1" min="198" max="198"/>
    <col outlineLevel="1" width="5" customWidth="1" min="199" max="199"/>
    <col outlineLevel="1" width="5" customWidth="1" min="200" max="200"/>
    <col outlineLevel="1" width="5" customWidth="1" min="201" max="201"/>
    <col outlineLevel="1" width="5" customWidth="1" min="202" max="202"/>
    <col outlineLevel="1" width="5" customWidth="1" min="203" max="203"/>
    <col outlineLevel="1" width="5" customWidth="1" min="204" max="204"/>
    <col outlineLevel="1" width="5" customWidth="1" min="205" max="205"/>
    <col outlineLevel="1" width="5" customWidth="1" min="206" max="206"/>
    <col outlineLevel="1" width="5" customWidth="1" min="207" max="207"/>
    <col outlineLevel="1" width="5" customWidth="1" min="208" max="208"/>
    <col outlineLevel="1" width="5" customWidth="1" min="209" max="209"/>
    <col width="14.14" customWidth="1" min="210" max="210"/>
    <col hidden="1" width="7.86" customWidth="1" min="211" max="211"/>
    <col hidden="1" width="7.86" customWidth="1" min="212" max="212"/>
    <col hidden="1" width="7.86" customWidth="1" min="213" max="213"/>
    <col hidden="1" width="7.86" customWidth="1" min="214" max="214"/>
    <col hidden="1" width="7.86" customWidth="1" min="215" max="215"/>
  </cols>
  <sheetData>
    <row r="1" ht="24" customHeight="1">
      <c r="A1" s="40" t="inlineStr">
        <is>
          <t>مجموعة 7</t>
        </is>
      </c>
      <c r="B1" s="4" t="n"/>
      <c r="C1" s="41" t="str">
        <f>"عدد الطلاب: "&amp;$HE$1&amp;CHAR(10)&amp;"الغياب والواجب الناقص: في آخر 8 حصص"</f>
        <v>عدد الطلاب: 0
الغياب والواجب الناقص: في آخر 8 حصص</v>
      </c>
      <c r="D1" s="42" t="n"/>
      <c r="E1" s="42" t="n"/>
      <c r="F1" s="43" t="n"/>
      <c r="G1" s="44" t="inlineStr">
        <is>
          <t>الشهر 1</t>
        </is>
      </c>
      <c r="H1" s="13" t="n"/>
      <c r="I1" s="13" t="n"/>
      <c r="J1" s="13" t="n"/>
      <c r="K1" s="13" t="n"/>
      <c r="L1" s="13" t="n"/>
      <c r="M1" s="13" t="n"/>
      <c r="N1" s="13" t="n"/>
      <c r="O1" s="13" t="n"/>
      <c r="P1" s="13" t="n"/>
      <c r="Q1" s="13" t="n"/>
      <c r="R1" s="13" t="n"/>
      <c r="S1" s="13" t="n"/>
      <c r="T1" s="13" t="n"/>
      <c r="U1" s="13" t="n"/>
      <c r="V1" s="13" t="n"/>
      <c r="W1" s="4" t="n"/>
      <c r="X1" s="45" t="inlineStr">
        <is>
          <t>الشهر 2</t>
        </is>
      </c>
      <c r="Y1" s="13" t="n"/>
      <c r="Z1" s="13" t="n"/>
      <c r="AA1" s="13" t="n"/>
      <c r="AB1" s="13" t="n"/>
      <c r="AC1" s="13" t="n"/>
      <c r="AD1" s="13" t="n"/>
      <c r="AE1" s="13" t="n"/>
      <c r="AF1" s="13" t="n"/>
      <c r="AG1" s="13" t="n"/>
      <c r="AH1" s="13" t="n"/>
      <c r="AI1" s="13" t="n"/>
      <c r="AJ1" s="13" t="n"/>
      <c r="AK1" s="13" t="n"/>
      <c r="AL1" s="13" t="n"/>
      <c r="AM1" s="13" t="n"/>
      <c r="AN1" s="4" t="n"/>
      <c r="AO1" s="46" t="inlineStr">
        <is>
          <t>الشهر 3</t>
        </is>
      </c>
      <c r="AP1" s="13" t="n"/>
      <c r="AQ1" s="13" t="n"/>
      <c r="AR1" s="13" t="n"/>
      <c r="AS1" s="13" t="n"/>
      <c r="AT1" s="13" t="n"/>
      <c r="AU1" s="13" t="n"/>
      <c r="AV1" s="13" t="n"/>
      <c r="AW1" s="13" t="n"/>
      <c r="AX1" s="13" t="n"/>
      <c r="AY1" s="13" t="n"/>
      <c r="AZ1" s="13" t="n"/>
      <c r="BA1" s="13" t="n"/>
      <c r="BB1" s="13" t="n"/>
      <c r="BC1" s="13" t="n"/>
      <c r="BD1" s="13" t="n"/>
      <c r="BE1" s="4" t="n"/>
      <c r="BF1" s="47" t="inlineStr">
        <is>
          <t>الشهر 4</t>
        </is>
      </c>
      <c r="BG1" s="13" t="n"/>
      <c r="BH1" s="13" t="n"/>
      <c r="BI1" s="13" t="n"/>
      <c r="BJ1" s="13" t="n"/>
      <c r="BK1" s="13" t="n"/>
      <c r="BL1" s="13" t="n"/>
      <c r="BM1" s="13" t="n"/>
      <c r="BN1" s="13" t="n"/>
      <c r="BO1" s="13" t="n"/>
      <c r="BP1" s="13" t="n"/>
      <c r="BQ1" s="13" t="n"/>
      <c r="BR1" s="13" t="n"/>
      <c r="BS1" s="13" t="n"/>
      <c r="BT1" s="13" t="n"/>
      <c r="BU1" s="13" t="n"/>
      <c r="BV1" s="4" t="n"/>
      <c r="BW1" s="48" t="inlineStr">
        <is>
          <t>الشهر 5</t>
        </is>
      </c>
      <c r="BX1" s="13" t="n"/>
      <c r="BY1" s="13" t="n"/>
      <c r="BZ1" s="13" t="n"/>
      <c r="CA1" s="13" t="n"/>
      <c r="CB1" s="13" t="n"/>
      <c r="CC1" s="13" t="n"/>
      <c r="CD1" s="13" t="n"/>
      <c r="CE1" s="13" t="n"/>
      <c r="CF1" s="13" t="n"/>
      <c r="CG1" s="13" t="n"/>
      <c r="CH1" s="13" t="n"/>
      <c r="CI1" s="13" t="n"/>
      <c r="CJ1" s="13" t="n"/>
      <c r="CK1" s="13" t="n"/>
      <c r="CL1" s="13" t="n"/>
      <c r="CM1" s="4" t="n"/>
      <c r="CN1" s="49" t="inlineStr">
        <is>
          <t>الشهر 6</t>
        </is>
      </c>
      <c r="CO1" s="13" t="n"/>
      <c r="CP1" s="13" t="n"/>
      <c r="CQ1" s="13" t="n"/>
      <c r="CR1" s="13" t="n"/>
      <c r="CS1" s="13" t="n"/>
      <c r="CT1" s="13" t="n"/>
      <c r="CU1" s="13" t="n"/>
      <c r="CV1" s="13" t="n"/>
      <c r="CW1" s="13" t="n"/>
      <c r="CX1" s="13" t="n"/>
      <c r="CY1" s="13" t="n"/>
      <c r="CZ1" s="13" t="n"/>
      <c r="DA1" s="13" t="n"/>
      <c r="DB1" s="13" t="n"/>
      <c r="DC1" s="13" t="n"/>
      <c r="DD1" s="4" t="n"/>
      <c r="DE1" s="50" t="inlineStr">
        <is>
          <t>الشهر 7</t>
        </is>
      </c>
      <c r="DF1" s="13" t="n"/>
      <c r="DG1" s="13" t="n"/>
      <c r="DH1" s="13" t="n"/>
      <c r="DI1" s="13" t="n"/>
      <c r="DJ1" s="13" t="n"/>
      <c r="DK1" s="13" t="n"/>
      <c r="DL1" s="13" t="n"/>
      <c r="DM1" s="13" t="n"/>
      <c r="DN1" s="13" t="n"/>
      <c r="DO1" s="13" t="n"/>
      <c r="DP1" s="13" t="n"/>
      <c r="DQ1" s="13" t="n"/>
      <c r="DR1" s="13" t="n"/>
      <c r="DS1" s="13" t="n"/>
      <c r="DT1" s="13" t="n"/>
      <c r="DU1" s="4" t="n"/>
      <c r="DV1" s="51" t="inlineStr">
        <is>
          <t>الشهر 8</t>
        </is>
      </c>
      <c r="DW1" s="13" t="n"/>
      <c r="DX1" s="13" t="n"/>
      <c r="DY1" s="13" t="n"/>
      <c r="DZ1" s="13" t="n"/>
      <c r="EA1" s="13" t="n"/>
      <c r="EB1" s="13" t="n"/>
      <c r="EC1" s="13" t="n"/>
      <c r="ED1" s="13" t="n"/>
      <c r="EE1" s="13" t="n"/>
      <c r="EF1" s="13" t="n"/>
      <c r="EG1" s="13" t="n"/>
      <c r="EH1" s="13" t="n"/>
      <c r="EI1" s="13" t="n"/>
      <c r="EJ1" s="13" t="n"/>
      <c r="EK1" s="13" t="n"/>
      <c r="EL1" s="4" t="n"/>
      <c r="EM1" s="52" t="inlineStr">
        <is>
          <t>الشهر 9</t>
        </is>
      </c>
      <c r="EN1" s="13" t="n"/>
      <c r="EO1" s="13" t="n"/>
      <c r="EP1" s="13" t="n"/>
      <c r="EQ1" s="13" t="n"/>
      <c r="ER1" s="13" t="n"/>
      <c r="ES1" s="13" t="n"/>
      <c r="ET1" s="13" t="n"/>
      <c r="EU1" s="13" t="n"/>
      <c r="EV1" s="13" t="n"/>
      <c r="EW1" s="13" t="n"/>
      <c r="EX1" s="13" t="n"/>
      <c r="EY1" s="13" t="n"/>
      <c r="EZ1" s="13" t="n"/>
      <c r="FA1" s="13" t="n"/>
      <c r="FB1" s="13" t="n"/>
      <c r="FC1" s="4" t="n"/>
      <c r="FD1" s="53" t="inlineStr">
        <is>
          <t>الشهر 10</t>
        </is>
      </c>
      <c r="FE1" s="13" t="n"/>
      <c r="FF1" s="13" t="n"/>
      <c r="FG1" s="13" t="n"/>
      <c r="FH1" s="13" t="n"/>
      <c r="FI1" s="13" t="n"/>
      <c r="FJ1" s="13" t="n"/>
      <c r="FK1" s="13" t="n"/>
      <c r="FL1" s="13" t="n"/>
      <c r="FM1" s="13" t="n"/>
      <c r="FN1" s="13" t="n"/>
      <c r="FO1" s="13" t="n"/>
      <c r="FP1" s="13" t="n"/>
      <c r="FQ1" s="13" t="n"/>
      <c r="FR1" s="13" t="n"/>
      <c r="FS1" s="13" t="n"/>
      <c r="FT1" s="4" t="n"/>
      <c r="FU1" s="54" t="inlineStr">
        <is>
          <t>الشهر 11</t>
        </is>
      </c>
      <c r="FV1" s="13" t="n"/>
      <c r="FW1" s="13" t="n"/>
      <c r="FX1" s="13" t="n"/>
      <c r="FY1" s="13" t="n"/>
      <c r="FZ1" s="13" t="n"/>
      <c r="GA1" s="13" t="n"/>
      <c r="GB1" s="13" t="n"/>
      <c r="GC1" s="13" t="n"/>
      <c r="GD1" s="13" t="n"/>
      <c r="GE1" s="13" t="n"/>
      <c r="GF1" s="13" t="n"/>
      <c r="GG1" s="13" t="n"/>
      <c r="GH1" s="13" t="n"/>
      <c r="GI1" s="13" t="n"/>
      <c r="GJ1" s="13" t="n"/>
      <c r="GK1" s="4" t="n"/>
      <c r="GL1" s="55" t="inlineStr">
        <is>
          <t>الشهر 12</t>
        </is>
      </c>
      <c r="GM1" s="13" t="n"/>
      <c r="GN1" s="13" t="n"/>
      <c r="GO1" s="13" t="n"/>
      <c r="GP1" s="13" t="n"/>
      <c r="GQ1" s="13" t="n"/>
      <c r="GR1" s="13" t="n"/>
      <c r="GS1" s="13" t="n"/>
      <c r="GT1" s="13" t="n"/>
      <c r="GU1" s="13" t="n"/>
      <c r="GV1" s="13" t="n"/>
      <c r="GW1" s="13" t="n"/>
      <c r="GX1" s="13" t="n"/>
      <c r="GY1" s="13" t="n"/>
      <c r="GZ1" s="13" t="n"/>
      <c r="HA1" s="13" t="n"/>
      <c r="HB1" s="4" t="n"/>
      <c r="HC1">
        <f>SUMPRODUCT(MAX(($G$4:$HB$4="ح")*($G$20:$HB$20&gt;0)*$G$47:$HB$47))</f>
        <v>0</v>
      </c>
      <c r="HD1">
        <f>IF(OR($F$27="",$F$27="الكل"),1,IFERROR(MATCH($F$27,'حسابات'!$F$2:$F$14,0)-1,1))</f>
        <v>1</v>
      </c>
      <c r="HE1">
        <f>SUMPRODUCT(--($B$5:$B$19&lt;&gt;""))</f>
        <v>0</v>
      </c>
      <c r="HF1" t="str">
        <f>IF($HE$3=0,"",8-$HE$3)</f>
        <v/>
      </c>
      <c r="HG1">
        <f>'الرئيسية'!$H$27</f>
        <v>2</v>
      </c>
    </row>
    <row r="2" ht="16.5" customHeight="1">
      <c r="A2" s="56" t="str">
        <f>IF($HC$1=0,"لسه ما بدأتش",IF(INDEX($G$1:$HB$1,1,17*($HC$2-1)+1)="","شهر "&amp;$HC$2,INDEX($G$1:$HB$1,1,17*($HC$2-1)+1))&amp;" · حصة "&amp;$HC$3&amp;" من 8")</f>
        <v>لسه ما بدأتش</v>
      </c>
      <c r="B2" s="43" t="n"/>
      <c r="C2" s="57" t="n"/>
      <c r="F2" s="58" t="n"/>
      <c r="G2" s="59" t="inlineStr">
        <is>
          <t>حصة 1</t>
        </is>
      </c>
      <c r="H2" s="4" t="n"/>
      <c r="I2" s="59" t="inlineStr">
        <is>
          <t>حصة 2</t>
        </is>
      </c>
      <c r="J2" s="4" t="n"/>
      <c r="K2" s="59" t="inlineStr">
        <is>
          <t>حصة 3</t>
        </is>
      </c>
      <c r="L2" s="4" t="n"/>
      <c r="M2" s="59" t="inlineStr">
        <is>
          <t>حصة 4</t>
        </is>
      </c>
      <c r="N2" s="4" t="n"/>
      <c r="O2" s="59" t="inlineStr">
        <is>
          <t>حصة 5</t>
        </is>
      </c>
      <c r="P2" s="4" t="n"/>
      <c r="Q2" s="59" t="inlineStr">
        <is>
          <t>حصة 6</t>
        </is>
      </c>
      <c r="R2" s="4" t="n"/>
      <c r="S2" s="59" t="inlineStr">
        <is>
          <t>حصة 7</t>
        </is>
      </c>
      <c r="T2" s="4" t="n"/>
      <c r="U2" s="59" t="inlineStr">
        <is>
          <t>حصة 8</t>
        </is>
      </c>
      <c r="V2" s="4" t="n"/>
      <c r="W2" s="59" t="inlineStr">
        <is>
          <t>المصاريف</t>
        </is>
      </c>
      <c r="X2" s="60" t="inlineStr">
        <is>
          <t>حصة 1</t>
        </is>
      </c>
      <c r="Y2" s="4" t="n"/>
      <c r="Z2" s="60" t="inlineStr">
        <is>
          <t>حصة 2</t>
        </is>
      </c>
      <c r="AA2" s="4" t="n"/>
      <c r="AB2" s="60" t="inlineStr">
        <is>
          <t>حصة 3</t>
        </is>
      </c>
      <c r="AC2" s="4" t="n"/>
      <c r="AD2" s="60" t="inlineStr">
        <is>
          <t>حصة 4</t>
        </is>
      </c>
      <c r="AE2" s="4" t="n"/>
      <c r="AF2" s="60" t="inlineStr">
        <is>
          <t>حصة 5</t>
        </is>
      </c>
      <c r="AG2" s="4" t="n"/>
      <c r="AH2" s="60" t="inlineStr">
        <is>
          <t>حصة 6</t>
        </is>
      </c>
      <c r="AI2" s="4" t="n"/>
      <c r="AJ2" s="60" t="inlineStr">
        <is>
          <t>حصة 7</t>
        </is>
      </c>
      <c r="AK2" s="4" t="n"/>
      <c r="AL2" s="60" t="inlineStr">
        <is>
          <t>حصة 8</t>
        </is>
      </c>
      <c r="AM2" s="4" t="n"/>
      <c r="AN2" s="60" t="inlineStr">
        <is>
          <t>المصاريف</t>
        </is>
      </c>
      <c r="AO2" s="61" t="inlineStr">
        <is>
          <t>حصة 1</t>
        </is>
      </c>
      <c r="AP2" s="4" t="n"/>
      <c r="AQ2" s="61" t="inlineStr">
        <is>
          <t>حصة 2</t>
        </is>
      </c>
      <c r="AR2" s="4" t="n"/>
      <c r="AS2" s="61" t="inlineStr">
        <is>
          <t>حصة 3</t>
        </is>
      </c>
      <c r="AT2" s="4" t="n"/>
      <c r="AU2" s="61" t="inlineStr">
        <is>
          <t>حصة 4</t>
        </is>
      </c>
      <c r="AV2" s="4" t="n"/>
      <c r="AW2" s="61" t="inlineStr">
        <is>
          <t>حصة 5</t>
        </is>
      </c>
      <c r="AX2" s="4" t="n"/>
      <c r="AY2" s="61" t="inlineStr">
        <is>
          <t>حصة 6</t>
        </is>
      </c>
      <c r="AZ2" s="4" t="n"/>
      <c r="BA2" s="61" t="inlineStr">
        <is>
          <t>حصة 7</t>
        </is>
      </c>
      <c r="BB2" s="4" t="n"/>
      <c r="BC2" s="61" t="inlineStr">
        <is>
          <t>حصة 8</t>
        </is>
      </c>
      <c r="BD2" s="4" t="n"/>
      <c r="BE2" s="61" t="inlineStr">
        <is>
          <t>المصاريف</t>
        </is>
      </c>
      <c r="BF2" s="62" t="inlineStr">
        <is>
          <t>حصة 1</t>
        </is>
      </c>
      <c r="BG2" s="4" t="n"/>
      <c r="BH2" s="62" t="inlineStr">
        <is>
          <t>حصة 2</t>
        </is>
      </c>
      <c r="BI2" s="4" t="n"/>
      <c r="BJ2" s="62" t="inlineStr">
        <is>
          <t>حصة 3</t>
        </is>
      </c>
      <c r="BK2" s="4" t="n"/>
      <c r="BL2" s="62" t="inlineStr">
        <is>
          <t>حصة 4</t>
        </is>
      </c>
      <c r="BM2" s="4" t="n"/>
      <c r="BN2" s="62" t="inlineStr">
        <is>
          <t>حصة 5</t>
        </is>
      </c>
      <c r="BO2" s="4" t="n"/>
      <c r="BP2" s="62" t="inlineStr">
        <is>
          <t>حصة 6</t>
        </is>
      </c>
      <c r="BQ2" s="4" t="n"/>
      <c r="BR2" s="62" t="inlineStr">
        <is>
          <t>حصة 7</t>
        </is>
      </c>
      <c r="BS2" s="4" t="n"/>
      <c r="BT2" s="62" t="inlineStr">
        <is>
          <t>حصة 8</t>
        </is>
      </c>
      <c r="BU2" s="4" t="n"/>
      <c r="BV2" s="62" t="inlineStr">
        <is>
          <t>المصاريف</t>
        </is>
      </c>
      <c r="BW2" s="63" t="inlineStr">
        <is>
          <t>حصة 1</t>
        </is>
      </c>
      <c r="BX2" s="4" t="n"/>
      <c r="BY2" s="63" t="inlineStr">
        <is>
          <t>حصة 2</t>
        </is>
      </c>
      <c r="BZ2" s="4" t="n"/>
      <c r="CA2" s="63" t="inlineStr">
        <is>
          <t>حصة 3</t>
        </is>
      </c>
      <c r="CB2" s="4" t="n"/>
      <c r="CC2" s="63" t="inlineStr">
        <is>
          <t>حصة 4</t>
        </is>
      </c>
      <c r="CD2" s="4" t="n"/>
      <c r="CE2" s="63" t="inlineStr">
        <is>
          <t>حصة 5</t>
        </is>
      </c>
      <c r="CF2" s="4" t="n"/>
      <c r="CG2" s="63" t="inlineStr">
        <is>
          <t>حصة 6</t>
        </is>
      </c>
      <c r="CH2" s="4" t="n"/>
      <c r="CI2" s="63" t="inlineStr">
        <is>
          <t>حصة 7</t>
        </is>
      </c>
      <c r="CJ2" s="4" t="n"/>
      <c r="CK2" s="63" t="inlineStr">
        <is>
          <t>حصة 8</t>
        </is>
      </c>
      <c r="CL2" s="4" t="n"/>
      <c r="CM2" s="63" t="inlineStr">
        <is>
          <t>المصاريف</t>
        </is>
      </c>
      <c r="CN2" s="64" t="inlineStr">
        <is>
          <t>حصة 1</t>
        </is>
      </c>
      <c r="CO2" s="4" t="n"/>
      <c r="CP2" s="64" t="inlineStr">
        <is>
          <t>حصة 2</t>
        </is>
      </c>
      <c r="CQ2" s="4" t="n"/>
      <c r="CR2" s="64" t="inlineStr">
        <is>
          <t>حصة 3</t>
        </is>
      </c>
      <c r="CS2" s="4" t="n"/>
      <c r="CT2" s="64" t="inlineStr">
        <is>
          <t>حصة 4</t>
        </is>
      </c>
      <c r="CU2" s="4" t="n"/>
      <c r="CV2" s="64" t="inlineStr">
        <is>
          <t>حصة 5</t>
        </is>
      </c>
      <c r="CW2" s="4" t="n"/>
      <c r="CX2" s="64" t="inlineStr">
        <is>
          <t>حصة 6</t>
        </is>
      </c>
      <c r="CY2" s="4" t="n"/>
      <c r="CZ2" s="64" t="inlineStr">
        <is>
          <t>حصة 7</t>
        </is>
      </c>
      <c r="DA2" s="4" t="n"/>
      <c r="DB2" s="64" t="inlineStr">
        <is>
          <t>حصة 8</t>
        </is>
      </c>
      <c r="DC2" s="4" t="n"/>
      <c r="DD2" s="64" t="inlineStr">
        <is>
          <t>المصاريف</t>
        </is>
      </c>
      <c r="DE2" s="65" t="inlineStr">
        <is>
          <t>حصة 1</t>
        </is>
      </c>
      <c r="DF2" s="4" t="n"/>
      <c r="DG2" s="65" t="inlineStr">
        <is>
          <t>حصة 2</t>
        </is>
      </c>
      <c r="DH2" s="4" t="n"/>
      <c r="DI2" s="65" t="inlineStr">
        <is>
          <t>حصة 3</t>
        </is>
      </c>
      <c r="DJ2" s="4" t="n"/>
      <c r="DK2" s="65" t="inlineStr">
        <is>
          <t>حصة 4</t>
        </is>
      </c>
      <c r="DL2" s="4" t="n"/>
      <c r="DM2" s="65" t="inlineStr">
        <is>
          <t>حصة 5</t>
        </is>
      </c>
      <c r="DN2" s="4" t="n"/>
      <c r="DO2" s="65" t="inlineStr">
        <is>
          <t>حصة 6</t>
        </is>
      </c>
      <c r="DP2" s="4" t="n"/>
      <c r="DQ2" s="65" t="inlineStr">
        <is>
          <t>حصة 7</t>
        </is>
      </c>
      <c r="DR2" s="4" t="n"/>
      <c r="DS2" s="65" t="inlineStr">
        <is>
          <t>حصة 8</t>
        </is>
      </c>
      <c r="DT2" s="4" t="n"/>
      <c r="DU2" s="65" t="inlineStr">
        <is>
          <t>المصاريف</t>
        </is>
      </c>
      <c r="DV2" s="66" t="inlineStr">
        <is>
          <t>حصة 1</t>
        </is>
      </c>
      <c r="DW2" s="4" t="n"/>
      <c r="DX2" s="66" t="inlineStr">
        <is>
          <t>حصة 2</t>
        </is>
      </c>
      <c r="DY2" s="4" t="n"/>
      <c r="DZ2" s="66" t="inlineStr">
        <is>
          <t>حصة 3</t>
        </is>
      </c>
      <c r="EA2" s="4" t="n"/>
      <c r="EB2" s="66" t="inlineStr">
        <is>
          <t>حصة 4</t>
        </is>
      </c>
      <c r="EC2" s="4" t="n"/>
      <c r="ED2" s="66" t="inlineStr">
        <is>
          <t>حصة 5</t>
        </is>
      </c>
      <c r="EE2" s="4" t="n"/>
      <c r="EF2" s="66" t="inlineStr">
        <is>
          <t>حصة 6</t>
        </is>
      </c>
      <c r="EG2" s="4" t="n"/>
      <c r="EH2" s="66" t="inlineStr">
        <is>
          <t>حصة 7</t>
        </is>
      </c>
      <c r="EI2" s="4" t="n"/>
      <c r="EJ2" s="66" t="inlineStr">
        <is>
          <t>حصة 8</t>
        </is>
      </c>
      <c r="EK2" s="4" t="n"/>
      <c r="EL2" s="66" t="inlineStr">
        <is>
          <t>المصاريف</t>
        </is>
      </c>
      <c r="EM2" s="67" t="inlineStr">
        <is>
          <t>حصة 1</t>
        </is>
      </c>
      <c r="EN2" s="4" t="n"/>
      <c r="EO2" s="67" t="inlineStr">
        <is>
          <t>حصة 2</t>
        </is>
      </c>
      <c r="EP2" s="4" t="n"/>
      <c r="EQ2" s="67" t="inlineStr">
        <is>
          <t>حصة 3</t>
        </is>
      </c>
      <c r="ER2" s="4" t="n"/>
      <c r="ES2" s="67" t="inlineStr">
        <is>
          <t>حصة 4</t>
        </is>
      </c>
      <c r="ET2" s="4" t="n"/>
      <c r="EU2" s="67" t="inlineStr">
        <is>
          <t>حصة 5</t>
        </is>
      </c>
      <c r="EV2" s="4" t="n"/>
      <c r="EW2" s="67" t="inlineStr">
        <is>
          <t>حصة 6</t>
        </is>
      </c>
      <c r="EX2" s="4" t="n"/>
      <c r="EY2" s="67" t="inlineStr">
        <is>
          <t>حصة 7</t>
        </is>
      </c>
      <c r="EZ2" s="4" t="n"/>
      <c r="FA2" s="67" t="inlineStr">
        <is>
          <t>حصة 8</t>
        </is>
      </c>
      <c r="FB2" s="4" t="n"/>
      <c r="FC2" s="67" t="inlineStr">
        <is>
          <t>المصاريف</t>
        </is>
      </c>
      <c r="FD2" s="68" t="inlineStr">
        <is>
          <t>حصة 1</t>
        </is>
      </c>
      <c r="FE2" s="4" t="n"/>
      <c r="FF2" s="68" t="inlineStr">
        <is>
          <t>حصة 2</t>
        </is>
      </c>
      <c r="FG2" s="4" t="n"/>
      <c r="FH2" s="68" t="inlineStr">
        <is>
          <t>حصة 3</t>
        </is>
      </c>
      <c r="FI2" s="4" t="n"/>
      <c r="FJ2" s="68" t="inlineStr">
        <is>
          <t>حصة 4</t>
        </is>
      </c>
      <c r="FK2" s="4" t="n"/>
      <c r="FL2" s="68" t="inlineStr">
        <is>
          <t>حصة 5</t>
        </is>
      </c>
      <c r="FM2" s="4" t="n"/>
      <c r="FN2" s="68" t="inlineStr">
        <is>
          <t>حصة 6</t>
        </is>
      </c>
      <c r="FO2" s="4" t="n"/>
      <c r="FP2" s="68" t="inlineStr">
        <is>
          <t>حصة 7</t>
        </is>
      </c>
      <c r="FQ2" s="4" t="n"/>
      <c r="FR2" s="68" t="inlineStr">
        <is>
          <t>حصة 8</t>
        </is>
      </c>
      <c r="FS2" s="4" t="n"/>
      <c r="FT2" s="68" t="inlineStr">
        <is>
          <t>المصاريف</t>
        </is>
      </c>
      <c r="FU2" s="69" t="inlineStr">
        <is>
          <t>حصة 1</t>
        </is>
      </c>
      <c r="FV2" s="4" t="n"/>
      <c r="FW2" s="69" t="inlineStr">
        <is>
          <t>حصة 2</t>
        </is>
      </c>
      <c r="FX2" s="4" t="n"/>
      <c r="FY2" s="69" t="inlineStr">
        <is>
          <t>حصة 3</t>
        </is>
      </c>
      <c r="FZ2" s="4" t="n"/>
      <c r="GA2" s="69" t="inlineStr">
        <is>
          <t>حصة 4</t>
        </is>
      </c>
      <c r="GB2" s="4" t="n"/>
      <c r="GC2" s="69" t="inlineStr">
        <is>
          <t>حصة 5</t>
        </is>
      </c>
      <c r="GD2" s="4" t="n"/>
      <c r="GE2" s="69" t="inlineStr">
        <is>
          <t>حصة 6</t>
        </is>
      </c>
      <c r="GF2" s="4" t="n"/>
      <c r="GG2" s="69" t="inlineStr">
        <is>
          <t>حصة 7</t>
        </is>
      </c>
      <c r="GH2" s="4" t="n"/>
      <c r="GI2" s="69" t="inlineStr">
        <is>
          <t>حصة 8</t>
        </is>
      </c>
      <c r="GJ2" s="4" t="n"/>
      <c r="GK2" s="69" t="inlineStr">
        <is>
          <t>المصاريف</t>
        </is>
      </c>
      <c r="GL2" s="70" t="inlineStr">
        <is>
          <t>حصة 1</t>
        </is>
      </c>
      <c r="GM2" s="4" t="n"/>
      <c r="GN2" s="70" t="inlineStr">
        <is>
          <t>حصة 2</t>
        </is>
      </c>
      <c r="GO2" s="4" t="n"/>
      <c r="GP2" s="70" t="inlineStr">
        <is>
          <t>حصة 3</t>
        </is>
      </c>
      <c r="GQ2" s="4" t="n"/>
      <c r="GR2" s="70" t="inlineStr">
        <is>
          <t>حصة 4</t>
        </is>
      </c>
      <c r="GS2" s="4" t="n"/>
      <c r="GT2" s="70" t="inlineStr">
        <is>
          <t>حصة 5</t>
        </is>
      </c>
      <c r="GU2" s="4" t="n"/>
      <c r="GV2" s="70" t="inlineStr">
        <is>
          <t>حصة 6</t>
        </is>
      </c>
      <c r="GW2" s="4" t="n"/>
      <c r="GX2" s="70" t="inlineStr">
        <is>
          <t>حصة 7</t>
        </is>
      </c>
      <c r="GY2" s="4" t="n"/>
      <c r="GZ2" s="70" t="inlineStr">
        <is>
          <t>حصة 8</t>
        </is>
      </c>
      <c r="HA2" s="4" t="n"/>
      <c r="HB2" s="70" t="inlineStr">
        <is>
          <t>المصاريف</t>
        </is>
      </c>
      <c r="HC2">
        <f>IF($HC$1=0,1,INT(($HC$1-1)/8)+1)</f>
        <v>1</v>
      </c>
      <c r="HD2">
        <f>IF(OR($F$27="",$F$27="الكل"),12,$HD$1)</f>
        <v>12</v>
      </c>
      <c r="HE2">
        <f>IF(SUMPRODUCT(($G$3:$HB$3=TODAY())*($G$20:$HB$20&gt;0))&gt;0,1,0)</f>
        <v>0</v>
      </c>
      <c r="HF2" t="str">
        <f>IF($HF$1="","",TODAY()+$HF$1)</f>
        <v/>
      </c>
    </row>
    <row r="3" ht="19.5" customHeight="1">
      <c r="A3" s="71" t="n"/>
      <c r="B3" s="72" t="n"/>
      <c r="C3" s="71" t="n"/>
      <c r="D3" s="73" t="n"/>
      <c r="E3" s="73" t="n"/>
      <c r="F3" s="72" t="n"/>
      <c r="G3" s="74" t="n"/>
      <c r="H3" s="4" t="n"/>
      <c r="I3" s="74" t="n"/>
      <c r="J3" s="4" t="n"/>
      <c r="K3" s="74" t="n"/>
      <c r="L3" s="4" t="n"/>
      <c r="M3" s="74" t="n"/>
      <c r="N3" s="4" t="n"/>
      <c r="O3" s="74" t="n"/>
      <c r="P3" s="4" t="n"/>
      <c r="Q3" s="74" t="n"/>
      <c r="R3" s="4" t="n"/>
      <c r="S3" s="74" t="n"/>
      <c r="T3" s="4" t="n"/>
      <c r="U3" s="74" t="n"/>
      <c r="V3" s="4" t="n"/>
      <c r="W3" s="75" t="n"/>
      <c r="X3" s="74" t="n"/>
      <c r="Y3" s="4" t="n"/>
      <c r="Z3" s="74" t="n"/>
      <c r="AA3" s="4" t="n"/>
      <c r="AB3" s="74" t="n"/>
      <c r="AC3" s="4" t="n"/>
      <c r="AD3" s="74" t="n"/>
      <c r="AE3" s="4" t="n"/>
      <c r="AF3" s="74" t="n"/>
      <c r="AG3" s="4" t="n"/>
      <c r="AH3" s="74" t="n"/>
      <c r="AI3" s="4" t="n"/>
      <c r="AJ3" s="74" t="n"/>
      <c r="AK3" s="4" t="n"/>
      <c r="AL3" s="74" t="n"/>
      <c r="AM3" s="4" t="n"/>
      <c r="AN3" s="75" t="n"/>
      <c r="AO3" s="74" t="n"/>
      <c r="AP3" s="4" t="n"/>
      <c r="AQ3" s="74" t="n"/>
      <c r="AR3" s="4" t="n"/>
      <c r="AS3" s="74" t="n"/>
      <c r="AT3" s="4" t="n"/>
      <c r="AU3" s="74" t="n"/>
      <c r="AV3" s="4" t="n"/>
      <c r="AW3" s="74" t="n"/>
      <c r="AX3" s="4" t="n"/>
      <c r="AY3" s="74" t="n"/>
      <c r="AZ3" s="4" t="n"/>
      <c r="BA3" s="74" t="n"/>
      <c r="BB3" s="4" t="n"/>
      <c r="BC3" s="74" t="n"/>
      <c r="BD3" s="4" t="n"/>
      <c r="BE3" s="75" t="n"/>
      <c r="BF3" s="74" t="n"/>
      <c r="BG3" s="4" t="n"/>
      <c r="BH3" s="74" t="n"/>
      <c r="BI3" s="4" t="n"/>
      <c r="BJ3" s="74" t="n"/>
      <c r="BK3" s="4" t="n"/>
      <c r="BL3" s="74" t="n"/>
      <c r="BM3" s="4" t="n"/>
      <c r="BN3" s="74" t="n"/>
      <c r="BO3" s="4" t="n"/>
      <c r="BP3" s="74" t="n"/>
      <c r="BQ3" s="4" t="n"/>
      <c r="BR3" s="74" t="n"/>
      <c r="BS3" s="4" t="n"/>
      <c r="BT3" s="74" t="n"/>
      <c r="BU3" s="4" t="n"/>
      <c r="BV3" s="75" t="n"/>
      <c r="BW3" s="74" t="n"/>
      <c r="BX3" s="4" t="n"/>
      <c r="BY3" s="74" t="n"/>
      <c r="BZ3" s="4" t="n"/>
      <c r="CA3" s="74" t="n"/>
      <c r="CB3" s="4" t="n"/>
      <c r="CC3" s="74" t="n"/>
      <c r="CD3" s="4" t="n"/>
      <c r="CE3" s="74" t="n"/>
      <c r="CF3" s="4" t="n"/>
      <c r="CG3" s="74" t="n"/>
      <c r="CH3" s="4" t="n"/>
      <c r="CI3" s="74" t="n"/>
      <c r="CJ3" s="4" t="n"/>
      <c r="CK3" s="74" t="n"/>
      <c r="CL3" s="4" t="n"/>
      <c r="CM3" s="75" t="n"/>
      <c r="CN3" s="74" t="n"/>
      <c r="CO3" s="4" t="n"/>
      <c r="CP3" s="74" t="n"/>
      <c r="CQ3" s="4" t="n"/>
      <c r="CR3" s="74" t="n"/>
      <c r="CS3" s="4" t="n"/>
      <c r="CT3" s="74" t="n"/>
      <c r="CU3" s="4" t="n"/>
      <c r="CV3" s="74" t="n"/>
      <c r="CW3" s="4" t="n"/>
      <c r="CX3" s="74" t="n"/>
      <c r="CY3" s="4" t="n"/>
      <c r="CZ3" s="74" t="n"/>
      <c r="DA3" s="4" t="n"/>
      <c r="DB3" s="74" t="n"/>
      <c r="DC3" s="4" t="n"/>
      <c r="DD3" s="75" t="n"/>
      <c r="DE3" s="74" t="n"/>
      <c r="DF3" s="4" t="n"/>
      <c r="DG3" s="74" t="n"/>
      <c r="DH3" s="4" t="n"/>
      <c r="DI3" s="74" t="n"/>
      <c r="DJ3" s="4" t="n"/>
      <c r="DK3" s="74" t="n"/>
      <c r="DL3" s="4" t="n"/>
      <c r="DM3" s="74" t="n"/>
      <c r="DN3" s="4" t="n"/>
      <c r="DO3" s="74" t="n"/>
      <c r="DP3" s="4" t="n"/>
      <c r="DQ3" s="74" t="n"/>
      <c r="DR3" s="4" t="n"/>
      <c r="DS3" s="74" t="n"/>
      <c r="DT3" s="4" t="n"/>
      <c r="DU3" s="75" t="n"/>
      <c r="DV3" s="74" t="n"/>
      <c r="DW3" s="4" t="n"/>
      <c r="DX3" s="74" t="n"/>
      <c r="DY3" s="4" t="n"/>
      <c r="DZ3" s="74" t="n"/>
      <c r="EA3" s="4" t="n"/>
      <c r="EB3" s="74" t="n"/>
      <c r="EC3" s="4" t="n"/>
      <c r="ED3" s="74" t="n"/>
      <c r="EE3" s="4" t="n"/>
      <c r="EF3" s="74" t="n"/>
      <c r="EG3" s="4" t="n"/>
      <c r="EH3" s="74" t="n"/>
      <c r="EI3" s="4" t="n"/>
      <c r="EJ3" s="74" t="n"/>
      <c r="EK3" s="4" t="n"/>
      <c r="EL3" s="75" t="n"/>
      <c r="EM3" s="74" t="n"/>
      <c r="EN3" s="4" t="n"/>
      <c r="EO3" s="74" t="n"/>
      <c r="EP3" s="4" t="n"/>
      <c r="EQ3" s="74" t="n"/>
      <c r="ER3" s="4" t="n"/>
      <c r="ES3" s="74" t="n"/>
      <c r="ET3" s="4" t="n"/>
      <c r="EU3" s="74" t="n"/>
      <c r="EV3" s="4" t="n"/>
      <c r="EW3" s="74" t="n"/>
      <c r="EX3" s="4" t="n"/>
      <c r="EY3" s="74" t="n"/>
      <c r="EZ3" s="4" t="n"/>
      <c r="FA3" s="74" t="n"/>
      <c r="FB3" s="4" t="n"/>
      <c r="FC3" s="75" t="n"/>
      <c r="FD3" s="74" t="n"/>
      <c r="FE3" s="4" t="n"/>
      <c r="FF3" s="74" t="n"/>
      <c r="FG3" s="4" t="n"/>
      <c r="FH3" s="74" t="n"/>
      <c r="FI3" s="4" t="n"/>
      <c r="FJ3" s="74" t="n"/>
      <c r="FK3" s="4" t="n"/>
      <c r="FL3" s="74" t="n"/>
      <c r="FM3" s="4" t="n"/>
      <c r="FN3" s="74" t="n"/>
      <c r="FO3" s="4" t="n"/>
      <c r="FP3" s="74" t="n"/>
      <c r="FQ3" s="4" t="n"/>
      <c r="FR3" s="74" t="n"/>
      <c r="FS3" s="4" t="n"/>
      <c r="FT3" s="75" t="n"/>
      <c r="FU3" s="74" t="n"/>
      <c r="FV3" s="4" t="n"/>
      <c r="FW3" s="74" t="n"/>
      <c r="FX3" s="4" t="n"/>
      <c r="FY3" s="74" t="n"/>
      <c r="FZ3" s="4" t="n"/>
      <c r="GA3" s="74" t="n"/>
      <c r="GB3" s="4" t="n"/>
      <c r="GC3" s="74" t="n"/>
      <c r="GD3" s="4" t="n"/>
      <c r="GE3" s="74" t="n"/>
      <c r="GF3" s="4" t="n"/>
      <c r="GG3" s="74" t="n"/>
      <c r="GH3" s="4" t="n"/>
      <c r="GI3" s="74" t="n"/>
      <c r="GJ3" s="4" t="n"/>
      <c r="GK3" s="75" t="n"/>
      <c r="GL3" s="74" t="n"/>
      <c r="GM3" s="4" t="n"/>
      <c r="GN3" s="74" t="n"/>
      <c r="GO3" s="4" t="n"/>
      <c r="GP3" s="74" t="n"/>
      <c r="GQ3" s="4" t="n"/>
      <c r="GR3" s="74" t="n"/>
      <c r="GS3" s="4" t="n"/>
      <c r="GT3" s="74" t="n"/>
      <c r="GU3" s="4" t="n"/>
      <c r="GV3" s="74" t="n"/>
      <c r="GW3" s="4" t="n"/>
      <c r="GX3" s="74" t="n"/>
      <c r="GY3" s="4" t="n"/>
      <c r="GZ3" s="74" t="n"/>
      <c r="HA3" s="4" t="n"/>
      <c r="HB3" s="75" t="n"/>
      <c r="HC3">
        <f>$HC$1-8*($HC$2-1)</f>
        <v>0</v>
      </c>
      <c r="HE3">
        <f>IF($A$1="",0,IF($HE$2=1,SUMPRODUCT(MAX(('المواعيد'!$D$5:$D$34=$A$1)*(8-'المواعيد'!$L$5:$L$34))),SUMPRODUCT(MAX(('المواعيد'!$D$5:$D$34=$A$1)*(8-'المواعيد'!$K$5:$K$34)))))</f>
        <v>0</v>
      </c>
      <c r="HF3">
        <f>IF($HF$1="",0,SUMPRODUCT(MAX(('المواعيد'!$D$5:$D$34=$A$1)*('المواعيد'!$G$5:$G$34=WEEKDAY($HF$2))*(ROW('المواعيد'!$D$5:$D$34)-4))))</f>
        <v>0</v>
      </c>
    </row>
    <row r="4" ht="16.5" customHeight="1">
      <c r="A4" s="76" t="inlineStr">
        <is>
          <t>م</t>
        </is>
      </c>
      <c r="B4" s="76" t="inlineStr">
        <is>
          <t>الاسم</t>
        </is>
      </c>
      <c r="C4" s="76" t="inlineStr">
        <is>
          <t>ولي الأمر</t>
        </is>
      </c>
      <c r="D4" s="76" t="inlineStr">
        <is>
          <t>غياب</t>
        </is>
      </c>
      <c r="E4" s="76" t="inlineStr">
        <is>
          <t>واجب</t>
        </is>
      </c>
      <c r="F4" s="76" t="inlineStr">
        <is>
          <t>المصاريف</t>
        </is>
      </c>
      <c r="G4" s="8" t="inlineStr">
        <is>
          <t>ح</t>
        </is>
      </c>
      <c r="H4" s="77" t="inlineStr">
        <is>
          <t>و</t>
        </is>
      </c>
      <c r="I4" s="8" t="inlineStr">
        <is>
          <t>ح</t>
        </is>
      </c>
      <c r="J4" s="77" t="inlineStr">
        <is>
          <t>و</t>
        </is>
      </c>
      <c r="K4" s="8" t="inlineStr">
        <is>
          <t>ح</t>
        </is>
      </c>
      <c r="L4" s="77" t="inlineStr">
        <is>
          <t>و</t>
        </is>
      </c>
      <c r="M4" s="8" t="inlineStr">
        <is>
          <t>ح</t>
        </is>
      </c>
      <c r="N4" s="77" t="inlineStr">
        <is>
          <t>و</t>
        </is>
      </c>
      <c r="O4" s="8" t="inlineStr">
        <is>
          <t>ح</t>
        </is>
      </c>
      <c r="P4" s="77" t="inlineStr">
        <is>
          <t>و</t>
        </is>
      </c>
      <c r="Q4" s="8" t="inlineStr">
        <is>
          <t>ح</t>
        </is>
      </c>
      <c r="R4" s="77" t="inlineStr">
        <is>
          <t>و</t>
        </is>
      </c>
      <c r="S4" s="8" t="inlineStr">
        <is>
          <t>ح</t>
        </is>
      </c>
      <c r="T4" s="77" t="inlineStr">
        <is>
          <t>و</t>
        </is>
      </c>
      <c r="U4" s="8" t="inlineStr">
        <is>
          <t>ح</t>
        </is>
      </c>
      <c r="V4" s="77" t="inlineStr">
        <is>
          <t>و</t>
        </is>
      </c>
      <c r="W4" s="77" t="inlineStr">
        <is>
          <t>دفع</t>
        </is>
      </c>
      <c r="X4" s="9" t="inlineStr">
        <is>
          <t>ح</t>
        </is>
      </c>
      <c r="Y4" s="78" t="inlineStr">
        <is>
          <t>و</t>
        </is>
      </c>
      <c r="Z4" s="9" t="inlineStr">
        <is>
          <t>ح</t>
        </is>
      </c>
      <c r="AA4" s="78" t="inlineStr">
        <is>
          <t>و</t>
        </is>
      </c>
      <c r="AB4" s="9" t="inlineStr">
        <is>
          <t>ح</t>
        </is>
      </c>
      <c r="AC4" s="78" t="inlineStr">
        <is>
          <t>و</t>
        </is>
      </c>
      <c r="AD4" s="9" t="inlineStr">
        <is>
          <t>ح</t>
        </is>
      </c>
      <c r="AE4" s="78" t="inlineStr">
        <is>
          <t>و</t>
        </is>
      </c>
      <c r="AF4" s="9" t="inlineStr">
        <is>
          <t>ح</t>
        </is>
      </c>
      <c r="AG4" s="78" t="inlineStr">
        <is>
          <t>و</t>
        </is>
      </c>
      <c r="AH4" s="9" t="inlineStr">
        <is>
          <t>ح</t>
        </is>
      </c>
      <c r="AI4" s="78" t="inlineStr">
        <is>
          <t>و</t>
        </is>
      </c>
      <c r="AJ4" s="9" t="inlineStr">
        <is>
          <t>ح</t>
        </is>
      </c>
      <c r="AK4" s="78" t="inlineStr">
        <is>
          <t>و</t>
        </is>
      </c>
      <c r="AL4" s="9" t="inlineStr">
        <is>
          <t>ح</t>
        </is>
      </c>
      <c r="AM4" s="78" t="inlineStr">
        <is>
          <t>و</t>
        </is>
      </c>
      <c r="AN4" s="78" t="inlineStr">
        <is>
          <t>دفع</t>
        </is>
      </c>
      <c r="AO4" s="10" t="inlineStr">
        <is>
          <t>ح</t>
        </is>
      </c>
      <c r="AP4" s="79" t="inlineStr">
        <is>
          <t>و</t>
        </is>
      </c>
      <c r="AQ4" s="10" t="inlineStr">
        <is>
          <t>ح</t>
        </is>
      </c>
      <c r="AR4" s="79" t="inlineStr">
        <is>
          <t>و</t>
        </is>
      </c>
      <c r="AS4" s="10" t="inlineStr">
        <is>
          <t>ح</t>
        </is>
      </c>
      <c r="AT4" s="79" t="inlineStr">
        <is>
          <t>و</t>
        </is>
      </c>
      <c r="AU4" s="10" t="inlineStr">
        <is>
          <t>ح</t>
        </is>
      </c>
      <c r="AV4" s="79" t="inlineStr">
        <is>
          <t>و</t>
        </is>
      </c>
      <c r="AW4" s="10" t="inlineStr">
        <is>
          <t>ح</t>
        </is>
      </c>
      <c r="AX4" s="79" t="inlineStr">
        <is>
          <t>و</t>
        </is>
      </c>
      <c r="AY4" s="10" t="inlineStr">
        <is>
          <t>ح</t>
        </is>
      </c>
      <c r="AZ4" s="79" t="inlineStr">
        <is>
          <t>و</t>
        </is>
      </c>
      <c r="BA4" s="10" t="inlineStr">
        <is>
          <t>ح</t>
        </is>
      </c>
      <c r="BB4" s="79" t="inlineStr">
        <is>
          <t>و</t>
        </is>
      </c>
      <c r="BC4" s="10" t="inlineStr">
        <is>
          <t>ح</t>
        </is>
      </c>
      <c r="BD4" s="79" t="inlineStr">
        <is>
          <t>و</t>
        </is>
      </c>
      <c r="BE4" s="79" t="inlineStr">
        <is>
          <t>دفع</t>
        </is>
      </c>
      <c r="BF4" s="11" t="inlineStr">
        <is>
          <t>ح</t>
        </is>
      </c>
      <c r="BG4" s="80" t="inlineStr">
        <is>
          <t>و</t>
        </is>
      </c>
      <c r="BH4" s="11" t="inlineStr">
        <is>
          <t>ح</t>
        </is>
      </c>
      <c r="BI4" s="80" t="inlineStr">
        <is>
          <t>و</t>
        </is>
      </c>
      <c r="BJ4" s="11" t="inlineStr">
        <is>
          <t>ح</t>
        </is>
      </c>
      <c r="BK4" s="80" t="inlineStr">
        <is>
          <t>و</t>
        </is>
      </c>
      <c r="BL4" s="11" t="inlineStr">
        <is>
          <t>ح</t>
        </is>
      </c>
      <c r="BM4" s="80" t="inlineStr">
        <is>
          <t>و</t>
        </is>
      </c>
      <c r="BN4" s="11" t="inlineStr">
        <is>
          <t>ح</t>
        </is>
      </c>
      <c r="BO4" s="80" t="inlineStr">
        <is>
          <t>و</t>
        </is>
      </c>
      <c r="BP4" s="11" t="inlineStr">
        <is>
          <t>ح</t>
        </is>
      </c>
      <c r="BQ4" s="80" t="inlineStr">
        <is>
          <t>و</t>
        </is>
      </c>
      <c r="BR4" s="11" t="inlineStr">
        <is>
          <t>ح</t>
        </is>
      </c>
      <c r="BS4" s="80" t="inlineStr">
        <is>
          <t>و</t>
        </is>
      </c>
      <c r="BT4" s="11" t="inlineStr">
        <is>
          <t>ح</t>
        </is>
      </c>
      <c r="BU4" s="80" t="inlineStr">
        <is>
          <t>و</t>
        </is>
      </c>
      <c r="BV4" s="80" t="inlineStr">
        <is>
          <t>دفع</t>
        </is>
      </c>
      <c r="BW4" s="81" t="inlineStr">
        <is>
          <t>ح</t>
        </is>
      </c>
      <c r="BX4" s="82" t="inlineStr">
        <is>
          <t>و</t>
        </is>
      </c>
      <c r="BY4" s="81" t="inlineStr">
        <is>
          <t>ح</t>
        </is>
      </c>
      <c r="BZ4" s="82" t="inlineStr">
        <is>
          <t>و</t>
        </is>
      </c>
      <c r="CA4" s="81" t="inlineStr">
        <is>
          <t>ح</t>
        </is>
      </c>
      <c r="CB4" s="82" t="inlineStr">
        <is>
          <t>و</t>
        </is>
      </c>
      <c r="CC4" s="81" t="inlineStr">
        <is>
          <t>ح</t>
        </is>
      </c>
      <c r="CD4" s="82" t="inlineStr">
        <is>
          <t>و</t>
        </is>
      </c>
      <c r="CE4" s="81" t="inlineStr">
        <is>
          <t>ح</t>
        </is>
      </c>
      <c r="CF4" s="82" t="inlineStr">
        <is>
          <t>و</t>
        </is>
      </c>
      <c r="CG4" s="81" t="inlineStr">
        <is>
          <t>ح</t>
        </is>
      </c>
      <c r="CH4" s="82" t="inlineStr">
        <is>
          <t>و</t>
        </is>
      </c>
      <c r="CI4" s="81" t="inlineStr">
        <is>
          <t>ح</t>
        </is>
      </c>
      <c r="CJ4" s="82" t="inlineStr">
        <is>
          <t>و</t>
        </is>
      </c>
      <c r="CK4" s="81" t="inlineStr">
        <is>
          <t>ح</t>
        </is>
      </c>
      <c r="CL4" s="82" t="inlineStr">
        <is>
          <t>و</t>
        </is>
      </c>
      <c r="CM4" s="82" t="inlineStr">
        <is>
          <t>دفع</t>
        </is>
      </c>
      <c r="CN4" s="83" t="inlineStr">
        <is>
          <t>ح</t>
        </is>
      </c>
      <c r="CO4" s="84" t="inlineStr">
        <is>
          <t>و</t>
        </is>
      </c>
      <c r="CP4" s="83" t="inlineStr">
        <is>
          <t>ح</t>
        </is>
      </c>
      <c r="CQ4" s="84" t="inlineStr">
        <is>
          <t>و</t>
        </is>
      </c>
      <c r="CR4" s="83" t="inlineStr">
        <is>
          <t>ح</t>
        </is>
      </c>
      <c r="CS4" s="84" t="inlineStr">
        <is>
          <t>و</t>
        </is>
      </c>
      <c r="CT4" s="83" t="inlineStr">
        <is>
          <t>ح</t>
        </is>
      </c>
      <c r="CU4" s="84" t="inlineStr">
        <is>
          <t>و</t>
        </is>
      </c>
      <c r="CV4" s="83" t="inlineStr">
        <is>
          <t>ح</t>
        </is>
      </c>
      <c r="CW4" s="84" t="inlineStr">
        <is>
          <t>و</t>
        </is>
      </c>
      <c r="CX4" s="83" t="inlineStr">
        <is>
          <t>ح</t>
        </is>
      </c>
      <c r="CY4" s="84" t="inlineStr">
        <is>
          <t>و</t>
        </is>
      </c>
      <c r="CZ4" s="83" t="inlineStr">
        <is>
          <t>ح</t>
        </is>
      </c>
      <c r="DA4" s="84" t="inlineStr">
        <is>
          <t>و</t>
        </is>
      </c>
      <c r="DB4" s="83" t="inlineStr">
        <is>
          <t>ح</t>
        </is>
      </c>
      <c r="DC4" s="84" t="inlineStr">
        <is>
          <t>و</t>
        </is>
      </c>
      <c r="DD4" s="84" t="inlineStr">
        <is>
          <t>دفع</t>
        </is>
      </c>
      <c r="DE4" s="85" t="inlineStr">
        <is>
          <t>ح</t>
        </is>
      </c>
      <c r="DF4" s="86" t="inlineStr">
        <is>
          <t>و</t>
        </is>
      </c>
      <c r="DG4" s="85" t="inlineStr">
        <is>
          <t>ح</t>
        </is>
      </c>
      <c r="DH4" s="86" t="inlineStr">
        <is>
          <t>و</t>
        </is>
      </c>
      <c r="DI4" s="85" t="inlineStr">
        <is>
          <t>ح</t>
        </is>
      </c>
      <c r="DJ4" s="86" t="inlineStr">
        <is>
          <t>و</t>
        </is>
      </c>
      <c r="DK4" s="85" t="inlineStr">
        <is>
          <t>ح</t>
        </is>
      </c>
      <c r="DL4" s="86" t="inlineStr">
        <is>
          <t>و</t>
        </is>
      </c>
      <c r="DM4" s="85" t="inlineStr">
        <is>
          <t>ح</t>
        </is>
      </c>
      <c r="DN4" s="86" t="inlineStr">
        <is>
          <t>و</t>
        </is>
      </c>
      <c r="DO4" s="85" t="inlineStr">
        <is>
          <t>ح</t>
        </is>
      </c>
      <c r="DP4" s="86" t="inlineStr">
        <is>
          <t>و</t>
        </is>
      </c>
      <c r="DQ4" s="85" t="inlineStr">
        <is>
          <t>ح</t>
        </is>
      </c>
      <c r="DR4" s="86" t="inlineStr">
        <is>
          <t>و</t>
        </is>
      </c>
      <c r="DS4" s="85" t="inlineStr">
        <is>
          <t>ح</t>
        </is>
      </c>
      <c r="DT4" s="86" t="inlineStr">
        <is>
          <t>و</t>
        </is>
      </c>
      <c r="DU4" s="86" t="inlineStr">
        <is>
          <t>دفع</t>
        </is>
      </c>
      <c r="DV4" s="87" t="inlineStr">
        <is>
          <t>ح</t>
        </is>
      </c>
      <c r="DW4" s="88" t="inlineStr">
        <is>
          <t>و</t>
        </is>
      </c>
      <c r="DX4" s="87" t="inlineStr">
        <is>
          <t>ح</t>
        </is>
      </c>
      <c r="DY4" s="88" t="inlineStr">
        <is>
          <t>و</t>
        </is>
      </c>
      <c r="DZ4" s="87" t="inlineStr">
        <is>
          <t>ح</t>
        </is>
      </c>
      <c r="EA4" s="88" t="inlineStr">
        <is>
          <t>و</t>
        </is>
      </c>
      <c r="EB4" s="87" t="inlineStr">
        <is>
          <t>ح</t>
        </is>
      </c>
      <c r="EC4" s="88" t="inlineStr">
        <is>
          <t>و</t>
        </is>
      </c>
      <c r="ED4" s="87" t="inlineStr">
        <is>
          <t>ح</t>
        </is>
      </c>
      <c r="EE4" s="88" t="inlineStr">
        <is>
          <t>و</t>
        </is>
      </c>
      <c r="EF4" s="87" t="inlineStr">
        <is>
          <t>ح</t>
        </is>
      </c>
      <c r="EG4" s="88" t="inlineStr">
        <is>
          <t>و</t>
        </is>
      </c>
      <c r="EH4" s="87" t="inlineStr">
        <is>
          <t>ح</t>
        </is>
      </c>
      <c r="EI4" s="88" t="inlineStr">
        <is>
          <t>و</t>
        </is>
      </c>
      <c r="EJ4" s="87" t="inlineStr">
        <is>
          <t>ح</t>
        </is>
      </c>
      <c r="EK4" s="88" t="inlineStr">
        <is>
          <t>و</t>
        </is>
      </c>
      <c r="EL4" s="88" t="inlineStr">
        <is>
          <t>دفع</t>
        </is>
      </c>
      <c r="EM4" s="89" t="inlineStr">
        <is>
          <t>ح</t>
        </is>
      </c>
      <c r="EN4" s="90" t="inlineStr">
        <is>
          <t>و</t>
        </is>
      </c>
      <c r="EO4" s="89" t="inlineStr">
        <is>
          <t>ح</t>
        </is>
      </c>
      <c r="EP4" s="90" t="inlineStr">
        <is>
          <t>و</t>
        </is>
      </c>
      <c r="EQ4" s="89" t="inlineStr">
        <is>
          <t>ح</t>
        </is>
      </c>
      <c r="ER4" s="90" t="inlineStr">
        <is>
          <t>و</t>
        </is>
      </c>
      <c r="ES4" s="89" t="inlineStr">
        <is>
          <t>ح</t>
        </is>
      </c>
      <c r="ET4" s="90" t="inlineStr">
        <is>
          <t>و</t>
        </is>
      </c>
      <c r="EU4" s="89" t="inlineStr">
        <is>
          <t>ح</t>
        </is>
      </c>
      <c r="EV4" s="90" t="inlineStr">
        <is>
          <t>و</t>
        </is>
      </c>
      <c r="EW4" s="89" t="inlineStr">
        <is>
          <t>ح</t>
        </is>
      </c>
      <c r="EX4" s="90" t="inlineStr">
        <is>
          <t>و</t>
        </is>
      </c>
      <c r="EY4" s="89" t="inlineStr">
        <is>
          <t>ح</t>
        </is>
      </c>
      <c r="EZ4" s="90" t="inlineStr">
        <is>
          <t>و</t>
        </is>
      </c>
      <c r="FA4" s="89" t="inlineStr">
        <is>
          <t>ح</t>
        </is>
      </c>
      <c r="FB4" s="90" t="inlineStr">
        <is>
          <t>و</t>
        </is>
      </c>
      <c r="FC4" s="90" t="inlineStr">
        <is>
          <t>دفع</t>
        </is>
      </c>
      <c r="FD4" s="91" t="inlineStr">
        <is>
          <t>ح</t>
        </is>
      </c>
      <c r="FE4" s="92" t="inlineStr">
        <is>
          <t>و</t>
        </is>
      </c>
      <c r="FF4" s="91" t="inlineStr">
        <is>
          <t>ح</t>
        </is>
      </c>
      <c r="FG4" s="92" t="inlineStr">
        <is>
          <t>و</t>
        </is>
      </c>
      <c r="FH4" s="91" t="inlineStr">
        <is>
          <t>ح</t>
        </is>
      </c>
      <c r="FI4" s="92" t="inlineStr">
        <is>
          <t>و</t>
        </is>
      </c>
      <c r="FJ4" s="91" t="inlineStr">
        <is>
          <t>ح</t>
        </is>
      </c>
      <c r="FK4" s="92" t="inlineStr">
        <is>
          <t>و</t>
        </is>
      </c>
      <c r="FL4" s="91" t="inlineStr">
        <is>
          <t>ح</t>
        </is>
      </c>
      <c r="FM4" s="92" t="inlineStr">
        <is>
          <t>و</t>
        </is>
      </c>
      <c r="FN4" s="91" t="inlineStr">
        <is>
          <t>ح</t>
        </is>
      </c>
      <c r="FO4" s="92" t="inlineStr">
        <is>
          <t>و</t>
        </is>
      </c>
      <c r="FP4" s="91" t="inlineStr">
        <is>
          <t>ح</t>
        </is>
      </c>
      <c r="FQ4" s="92" t="inlineStr">
        <is>
          <t>و</t>
        </is>
      </c>
      <c r="FR4" s="91" t="inlineStr">
        <is>
          <t>ح</t>
        </is>
      </c>
      <c r="FS4" s="92" t="inlineStr">
        <is>
          <t>و</t>
        </is>
      </c>
      <c r="FT4" s="92" t="inlineStr">
        <is>
          <t>دفع</t>
        </is>
      </c>
      <c r="FU4" s="93" t="inlineStr">
        <is>
          <t>ح</t>
        </is>
      </c>
      <c r="FV4" s="94" t="inlineStr">
        <is>
          <t>و</t>
        </is>
      </c>
      <c r="FW4" s="93" t="inlineStr">
        <is>
          <t>ح</t>
        </is>
      </c>
      <c r="FX4" s="94" t="inlineStr">
        <is>
          <t>و</t>
        </is>
      </c>
      <c r="FY4" s="93" t="inlineStr">
        <is>
          <t>ح</t>
        </is>
      </c>
      <c r="FZ4" s="94" t="inlineStr">
        <is>
          <t>و</t>
        </is>
      </c>
      <c r="GA4" s="93" t="inlineStr">
        <is>
          <t>ح</t>
        </is>
      </c>
      <c r="GB4" s="94" t="inlineStr">
        <is>
          <t>و</t>
        </is>
      </c>
      <c r="GC4" s="93" t="inlineStr">
        <is>
          <t>ح</t>
        </is>
      </c>
      <c r="GD4" s="94" t="inlineStr">
        <is>
          <t>و</t>
        </is>
      </c>
      <c r="GE4" s="93" t="inlineStr">
        <is>
          <t>ح</t>
        </is>
      </c>
      <c r="GF4" s="94" t="inlineStr">
        <is>
          <t>و</t>
        </is>
      </c>
      <c r="GG4" s="93" t="inlineStr">
        <is>
          <t>ح</t>
        </is>
      </c>
      <c r="GH4" s="94" t="inlineStr">
        <is>
          <t>و</t>
        </is>
      </c>
      <c r="GI4" s="93" t="inlineStr">
        <is>
          <t>ح</t>
        </is>
      </c>
      <c r="GJ4" s="94" t="inlineStr">
        <is>
          <t>و</t>
        </is>
      </c>
      <c r="GK4" s="94" t="inlineStr">
        <is>
          <t>دفع</t>
        </is>
      </c>
      <c r="GL4" s="95" t="inlineStr">
        <is>
          <t>ح</t>
        </is>
      </c>
      <c r="GM4" s="96" t="inlineStr">
        <is>
          <t>و</t>
        </is>
      </c>
      <c r="GN4" s="95" t="inlineStr">
        <is>
          <t>ح</t>
        </is>
      </c>
      <c r="GO4" s="96" t="inlineStr">
        <is>
          <t>و</t>
        </is>
      </c>
      <c r="GP4" s="95" t="inlineStr">
        <is>
          <t>ح</t>
        </is>
      </c>
      <c r="GQ4" s="96" t="inlineStr">
        <is>
          <t>و</t>
        </is>
      </c>
      <c r="GR4" s="95" t="inlineStr">
        <is>
          <t>ح</t>
        </is>
      </c>
      <c r="GS4" s="96" t="inlineStr">
        <is>
          <t>و</t>
        </is>
      </c>
      <c r="GT4" s="95" t="inlineStr">
        <is>
          <t>ح</t>
        </is>
      </c>
      <c r="GU4" s="96" t="inlineStr">
        <is>
          <t>و</t>
        </is>
      </c>
      <c r="GV4" s="95" t="inlineStr">
        <is>
          <t>ح</t>
        </is>
      </c>
      <c r="GW4" s="96" t="inlineStr">
        <is>
          <t>و</t>
        </is>
      </c>
      <c r="GX4" s="95" t="inlineStr">
        <is>
          <t>ح</t>
        </is>
      </c>
      <c r="GY4" s="96" t="inlineStr">
        <is>
          <t>و</t>
        </is>
      </c>
      <c r="GZ4" s="95" t="inlineStr">
        <is>
          <t>ح</t>
        </is>
      </c>
      <c r="HA4" s="96" t="inlineStr">
        <is>
          <t>و</t>
        </is>
      </c>
      <c r="HB4" s="96" t="inlineStr">
        <is>
          <t>دفع</t>
        </is>
      </c>
      <c r="HF4" t="str">
        <f>IF($HF$1="","",IF($HF$1=0,"النهارده",IF($HF$1=1,"بكرة",INDEX('حسابات'!$A$2:$A$8,MATCH(WEEKDAY($HF$2),'حسابات'!$B$2:$B$8,0))))&amp;" "&amp;DAY($HF$2)&amp;"/"&amp;MONTH($HF$2)&amp;IF($HF$3=0,"",IF(INDEX('المواعيد'!$C$5:$C$34,$HF$3)="",""," – "&amp;INDEX('المواعيد'!$C$5:$C$34,$HF$3))))</f>
        <v/>
      </c>
    </row>
    <row r="5" ht="22.5" customHeight="1">
      <c r="A5" s="36" t="n">
        <v>1</v>
      </c>
      <c r="B5" s="97" t="n"/>
      <c r="C5" s="28" t="n"/>
      <c r="D5" s="98" t="str">
        <f>IF($B5="","",IF($HC5=97,"-",IF($HD5=0,"متوقف",SUMPRODUCT(($G$4:$HB$4="ح")*($G$20:$HB$20&gt;0)*($G5:$HB5&lt;&gt;TRUE)*($G$47:$HB$47&gt;$HC$1-8)*($G$47:$HB$47&gt;=$HC5)))))</f>
        <v/>
      </c>
      <c r="E5" s="98" t="str">
        <f>IF(OR($B5="",$HC5=97),"",SUMPRODUCT(($G$4:$HA$4="ح")*($G5:$HA5=TRUE)*($H5:$HB5&lt;&gt;TRUE)*($G$47:$HA$47&gt;$HC$1-8)))</f>
        <v/>
      </c>
      <c r="F5" s="99" t="str">
        <f>IF($B5="","",IF($HE5=0,IF($HC5=97,"-","تمام"),IF($HE5=1,IF(INDEX($G$1:$HB$1,1,17*($HF5-1)+1)="","شهر "&amp;$HF5,INDEX($G$1:$HB$1,1,17*($HF5-1)+1)),IF($HE5=2,"شهرين",$HE5&amp;" شهور"))))</f>
        <v/>
      </c>
      <c r="G5" s="100" t="n"/>
      <c r="H5" s="101" t="n"/>
      <c r="I5" s="100" t="n"/>
      <c r="J5" s="101" t="n"/>
      <c r="K5" s="100" t="n"/>
      <c r="L5" s="101" t="n"/>
      <c r="M5" s="100" t="n"/>
      <c r="N5" s="101" t="n"/>
      <c r="O5" s="100" t="n"/>
      <c r="P5" s="101" t="n"/>
      <c r="Q5" s="100" t="n"/>
      <c r="R5" s="101" t="n"/>
      <c r="S5" s="100" t="n"/>
      <c r="T5" s="101" t="n"/>
      <c r="U5" s="100" t="n"/>
      <c r="V5" s="101" t="n"/>
      <c r="W5" s="102" t="n"/>
      <c r="X5" s="103" t="n"/>
      <c r="Y5" s="104" t="n"/>
      <c r="Z5" s="103" t="n"/>
      <c r="AA5" s="104" t="n"/>
      <c r="AB5" s="103" t="n"/>
      <c r="AC5" s="104" t="n"/>
      <c r="AD5" s="103" t="n"/>
      <c r="AE5" s="104" t="n"/>
      <c r="AF5" s="103" t="n"/>
      <c r="AG5" s="104" t="n"/>
      <c r="AH5" s="103" t="n"/>
      <c r="AI5" s="104" t="n"/>
      <c r="AJ5" s="103" t="n"/>
      <c r="AK5" s="104" t="n"/>
      <c r="AL5" s="103" t="n"/>
      <c r="AM5" s="104" t="n"/>
      <c r="AN5" s="105" t="n"/>
      <c r="AO5" s="106" t="n"/>
      <c r="AP5" s="107" t="n"/>
      <c r="AQ5" s="106" t="n"/>
      <c r="AR5" s="107" t="n"/>
      <c r="AS5" s="106" t="n"/>
      <c r="AT5" s="107" t="n"/>
      <c r="AU5" s="106" t="n"/>
      <c r="AV5" s="107" t="n"/>
      <c r="AW5" s="106" t="n"/>
      <c r="AX5" s="107" t="n"/>
      <c r="AY5" s="106" t="n"/>
      <c r="AZ5" s="107" t="n"/>
      <c r="BA5" s="106" t="n"/>
      <c r="BB5" s="107" t="n"/>
      <c r="BC5" s="106" t="n"/>
      <c r="BD5" s="107" t="n"/>
      <c r="BE5" s="108" t="n"/>
      <c r="BF5" s="109" t="n"/>
      <c r="BG5" s="110" t="n"/>
      <c r="BH5" s="109" t="n"/>
      <c r="BI5" s="110" t="n"/>
      <c r="BJ5" s="109" t="n"/>
      <c r="BK5" s="110" t="n"/>
      <c r="BL5" s="109" t="n"/>
      <c r="BM5" s="110" t="n"/>
      <c r="BN5" s="109" t="n"/>
      <c r="BO5" s="110" t="n"/>
      <c r="BP5" s="109" t="n"/>
      <c r="BQ5" s="110" t="n"/>
      <c r="BR5" s="109" t="n"/>
      <c r="BS5" s="110" t="n"/>
      <c r="BT5" s="109" t="n"/>
      <c r="BU5" s="110" t="n"/>
      <c r="BV5" s="111" t="n"/>
      <c r="BW5" s="112" t="n"/>
      <c r="BX5" s="113" t="n"/>
      <c r="BY5" s="112" t="n"/>
      <c r="BZ5" s="113" t="n"/>
      <c r="CA5" s="112" t="n"/>
      <c r="CB5" s="113" t="n"/>
      <c r="CC5" s="112" t="n"/>
      <c r="CD5" s="113" t="n"/>
      <c r="CE5" s="112" t="n"/>
      <c r="CF5" s="113" t="n"/>
      <c r="CG5" s="112" t="n"/>
      <c r="CH5" s="113" t="n"/>
      <c r="CI5" s="112" t="n"/>
      <c r="CJ5" s="113" t="n"/>
      <c r="CK5" s="112" t="n"/>
      <c r="CL5" s="113" t="n"/>
      <c r="CM5" s="114" t="n"/>
      <c r="CN5" s="115" t="n"/>
      <c r="CO5" s="116" t="n"/>
      <c r="CP5" s="115" t="n"/>
      <c r="CQ5" s="116" t="n"/>
      <c r="CR5" s="115" t="n"/>
      <c r="CS5" s="116" t="n"/>
      <c r="CT5" s="115" t="n"/>
      <c r="CU5" s="116" t="n"/>
      <c r="CV5" s="115" t="n"/>
      <c r="CW5" s="116" t="n"/>
      <c r="CX5" s="115" t="n"/>
      <c r="CY5" s="116" t="n"/>
      <c r="CZ5" s="115" t="n"/>
      <c r="DA5" s="116" t="n"/>
      <c r="DB5" s="115" t="n"/>
      <c r="DC5" s="116" t="n"/>
      <c r="DD5" s="117" t="n"/>
      <c r="DE5" s="118" t="n"/>
      <c r="DF5" s="119" t="n"/>
      <c r="DG5" s="118" t="n"/>
      <c r="DH5" s="119" t="n"/>
      <c r="DI5" s="118" t="n"/>
      <c r="DJ5" s="119" t="n"/>
      <c r="DK5" s="118" t="n"/>
      <c r="DL5" s="119" t="n"/>
      <c r="DM5" s="118" t="n"/>
      <c r="DN5" s="119" t="n"/>
      <c r="DO5" s="118" t="n"/>
      <c r="DP5" s="119" t="n"/>
      <c r="DQ5" s="118" t="n"/>
      <c r="DR5" s="119" t="n"/>
      <c r="DS5" s="118" t="n"/>
      <c r="DT5" s="119" t="n"/>
      <c r="DU5" s="120" t="n"/>
      <c r="DV5" s="121" t="n"/>
      <c r="DW5" s="122" t="n"/>
      <c r="DX5" s="121" t="n"/>
      <c r="DY5" s="122" t="n"/>
      <c r="DZ5" s="121" t="n"/>
      <c r="EA5" s="122" t="n"/>
      <c r="EB5" s="121" t="n"/>
      <c r="EC5" s="122" t="n"/>
      <c r="ED5" s="121" t="n"/>
      <c r="EE5" s="122" t="n"/>
      <c r="EF5" s="121" t="n"/>
      <c r="EG5" s="122" t="n"/>
      <c r="EH5" s="121" t="n"/>
      <c r="EI5" s="122" t="n"/>
      <c r="EJ5" s="121" t="n"/>
      <c r="EK5" s="122" t="n"/>
      <c r="EL5" s="123" t="n"/>
      <c r="EM5" s="124" t="n"/>
      <c r="EN5" s="125" t="n"/>
      <c r="EO5" s="124" t="n"/>
      <c r="EP5" s="125" t="n"/>
      <c r="EQ5" s="124" t="n"/>
      <c r="ER5" s="125" t="n"/>
      <c r="ES5" s="124" t="n"/>
      <c r="ET5" s="125" t="n"/>
      <c r="EU5" s="124" t="n"/>
      <c r="EV5" s="125" t="n"/>
      <c r="EW5" s="124" t="n"/>
      <c r="EX5" s="125" t="n"/>
      <c r="EY5" s="124" t="n"/>
      <c r="EZ5" s="125" t="n"/>
      <c r="FA5" s="124" t="n"/>
      <c r="FB5" s="125" t="n"/>
      <c r="FC5" s="126" t="n"/>
      <c r="FD5" s="127" t="n"/>
      <c r="FE5" s="128" t="n"/>
      <c r="FF5" s="127" t="n"/>
      <c r="FG5" s="128" t="n"/>
      <c r="FH5" s="127" t="n"/>
      <c r="FI5" s="128" t="n"/>
      <c r="FJ5" s="127" t="n"/>
      <c r="FK5" s="128" t="n"/>
      <c r="FL5" s="127" t="n"/>
      <c r="FM5" s="128" t="n"/>
      <c r="FN5" s="127" t="n"/>
      <c r="FO5" s="128" t="n"/>
      <c r="FP5" s="127" t="n"/>
      <c r="FQ5" s="128" t="n"/>
      <c r="FR5" s="127" t="n"/>
      <c r="FS5" s="128" t="n"/>
      <c r="FT5" s="129" t="n"/>
      <c r="FU5" s="130" t="n"/>
      <c r="FV5" s="131" t="n"/>
      <c r="FW5" s="130" t="n"/>
      <c r="FX5" s="131" t="n"/>
      <c r="FY5" s="130" t="n"/>
      <c r="FZ5" s="131" t="n"/>
      <c r="GA5" s="130" t="n"/>
      <c r="GB5" s="131" t="n"/>
      <c r="GC5" s="130" t="n"/>
      <c r="GD5" s="131" t="n"/>
      <c r="GE5" s="130" t="n"/>
      <c r="GF5" s="131" t="n"/>
      <c r="GG5" s="130" t="n"/>
      <c r="GH5" s="131" t="n"/>
      <c r="GI5" s="130" t="n"/>
      <c r="GJ5" s="131" t="n"/>
      <c r="GK5" s="132" t="n"/>
      <c r="GL5" s="133" t="n"/>
      <c r="GM5" s="134" t="n"/>
      <c r="GN5" s="133" t="n"/>
      <c r="GO5" s="134" t="n"/>
      <c r="GP5" s="133" t="n"/>
      <c r="GQ5" s="134" t="n"/>
      <c r="GR5" s="133" t="n"/>
      <c r="GS5" s="134" t="n"/>
      <c r="GT5" s="133" t="n"/>
      <c r="GU5" s="134" t="n"/>
      <c r="GV5" s="133" t="n"/>
      <c r="GW5" s="134" t="n"/>
      <c r="GX5" s="133" t="n"/>
      <c r="GY5" s="134" t="n"/>
      <c r="GZ5" s="133" t="n"/>
      <c r="HA5" s="134" t="n"/>
      <c r="HB5" s="135" t="n"/>
      <c r="HC5">
        <f>97-SUMPRODUCT(MAX(($G$4:$HB$4="ح")*($G5:$HB5=TRUE)*(97-$G$47:$HB$47)))</f>
        <v>97</v>
      </c>
      <c r="HD5">
        <f>SUMPRODUCT(($G$4:$HB$4="ح")*($G5:$HB5=TRUE)*($G$47:$HB$47&gt;$HC$1-8))</f>
        <v>0</v>
      </c>
      <c r="HE5">
        <f>(COUNTIF($G5:$V5,TRUE)&gt;0)*($W5&lt;&gt;TRUE)+(COUNTIF($X5:$AM5,TRUE)&gt;0)*($AN5&lt;&gt;TRUE)+(COUNTIF($AO5:$BD5,TRUE)&gt;0)*($BE5&lt;&gt;TRUE)+(COUNTIF($BF5:$BU5,TRUE)&gt;0)*($BV5&lt;&gt;TRUE)+(COUNTIF($BW5:$CL5,TRUE)&gt;0)*($CM5&lt;&gt;TRUE)+(COUNTIF($CN5:$DC5,TRUE)&gt;0)*($DD5&lt;&gt;TRUE)+(COUNTIF($DE5:$DT5,TRUE)&gt;0)*($DU5&lt;&gt;TRUE)+(COUNTIF($DV5:$EK5,TRUE)&gt;0)*($EL5&lt;&gt;TRUE)+(COUNTIF($EM5:$FB5,TRUE)&gt;0)*($FC5&lt;&gt;TRUE)+(COUNTIF($FD5:$FS5,TRUE)&gt;0)*($FT5&lt;&gt;TRUE)+(COUNTIF($FU5:$GJ5,TRUE)&gt;0)*($GK5&lt;&gt;TRUE)+(COUNTIF($GL5:$HA5,TRUE)&gt;0)*($HB5&lt;&gt;TRUE)</f>
        <v>0</v>
      </c>
      <c r="HF5">
        <f>IF($HE5=0,0,13-MAX((COUNTIF($G5:$V5,TRUE)&gt;0)*($W5&lt;&gt;TRUE)*12,(COUNTIF($X5:$AM5,TRUE)&gt;0)*($AN5&lt;&gt;TRUE)*11,(COUNTIF($AO5:$BD5,TRUE)&gt;0)*($BE5&lt;&gt;TRUE)*10,(COUNTIF($BF5:$BU5,TRUE)&gt;0)*($BV5&lt;&gt;TRUE)*9,(COUNTIF($BW5:$CL5,TRUE)&gt;0)*($CM5&lt;&gt;TRUE)*8,(COUNTIF($CN5:$DC5,TRUE)&gt;0)*($DD5&lt;&gt;TRUE)*7,(COUNTIF($DE5:$DT5,TRUE)&gt;0)*($DU5&lt;&gt;TRUE)*6,(COUNTIF($DV5:$EK5,TRUE)&gt;0)*($EL5&lt;&gt;TRUE)*5,(COUNTIF($EM5:$FB5,TRUE)&gt;0)*($FC5&lt;&gt;TRUE)*4,(COUNTIF($FD5:$FS5,TRUE)&gt;0)*($FT5&lt;&gt;TRUE)*3,(COUNTIF($FU5:$GJ5,TRUE)&gt;0)*($GK5&lt;&gt;TRUE)*2,(COUNTIF($GL5:$HA5,TRUE)&gt;0)*($HB5&lt;&gt;TRUE)*1))</f>
        <v>0</v>
      </c>
    </row>
    <row r="6" ht="22.5" customHeight="1">
      <c r="A6" s="36" t="n">
        <v>2</v>
      </c>
      <c r="B6" s="97" t="n"/>
      <c r="C6" s="28" t="n"/>
      <c r="D6" s="98" t="str">
        <f>IF($B6="","",IF($HC6=97,"-",IF($HD6=0,"متوقف",SUMPRODUCT(($G$4:$HB$4="ح")*($G$20:$HB$20&gt;0)*($G6:$HB6&lt;&gt;TRUE)*($G$47:$HB$47&gt;$HC$1-8)*($G$47:$HB$47&gt;=$HC6)))))</f>
        <v/>
      </c>
      <c r="E6" s="98" t="str">
        <f>IF(OR($B6="",$HC6=97),"",SUMPRODUCT(($G$4:$HA$4="ح")*($G6:$HA6=TRUE)*($H6:$HB6&lt;&gt;TRUE)*($G$47:$HA$47&gt;$HC$1-8)))</f>
        <v/>
      </c>
      <c r="F6" s="99" t="str">
        <f>IF($B6="","",IF($HE6=0,IF($HC6=97,"-","تمام"),IF($HE6=1,IF(INDEX($G$1:$HB$1,1,17*($HF6-1)+1)="","شهر "&amp;$HF6,INDEX($G$1:$HB$1,1,17*($HF6-1)+1)),IF($HE6=2,"شهرين",$HE6&amp;" شهور"))))</f>
        <v/>
      </c>
      <c r="G6" s="100" t="n"/>
      <c r="H6" s="101" t="n"/>
      <c r="I6" s="100" t="n"/>
      <c r="J6" s="101" t="n"/>
      <c r="K6" s="100" t="n"/>
      <c r="L6" s="101" t="n"/>
      <c r="M6" s="100" t="n"/>
      <c r="N6" s="101" t="n"/>
      <c r="O6" s="100" t="n"/>
      <c r="P6" s="101" t="n"/>
      <c r="Q6" s="100" t="n"/>
      <c r="R6" s="101" t="n"/>
      <c r="S6" s="100" t="n"/>
      <c r="T6" s="101" t="n"/>
      <c r="U6" s="100" t="n"/>
      <c r="V6" s="101" t="n"/>
      <c r="W6" s="102" t="n"/>
      <c r="X6" s="103" t="n"/>
      <c r="Y6" s="104" t="n"/>
      <c r="Z6" s="103" t="n"/>
      <c r="AA6" s="104" t="n"/>
      <c r="AB6" s="103" t="n"/>
      <c r="AC6" s="104" t="n"/>
      <c r="AD6" s="103" t="n"/>
      <c r="AE6" s="104" t="n"/>
      <c r="AF6" s="103" t="n"/>
      <c r="AG6" s="104" t="n"/>
      <c r="AH6" s="103" t="n"/>
      <c r="AI6" s="104" t="n"/>
      <c r="AJ6" s="103" t="n"/>
      <c r="AK6" s="104" t="n"/>
      <c r="AL6" s="103" t="n"/>
      <c r="AM6" s="104" t="n"/>
      <c r="AN6" s="105" t="n"/>
      <c r="AO6" s="106" t="n"/>
      <c r="AP6" s="107" t="n"/>
      <c r="AQ6" s="106" t="n"/>
      <c r="AR6" s="107" t="n"/>
      <c r="AS6" s="106" t="n"/>
      <c r="AT6" s="107" t="n"/>
      <c r="AU6" s="106" t="n"/>
      <c r="AV6" s="107" t="n"/>
      <c r="AW6" s="106" t="n"/>
      <c r="AX6" s="107" t="n"/>
      <c r="AY6" s="106" t="n"/>
      <c r="AZ6" s="107" t="n"/>
      <c r="BA6" s="106" t="n"/>
      <c r="BB6" s="107" t="n"/>
      <c r="BC6" s="106" t="n"/>
      <c r="BD6" s="107" t="n"/>
      <c r="BE6" s="108" t="n"/>
      <c r="BF6" s="109" t="n"/>
      <c r="BG6" s="110" t="n"/>
      <c r="BH6" s="109" t="n"/>
      <c r="BI6" s="110" t="n"/>
      <c r="BJ6" s="109" t="n"/>
      <c r="BK6" s="110" t="n"/>
      <c r="BL6" s="109" t="n"/>
      <c r="BM6" s="110" t="n"/>
      <c r="BN6" s="109" t="n"/>
      <c r="BO6" s="110" t="n"/>
      <c r="BP6" s="109" t="n"/>
      <c r="BQ6" s="110" t="n"/>
      <c r="BR6" s="109" t="n"/>
      <c r="BS6" s="110" t="n"/>
      <c r="BT6" s="109" t="n"/>
      <c r="BU6" s="110" t="n"/>
      <c r="BV6" s="111" t="n"/>
      <c r="BW6" s="112" t="n"/>
      <c r="BX6" s="113" t="n"/>
      <c r="BY6" s="112" t="n"/>
      <c r="BZ6" s="113" t="n"/>
      <c r="CA6" s="112" t="n"/>
      <c r="CB6" s="113" t="n"/>
      <c r="CC6" s="112" t="n"/>
      <c r="CD6" s="113" t="n"/>
      <c r="CE6" s="112" t="n"/>
      <c r="CF6" s="113" t="n"/>
      <c r="CG6" s="112" t="n"/>
      <c r="CH6" s="113" t="n"/>
      <c r="CI6" s="112" t="n"/>
      <c r="CJ6" s="113" t="n"/>
      <c r="CK6" s="112" t="n"/>
      <c r="CL6" s="113" t="n"/>
      <c r="CM6" s="114" t="n"/>
      <c r="CN6" s="115" t="n"/>
      <c r="CO6" s="116" t="n"/>
      <c r="CP6" s="115" t="n"/>
      <c r="CQ6" s="116" t="n"/>
      <c r="CR6" s="115" t="n"/>
      <c r="CS6" s="116" t="n"/>
      <c r="CT6" s="115" t="n"/>
      <c r="CU6" s="116" t="n"/>
      <c r="CV6" s="115" t="n"/>
      <c r="CW6" s="116" t="n"/>
      <c r="CX6" s="115" t="n"/>
      <c r="CY6" s="116" t="n"/>
      <c r="CZ6" s="115" t="n"/>
      <c r="DA6" s="116" t="n"/>
      <c r="DB6" s="115" t="n"/>
      <c r="DC6" s="116" t="n"/>
      <c r="DD6" s="117" t="n"/>
      <c r="DE6" s="118" t="n"/>
      <c r="DF6" s="119" t="n"/>
      <c r="DG6" s="118" t="n"/>
      <c r="DH6" s="119" t="n"/>
      <c r="DI6" s="118" t="n"/>
      <c r="DJ6" s="119" t="n"/>
      <c r="DK6" s="118" t="n"/>
      <c r="DL6" s="119" t="n"/>
      <c r="DM6" s="118" t="n"/>
      <c r="DN6" s="119" t="n"/>
      <c r="DO6" s="118" t="n"/>
      <c r="DP6" s="119" t="n"/>
      <c r="DQ6" s="118" t="n"/>
      <c r="DR6" s="119" t="n"/>
      <c r="DS6" s="118" t="n"/>
      <c r="DT6" s="119" t="n"/>
      <c r="DU6" s="120" t="n"/>
      <c r="DV6" s="121" t="n"/>
      <c r="DW6" s="122" t="n"/>
      <c r="DX6" s="121" t="n"/>
      <c r="DY6" s="122" t="n"/>
      <c r="DZ6" s="121" t="n"/>
      <c r="EA6" s="122" t="n"/>
      <c r="EB6" s="121" t="n"/>
      <c r="EC6" s="122" t="n"/>
      <c r="ED6" s="121" t="n"/>
      <c r="EE6" s="122" t="n"/>
      <c r="EF6" s="121" t="n"/>
      <c r="EG6" s="122" t="n"/>
      <c r="EH6" s="121" t="n"/>
      <c r="EI6" s="122" t="n"/>
      <c r="EJ6" s="121" t="n"/>
      <c r="EK6" s="122" t="n"/>
      <c r="EL6" s="123" t="n"/>
      <c r="EM6" s="124" t="n"/>
      <c r="EN6" s="125" t="n"/>
      <c r="EO6" s="124" t="n"/>
      <c r="EP6" s="125" t="n"/>
      <c r="EQ6" s="124" t="n"/>
      <c r="ER6" s="125" t="n"/>
      <c r="ES6" s="124" t="n"/>
      <c r="ET6" s="125" t="n"/>
      <c r="EU6" s="124" t="n"/>
      <c r="EV6" s="125" t="n"/>
      <c r="EW6" s="124" t="n"/>
      <c r="EX6" s="125" t="n"/>
      <c r="EY6" s="124" t="n"/>
      <c r="EZ6" s="125" t="n"/>
      <c r="FA6" s="124" t="n"/>
      <c r="FB6" s="125" t="n"/>
      <c r="FC6" s="126" t="n"/>
      <c r="FD6" s="127" t="n"/>
      <c r="FE6" s="128" t="n"/>
      <c r="FF6" s="127" t="n"/>
      <c r="FG6" s="128" t="n"/>
      <c r="FH6" s="127" t="n"/>
      <c r="FI6" s="128" t="n"/>
      <c r="FJ6" s="127" t="n"/>
      <c r="FK6" s="128" t="n"/>
      <c r="FL6" s="127" t="n"/>
      <c r="FM6" s="128" t="n"/>
      <c r="FN6" s="127" t="n"/>
      <c r="FO6" s="128" t="n"/>
      <c r="FP6" s="127" t="n"/>
      <c r="FQ6" s="128" t="n"/>
      <c r="FR6" s="127" t="n"/>
      <c r="FS6" s="128" t="n"/>
      <c r="FT6" s="129" t="n"/>
      <c r="FU6" s="130" t="n"/>
      <c r="FV6" s="131" t="n"/>
      <c r="FW6" s="130" t="n"/>
      <c r="FX6" s="131" t="n"/>
      <c r="FY6" s="130" t="n"/>
      <c r="FZ6" s="131" t="n"/>
      <c r="GA6" s="130" t="n"/>
      <c r="GB6" s="131" t="n"/>
      <c r="GC6" s="130" t="n"/>
      <c r="GD6" s="131" t="n"/>
      <c r="GE6" s="130" t="n"/>
      <c r="GF6" s="131" t="n"/>
      <c r="GG6" s="130" t="n"/>
      <c r="GH6" s="131" t="n"/>
      <c r="GI6" s="130" t="n"/>
      <c r="GJ6" s="131" t="n"/>
      <c r="GK6" s="132" t="n"/>
      <c r="GL6" s="133" t="n"/>
      <c r="GM6" s="134" t="n"/>
      <c r="GN6" s="133" t="n"/>
      <c r="GO6" s="134" t="n"/>
      <c r="GP6" s="133" t="n"/>
      <c r="GQ6" s="134" t="n"/>
      <c r="GR6" s="133" t="n"/>
      <c r="GS6" s="134" t="n"/>
      <c r="GT6" s="133" t="n"/>
      <c r="GU6" s="134" t="n"/>
      <c r="GV6" s="133" t="n"/>
      <c r="GW6" s="134" t="n"/>
      <c r="GX6" s="133" t="n"/>
      <c r="GY6" s="134" t="n"/>
      <c r="GZ6" s="133" t="n"/>
      <c r="HA6" s="134" t="n"/>
      <c r="HB6" s="135" t="n"/>
      <c r="HC6">
        <f>97-SUMPRODUCT(MAX(($G$4:$HB$4="ح")*($G6:$HB6=TRUE)*(97-$G$47:$HB$47)))</f>
        <v>97</v>
      </c>
      <c r="HD6">
        <f>SUMPRODUCT(($G$4:$HB$4="ح")*($G6:$HB6=TRUE)*($G$47:$HB$47&gt;$HC$1-8))</f>
        <v>0</v>
      </c>
      <c r="HE6">
        <f>(COUNTIF($G6:$V6,TRUE)&gt;0)*($W6&lt;&gt;TRUE)+(COUNTIF($X6:$AM6,TRUE)&gt;0)*($AN6&lt;&gt;TRUE)+(COUNTIF($AO6:$BD6,TRUE)&gt;0)*($BE6&lt;&gt;TRUE)+(COUNTIF($BF6:$BU6,TRUE)&gt;0)*($BV6&lt;&gt;TRUE)+(COUNTIF($BW6:$CL6,TRUE)&gt;0)*($CM6&lt;&gt;TRUE)+(COUNTIF($CN6:$DC6,TRUE)&gt;0)*($DD6&lt;&gt;TRUE)+(COUNTIF($DE6:$DT6,TRUE)&gt;0)*($DU6&lt;&gt;TRUE)+(COUNTIF($DV6:$EK6,TRUE)&gt;0)*($EL6&lt;&gt;TRUE)+(COUNTIF($EM6:$FB6,TRUE)&gt;0)*($FC6&lt;&gt;TRUE)+(COUNTIF($FD6:$FS6,TRUE)&gt;0)*($FT6&lt;&gt;TRUE)+(COUNTIF($FU6:$GJ6,TRUE)&gt;0)*($GK6&lt;&gt;TRUE)+(COUNTIF($GL6:$HA6,TRUE)&gt;0)*($HB6&lt;&gt;TRUE)</f>
        <v>0</v>
      </c>
      <c r="HF6">
        <f>IF($HE6=0,0,13-MAX((COUNTIF($G6:$V6,TRUE)&gt;0)*($W6&lt;&gt;TRUE)*12,(COUNTIF($X6:$AM6,TRUE)&gt;0)*($AN6&lt;&gt;TRUE)*11,(COUNTIF($AO6:$BD6,TRUE)&gt;0)*($BE6&lt;&gt;TRUE)*10,(COUNTIF($BF6:$BU6,TRUE)&gt;0)*($BV6&lt;&gt;TRUE)*9,(COUNTIF($BW6:$CL6,TRUE)&gt;0)*($CM6&lt;&gt;TRUE)*8,(COUNTIF($CN6:$DC6,TRUE)&gt;0)*($DD6&lt;&gt;TRUE)*7,(COUNTIF($DE6:$DT6,TRUE)&gt;0)*($DU6&lt;&gt;TRUE)*6,(COUNTIF($DV6:$EK6,TRUE)&gt;0)*($EL6&lt;&gt;TRUE)*5,(COUNTIF($EM6:$FB6,TRUE)&gt;0)*($FC6&lt;&gt;TRUE)*4,(COUNTIF($FD6:$FS6,TRUE)&gt;0)*($FT6&lt;&gt;TRUE)*3,(COUNTIF($FU6:$GJ6,TRUE)&gt;0)*($GK6&lt;&gt;TRUE)*2,(COUNTIF($GL6:$HA6,TRUE)&gt;0)*($HB6&lt;&gt;TRUE)*1))</f>
        <v>0</v>
      </c>
    </row>
    <row r="7" ht="22.5" customHeight="1">
      <c r="A7" s="36" t="n">
        <v>3</v>
      </c>
      <c r="B7" s="97" t="n"/>
      <c r="C7" s="28" t="n"/>
      <c r="D7" s="98" t="str">
        <f>IF($B7="","",IF($HC7=97,"-",IF($HD7=0,"متوقف",SUMPRODUCT(($G$4:$HB$4="ح")*($G$20:$HB$20&gt;0)*($G7:$HB7&lt;&gt;TRUE)*($G$47:$HB$47&gt;$HC$1-8)*($G$47:$HB$47&gt;=$HC7)))))</f>
        <v/>
      </c>
      <c r="E7" s="98" t="str">
        <f>IF(OR($B7="",$HC7=97),"",SUMPRODUCT(($G$4:$HA$4="ح")*($G7:$HA7=TRUE)*($H7:$HB7&lt;&gt;TRUE)*($G$47:$HA$47&gt;$HC$1-8)))</f>
        <v/>
      </c>
      <c r="F7" s="99" t="str">
        <f>IF($B7="","",IF($HE7=0,IF($HC7=97,"-","تمام"),IF($HE7=1,IF(INDEX($G$1:$HB$1,1,17*($HF7-1)+1)="","شهر "&amp;$HF7,INDEX($G$1:$HB$1,1,17*($HF7-1)+1)),IF($HE7=2,"شهرين",$HE7&amp;" شهور"))))</f>
        <v/>
      </c>
      <c r="G7" s="100" t="n"/>
      <c r="H7" s="101" t="n"/>
      <c r="I7" s="100" t="n"/>
      <c r="J7" s="101" t="n"/>
      <c r="K7" s="100" t="n"/>
      <c r="L7" s="101" t="n"/>
      <c r="M7" s="100" t="n"/>
      <c r="N7" s="101" t="n"/>
      <c r="O7" s="100" t="n"/>
      <c r="P7" s="101" t="n"/>
      <c r="Q7" s="100" t="n"/>
      <c r="R7" s="101" t="n"/>
      <c r="S7" s="100" t="n"/>
      <c r="T7" s="101" t="n"/>
      <c r="U7" s="100" t="n"/>
      <c r="V7" s="101" t="n"/>
      <c r="W7" s="102" t="n"/>
      <c r="X7" s="103" t="n"/>
      <c r="Y7" s="104" t="n"/>
      <c r="Z7" s="103" t="n"/>
      <c r="AA7" s="104" t="n"/>
      <c r="AB7" s="103" t="n"/>
      <c r="AC7" s="104" t="n"/>
      <c r="AD7" s="103" t="n"/>
      <c r="AE7" s="104" t="n"/>
      <c r="AF7" s="103" t="n"/>
      <c r="AG7" s="104" t="n"/>
      <c r="AH7" s="103" t="n"/>
      <c r="AI7" s="104" t="n"/>
      <c r="AJ7" s="103" t="n"/>
      <c r="AK7" s="104" t="n"/>
      <c r="AL7" s="103" t="n"/>
      <c r="AM7" s="104" t="n"/>
      <c r="AN7" s="105" t="n"/>
      <c r="AO7" s="106" t="n"/>
      <c r="AP7" s="107" t="n"/>
      <c r="AQ7" s="106" t="n"/>
      <c r="AR7" s="107" t="n"/>
      <c r="AS7" s="106" t="n"/>
      <c r="AT7" s="107" t="n"/>
      <c r="AU7" s="106" t="n"/>
      <c r="AV7" s="107" t="n"/>
      <c r="AW7" s="106" t="n"/>
      <c r="AX7" s="107" t="n"/>
      <c r="AY7" s="106" t="n"/>
      <c r="AZ7" s="107" t="n"/>
      <c r="BA7" s="106" t="n"/>
      <c r="BB7" s="107" t="n"/>
      <c r="BC7" s="106" t="n"/>
      <c r="BD7" s="107" t="n"/>
      <c r="BE7" s="108" t="n"/>
      <c r="BF7" s="109" t="n"/>
      <c r="BG7" s="110" t="n"/>
      <c r="BH7" s="109" t="n"/>
      <c r="BI7" s="110" t="n"/>
      <c r="BJ7" s="109" t="n"/>
      <c r="BK7" s="110" t="n"/>
      <c r="BL7" s="109" t="n"/>
      <c r="BM7" s="110" t="n"/>
      <c r="BN7" s="109" t="n"/>
      <c r="BO7" s="110" t="n"/>
      <c r="BP7" s="109" t="n"/>
      <c r="BQ7" s="110" t="n"/>
      <c r="BR7" s="109" t="n"/>
      <c r="BS7" s="110" t="n"/>
      <c r="BT7" s="109" t="n"/>
      <c r="BU7" s="110" t="n"/>
      <c r="BV7" s="111" t="n"/>
      <c r="BW7" s="112" t="n"/>
      <c r="BX7" s="113" t="n"/>
      <c r="BY7" s="112" t="n"/>
      <c r="BZ7" s="113" t="n"/>
      <c r="CA7" s="112" t="n"/>
      <c r="CB7" s="113" t="n"/>
      <c r="CC7" s="112" t="n"/>
      <c r="CD7" s="113" t="n"/>
      <c r="CE7" s="112" t="n"/>
      <c r="CF7" s="113" t="n"/>
      <c r="CG7" s="112" t="n"/>
      <c r="CH7" s="113" t="n"/>
      <c r="CI7" s="112" t="n"/>
      <c r="CJ7" s="113" t="n"/>
      <c r="CK7" s="112" t="n"/>
      <c r="CL7" s="113" t="n"/>
      <c r="CM7" s="114" t="n"/>
      <c r="CN7" s="115" t="n"/>
      <c r="CO7" s="116" t="n"/>
      <c r="CP7" s="115" t="n"/>
      <c r="CQ7" s="116" t="n"/>
      <c r="CR7" s="115" t="n"/>
      <c r="CS7" s="116" t="n"/>
      <c r="CT7" s="115" t="n"/>
      <c r="CU7" s="116" t="n"/>
      <c r="CV7" s="115" t="n"/>
      <c r="CW7" s="116" t="n"/>
      <c r="CX7" s="115" t="n"/>
      <c r="CY7" s="116" t="n"/>
      <c r="CZ7" s="115" t="n"/>
      <c r="DA7" s="116" t="n"/>
      <c r="DB7" s="115" t="n"/>
      <c r="DC7" s="116" t="n"/>
      <c r="DD7" s="117" t="n"/>
      <c r="DE7" s="118" t="n"/>
      <c r="DF7" s="119" t="n"/>
      <c r="DG7" s="118" t="n"/>
      <c r="DH7" s="119" t="n"/>
      <c r="DI7" s="118" t="n"/>
      <c r="DJ7" s="119" t="n"/>
      <c r="DK7" s="118" t="n"/>
      <c r="DL7" s="119" t="n"/>
      <c r="DM7" s="118" t="n"/>
      <c r="DN7" s="119" t="n"/>
      <c r="DO7" s="118" t="n"/>
      <c r="DP7" s="119" t="n"/>
      <c r="DQ7" s="118" t="n"/>
      <c r="DR7" s="119" t="n"/>
      <c r="DS7" s="118" t="n"/>
      <c r="DT7" s="119" t="n"/>
      <c r="DU7" s="120" t="n"/>
      <c r="DV7" s="121" t="n"/>
      <c r="DW7" s="122" t="n"/>
      <c r="DX7" s="121" t="n"/>
      <c r="DY7" s="122" t="n"/>
      <c r="DZ7" s="121" t="n"/>
      <c r="EA7" s="122" t="n"/>
      <c r="EB7" s="121" t="n"/>
      <c r="EC7" s="122" t="n"/>
      <c r="ED7" s="121" t="n"/>
      <c r="EE7" s="122" t="n"/>
      <c r="EF7" s="121" t="n"/>
      <c r="EG7" s="122" t="n"/>
      <c r="EH7" s="121" t="n"/>
      <c r="EI7" s="122" t="n"/>
      <c r="EJ7" s="121" t="n"/>
      <c r="EK7" s="122" t="n"/>
      <c r="EL7" s="123" t="n"/>
      <c r="EM7" s="124" t="n"/>
      <c r="EN7" s="125" t="n"/>
      <c r="EO7" s="124" t="n"/>
      <c r="EP7" s="125" t="n"/>
      <c r="EQ7" s="124" t="n"/>
      <c r="ER7" s="125" t="n"/>
      <c r="ES7" s="124" t="n"/>
      <c r="ET7" s="125" t="n"/>
      <c r="EU7" s="124" t="n"/>
      <c r="EV7" s="125" t="n"/>
      <c r="EW7" s="124" t="n"/>
      <c r="EX7" s="125" t="n"/>
      <c r="EY7" s="124" t="n"/>
      <c r="EZ7" s="125" t="n"/>
      <c r="FA7" s="124" t="n"/>
      <c r="FB7" s="125" t="n"/>
      <c r="FC7" s="126" t="n"/>
      <c r="FD7" s="127" t="n"/>
      <c r="FE7" s="128" t="n"/>
      <c r="FF7" s="127" t="n"/>
      <c r="FG7" s="128" t="n"/>
      <c r="FH7" s="127" t="n"/>
      <c r="FI7" s="128" t="n"/>
      <c r="FJ7" s="127" t="n"/>
      <c r="FK7" s="128" t="n"/>
      <c r="FL7" s="127" t="n"/>
      <c r="FM7" s="128" t="n"/>
      <c r="FN7" s="127" t="n"/>
      <c r="FO7" s="128" t="n"/>
      <c r="FP7" s="127" t="n"/>
      <c r="FQ7" s="128" t="n"/>
      <c r="FR7" s="127" t="n"/>
      <c r="FS7" s="128" t="n"/>
      <c r="FT7" s="129" t="n"/>
      <c r="FU7" s="130" t="n"/>
      <c r="FV7" s="131" t="n"/>
      <c r="FW7" s="130" t="n"/>
      <c r="FX7" s="131" t="n"/>
      <c r="FY7" s="130" t="n"/>
      <c r="FZ7" s="131" t="n"/>
      <c r="GA7" s="130" t="n"/>
      <c r="GB7" s="131" t="n"/>
      <c r="GC7" s="130" t="n"/>
      <c r="GD7" s="131" t="n"/>
      <c r="GE7" s="130" t="n"/>
      <c r="GF7" s="131" t="n"/>
      <c r="GG7" s="130" t="n"/>
      <c r="GH7" s="131" t="n"/>
      <c r="GI7" s="130" t="n"/>
      <c r="GJ7" s="131" t="n"/>
      <c r="GK7" s="132" t="n"/>
      <c r="GL7" s="133" t="n"/>
      <c r="GM7" s="134" t="n"/>
      <c r="GN7" s="133" t="n"/>
      <c r="GO7" s="134" t="n"/>
      <c r="GP7" s="133" t="n"/>
      <c r="GQ7" s="134" t="n"/>
      <c r="GR7" s="133" t="n"/>
      <c r="GS7" s="134" t="n"/>
      <c r="GT7" s="133" t="n"/>
      <c r="GU7" s="134" t="n"/>
      <c r="GV7" s="133" t="n"/>
      <c r="GW7" s="134" t="n"/>
      <c r="GX7" s="133" t="n"/>
      <c r="GY7" s="134" t="n"/>
      <c r="GZ7" s="133" t="n"/>
      <c r="HA7" s="134" t="n"/>
      <c r="HB7" s="135" t="n"/>
      <c r="HC7">
        <f>97-SUMPRODUCT(MAX(($G$4:$HB$4="ح")*($G7:$HB7=TRUE)*(97-$G$47:$HB$47)))</f>
        <v>97</v>
      </c>
      <c r="HD7">
        <f>SUMPRODUCT(($G$4:$HB$4="ح")*($G7:$HB7=TRUE)*($G$47:$HB$47&gt;$HC$1-8))</f>
        <v>0</v>
      </c>
      <c r="HE7">
        <f>(COUNTIF($G7:$V7,TRUE)&gt;0)*($W7&lt;&gt;TRUE)+(COUNTIF($X7:$AM7,TRUE)&gt;0)*($AN7&lt;&gt;TRUE)+(COUNTIF($AO7:$BD7,TRUE)&gt;0)*($BE7&lt;&gt;TRUE)+(COUNTIF($BF7:$BU7,TRUE)&gt;0)*($BV7&lt;&gt;TRUE)+(COUNTIF($BW7:$CL7,TRUE)&gt;0)*($CM7&lt;&gt;TRUE)+(COUNTIF($CN7:$DC7,TRUE)&gt;0)*($DD7&lt;&gt;TRUE)+(COUNTIF($DE7:$DT7,TRUE)&gt;0)*($DU7&lt;&gt;TRUE)+(COUNTIF($DV7:$EK7,TRUE)&gt;0)*($EL7&lt;&gt;TRUE)+(COUNTIF($EM7:$FB7,TRUE)&gt;0)*($FC7&lt;&gt;TRUE)+(COUNTIF($FD7:$FS7,TRUE)&gt;0)*($FT7&lt;&gt;TRUE)+(COUNTIF($FU7:$GJ7,TRUE)&gt;0)*($GK7&lt;&gt;TRUE)+(COUNTIF($GL7:$HA7,TRUE)&gt;0)*($HB7&lt;&gt;TRUE)</f>
        <v>0</v>
      </c>
      <c r="HF7">
        <f>IF($HE7=0,0,13-MAX((COUNTIF($G7:$V7,TRUE)&gt;0)*($W7&lt;&gt;TRUE)*12,(COUNTIF($X7:$AM7,TRUE)&gt;0)*($AN7&lt;&gt;TRUE)*11,(COUNTIF($AO7:$BD7,TRUE)&gt;0)*($BE7&lt;&gt;TRUE)*10,(COUNTIF($BF7:$BU7,TRUE)&gt;0)*($BV7&lt;&gt;TRUE)*9,(COUNTIF($BW7:$CL7,TRUE)&gt;0)*($CM7&lt;&gt;TRUE)*8,(COUNTIF($CN7:$DC7,TRUE)&gt;0)*($DD7&lt;&gt;TRUE)*7,(COUNTIF($DE7:$DT7,TRUE)&gt;0)*($DU7&lt;&gt;TRUE)*6,(COUNTIF($DV7:$EK7,TRUE)&gt;0)*($EL7&lt;&gt;TRUE)*5,(COUNTIF($EM7:$FB7,TRUE)&gt;0)*($FC7&lt;&gt;TRUE)*4,(COUNTIF($FD7:$FS7,TRUE)&gt;0)*($FT7&lt;&gt;TRUE)*3,(COUNTIF($FU7:$GJ7,TRUE)&gt;0)*($GK7&lt;&gt;TRUE)*2,(COUNTIF($GL7:$HA7,TRUE)&gt;0)*($HB7&lt;&gt;TRUE)*1))</f>
        <v>0</v>
      </c>
    </row>
    <row r="8" ht="22.5" customHeight="1">
      <c r="A8" s="36" t="n">
        <v>4</v>
      </c>
      <c r="B8" s="97" t="n"/>
      <c r="C8" s="28" t="n"/>
      <c r="D8" s="98" t="str">
        <f>IF($B8="","",IF($HC8=97,"-",IF($HD8=0,"متوقف",SUMPRODUCT(($G$4:$HB$4="ح")*($G$20:$HB$20&gt;0)*($G8:$HB8&lt;&gt;TRUE)*($G$47:$HB$47&gt;$HC$1-8)*($G$47:$HB$47&gt;=$HC8)))))</f>
        <v/>
      </c>
      <c r="E8" s="98" t="str">
        <f>IF(OR($B8="",$HC8=97),"",SUMPRODUCT(($G$4:$HA$4="ح")*($G8:$HA8=TRUE)*($H8:$HB8&lt;&gt;TRUE)*($G$47:$HA$47&gt;$HC$1-8)))</f>
        <v/>
      </c>
      <c r="F8" s="99" t="str">
        <f>IF($B8="","",IF($HE8=0,IF($HC8=97,"-","تمام"),IF($HE8=1,IF(INDEX($G$1:$HB$1,1,17*($HF8-1)+1)="","شهر "&amp;$HF8,INDEX($G$1:$HB$1,1,17*($HF8-1)+1)),IF($HE8=2,"شهرين",$HE8&amp;" شهور"))))</f>
        <v/>
      </c>
      <c r="G8" s="100" t="n"/>
      <c r="H8" s="101" t="n"/>
      <c r="I8" s="100" t="n"/>
      <c r="J8" s="101" t="n"/>
      <c r="K8" s="100" t="n"/>
      <c r="L8" s="101" t="n"/>
      <c r="M8" s="100" t="n"/>
      <c r="N8" s="101" t="n"/>
      <c r="O8" s="100" t="n"/>
      <c r="P8" s="101" t="n"/>
      <c r="Q8" s="100" t="n"/>
      <c r="R8" s="101" t="n"/>
      <c r="S8" s="100" t="n"/>
      <c r="T8" s="101" t="n"/>
      <c r="U8" s="100" t="n"/>
      <c r="V8" s="101" t="n"/>
      <c r="W8" s="102" t="n"/>
      <c r="X8" s="103" t="n"/>
      <c r="Y8" s="104" t="n"/>
      <c r="Z8" s="103" t="n"/>
      <c r="AA8" s="104" t="n"/>
      <c r="AB8" s="103" t="n"/>
      <c r="AC8" s="104" t="n"/>
      <c r="AD8" s="103" t="n"/>
      <c r="AE8" s="104" t="n"/>
      <c r="AF8" s="103" t="n"/>
      <c r="AG8" s="104" t="n"/>
      <c r="AH8" s="103" t="n"/>
      <c r="AI8" s="104" t="n"/>
      <c r="AJ8" s="103" t="n"/>
      <c r="AK8" s="104" t="n"/>
      <c r="AL8" s="103" t="n"/>
      <c r="AM8" s="104" t="n"/>
      <c r="AN8" s="105" t="n"/>
      <c r="AO8" s="106" t="n"/>
      <c r="AP8" s="107" t="n"/>
      <c r="AQ8" s="106" t="n"/>
      <c r="AR8" s="107" t="n"/>
      <c r="AS8" s="106" t="n"/>
      <c r="AT8" s="107" t="n"/>
      <c r="AU8" s="106" t="n"/>
      <c r="AV8" s="107" t="n"/>
      <c r="AW8" s="106" t="n"/>
      <c r="AX8" s="107" t="n"/>
      <c r="AY8" s="106" t="n"/>
      <c r="AZ8" s="107" t="n"/>
      <c r="BA8" s="106" t="n"/>
      <c r="BB8" s="107" t="n"/>
      <c r="BC8" s="106" t="n"/>
      <c r="BD8" s="107" t="n"/>
      <c r="BE8" s="108" t="n"/>
      <c r="BF8" s="109" t="n"/>
      <c r="BG8" s="110" t="n"/>
      <c r="BH8" s="109" t="n"/>
      <c r="BI8" s="110" t="n"/>
      <c r="BJ8" s="109" t="n"/>
      <c r="BK8" s="110" t="n"/>
      <c r="BL8" s="109" t="n"/>
      <c r="BM8" s="110" t="n"/>
      <c r="BN8" s="109" t="n"/>
      <c r="BO8" s="110" t="n"/>
      <c r="BP8" s="109" t="n"/>
      <c r="BQ8" s="110" t="n"/>
      <c r="BR8" s="109" t="n"/>
      <c r="BS8" s="110" t="n"/>
      <c r="BT8" s="109" t="n"/>
      <c r="BU8" s="110" t="n"/>
      <c r="BV8" s="111" t="n"/>
      <c r="BW8" s="112" t="n"/>
      <c r="BX8" s="113" t="n"/>
      <c r="BY8" s="112" t="n"/>
      <c r="BZ8" s="113" t="n"/>
      <c r="CA8" s="112" t="n"/>
      <c r="CB8" s="113" t="n"/>
      <c r="CC8" s="112" t="n"/>
      <c r="CD8" s="113" t="n"/>
      <c r="CE8" s="112" t="n"/>
      <c r="CF8" s="113" t="n"/>
      <c r="CG8" s="112" t="n"/>
      <c r="CH8" s="113" t="n"/>
      <c r="CI8" s="112" t="n"/>
      <c r="CJ8" s="113" t="n"/>
      <c r="CK8" s="112" t="n"/>
      <c r="CL8" s="113" t="n"/>
      <c r="CM8" s="114" t="n"/>
      <c r="CN8" s="115" t="n"/>
      <c r="CO8" s="116" t="n"/>
      <c r="CP8" s="115" t="n"/>
      <c r="CQ8" s="116" t="n"/>
      <c r="CR8" s="115" t="n"/>
      <c r="CS8" s="116" t="n"/>
      <c r="CT8" s="115" t="n"/>
      <c r="CU8" s="116" t="n"/>
      <c r="CV8" s="115" t="n"/>
      <c r="CW8" s="116" t="n"/>
      <c r="CX8" s="115" t="n"/>
      <c r="CY8" s="116" t="n"/>
      <c r="CZ8" s="115" t="n"/>
      <c r="DA8" s="116" t="n"/>
      <c r="DB8" s="115" t="n"/>
      <c r="DC8" s="116" t="n"/>
      <c r="DD8" s="117" t="n"/>
      <c r="DE8" s="118" t="n"/>
      <c r="DF8" s="119" t="n"/>
      <c r="DG8" s="118" t="n"/>
      <c r="DH8" s="119" t="n"/>
      <c r="DI8" s="118" t="n"/>
      <c r="DJ8" s="119" t="n"/>
      <c r="DK8" s="118" t="n"/>
      <c r="DL8" s="119" t="n"/>
      <c r="DM8" s="118" t="n"/>
      <c r="DN8" s="119" t="n"/>
      <c r="DO8" s="118" t="n"/>
      <c r="DP8" s="119" t="n"/>
      <c r="DQ8" s="118" t="n"/>
      <c r="DR8" s="119" t="n"/>
      <c r="DS8" s="118" t="n"/>
      <c r="DT8" s="119" t="n"/>
      <c r="DU8" s="120" t="n"/>
      <c r="DV8" s="121" t="n"/>
      <c r="DW8" s="122" t="n"/>
      <c r="DX8" s="121" t="n"/>
      <c r="DY8" s="122" t="n"/>
      <c r="DZ8" s="121" t="n"/>
      <c r="EA8" s="122" t="n"/>
      <c r="EB8" s="121" t="n"/>
      <c r="EC8" s="122" t="n"/>
      <c r="ED8" s="121" t="n"/>
      <c r="EE8" s="122" t="n"/>
      <c r="EF8" s="121" t="n"/>
      <c r="EG8" s="122" t="n"/>
      <c r="EH8" s="121" t="n"/>
      <c r="EI8" s="122" t="n"/>
      <c r="EJ8" s="121" t="n"/>
      <c r="EK8" s="122" t="n"/>
      <c r="EL8" s="123" t="n"/>
      <c r="EM8" s="124" t="n"/>
      <c r="EN8" s="125" t="n"/>
      <c r="EO8" s="124" t="n"/>
      <c r="EP8" s="125" t="n"/>
      <c r="EQ8" s="124" t="n"/>
      <c r="ER8" s="125" t="n"/>
      <c r="ES8" s="124" t="n"/>
      <c r="ET8" s="125" t="n"/>
      <c r="EU8" s="124" t="n"/>
      <c r="EV8" s="125" t="n"/>
      <c r="EW8" s="124" t="n"/>
      <c r="EX8" s="125" t="n"/>
      <c r="EY8" s="124" t="n"/>
      <c r="EZ8" s="125" t="n"/>
      <c r="FA8" s="124" t="n"/>
      <c r="FB8" s="125" t="n"/>
      <c r="FC8" s="126" t="n"/>
      <c r="FD8" s="127" t="n"/>
      <c r="FE8" s="128" t="n"/>
      <c r="FF8" s="127" t="n"/>
      <c r="FG8" s="128" t="n"/>
      <c r="FH8" s="127" t="n"/>
      <c r="FI8" s="128" t="n"/>
      <c r="FJ8" s="127" t="n"/>
      <c r="FK8" s="128" t="n"/>
      <c r="FL8" s="127" t="n"/>
      <c r="FM8" s="128" t="n"/>
      <c r="FN8" s="127" t="n"/>
      <c r="FO8" s="128" t="n"/>
      <c r="FP8" s="127" t="n"/>
      <c r="FQ8" s="128" t="n"/>
      <c r="FR8" s="127" t="n"/>
      <c r="FS8" s="128" t="n"/>
      <c r="FT8" s="129" t="n"/>
      <c r="FU8" s="130" t="n"/>
      <c r="FV8" s="131" t="n"/>
      <c r="FW8" s="130" t="n"/>
      <c r="FX8" s="131" t="n"/>
      <c r="FY8" s="130" t="n"/>
      <c r="FZ8" s="131" t="n"/>
      <c r="GA8" s="130" t="n"/>
      <c r="GB8" s="131" t="n"/>
      <c r="GC8" s="130" t="n"/>
      <c r="GD8" s="131" t="n"/>
      <c r="GE8" s="130" t="n"/>
      <c r="GF8" s="131" t="n"/>
      <c r="GG8" s="130" t="n"/>
      <c r="GH8" s="131" t="n"/>
      <c r="GI8" s="130" t="n"/>
      <c r="GJ8" s="131" t="n"/>
      <c r="GK8" s="132" t="n"/>
      <c r="GL8" s="133" t="n"/>
      <c r="GM8" s="134" t="n"/>
      <c r="GN8" s="133" t="n"/>
      <c r="GO8" s="134" t="n"/>
      <c r="GP8" s="133" t="n"/>
      <c r="GQ8" s="134" t="n"/>
      <c r="GR8" s="133" t="n"/>
      <c r="GS8" s="134" t="n"/>
      <c r="GT8" s="133" t="n"/>
      <c r="GU8" s="134" t="n"/>
      <c r="GV8" s="133" t="n"/>
      <c r="GW8" s="134" t="n"/>
      <c r="GX8" s="133" t="n"/>
      <c r="GY8" s="134" t="n"/>
      <c r="GZ8" s="133" t="n"/>
      <c r="HA8" s="134" t="n"/>
      <c r="HB8" s="135" t="n"/>
      <c r="HC8">
        <f>97-SUMPRODUCT(MAX(($G$4:$HB$4="ح")*($G8:$HB8=TRUE)*(97-$G$47:$HB$47)))</f>
        <v>97</v>
      </c>
      <c r="HD8">
        <f>SUMPRODUCT(($G$4:$HB$4="ح")*($G8:$HB8=TRUE)*($G$47:$HB$47&gt;$HC$1-8))</f>
        <v>0</v>
      </c>
      <c r="HE8">
        <f>(COUNTIF($G8:$V8,TRUE)&gt;0)*($W8&lt;&gt;TRUE)+(COUNTIF($X8:$AM8,TRUE)&gt;0)*($AN8&lt;&gt;TRUE)+(COUNTIF($AO8:$BD8,TRUE)&gt;0)*($BE8&lt;&gt;TRUE)+(COUNTIF($BF8:$BU8,TRUE)&gt;0)*($BV8&lt;&gt;TRUE)+(COUNTIF($BW8:$CL8,TRUE)&gt;0)*($CM8&lt;&gt;TRUE)+(COUNTIF($CN8:$DC8,TRUE)&gt;0)*($DD8&lt;&gt;TRUE)+(COUNTIF($DE8:$DT8,TRUE)&gt;0)*($DU8&lt;&gt;TRUE)+(COUNTIF($DV8:$EK8,TRUE)&gt;0)*($EL8&lt;&gt;TRUE)+(COUNTIF($EM8:$FB8,TRUE)&gt;0)*($FC8&lt;&gt;TRUE)+(COUNTIF($FD8:$FS8,TRUE)&gt;0)*($FT8&lt;&gt;TRUE)+(COUNTIF($FU8:$GJ8,TRUE)&gt;0)*($GK8&lt;&gt;TRUE)+(COUNTIF($GL8:$HA8,TRUE)&gt;0)*($HB8&lt;&gt;TRUE)</f>
        <v>0</v>
      </c>
      <c r="HF8">
        <f>IF($HE8=0,0,13-MAX((COUNTIF($G8:$V8,TRUE)&gt;0)*($W8&lt;&gt;TRUE)*12,(COUNTIF($X8:$AM8,TRUE)&gt;0)*($AN8&lt;&gt;TRUE)*11,(COUNTIF($AO8:$BD8,TRUE)&gt;0)*($BE8&lt;&gt;TRUE)*10,(COUNTIF($BF8:$BU8,TRUE)&gt;0)*($BV8&lt;&gt;TRUE)*9,(COUNTIF($BW8:$CL8,TRUE)&gt;0)*($CM8&lt;&gt;TRUE)*8,(COUNTIF($CN8:$DC8,TRUE)&gt;0)*($DD8&lt;&gt;TRUE)*7,(COUNTIF($DE8:$DT8,TRUE)&gt;0)*($DU8&lt;&gt;TRUE)*6,(COUNTIF($DV8:$EK8,TRUE)&gt;0)*($EL8&lt;&gt;TRUE)*5,(COUNTIF($EM8:$FB8,TRUE)&gt;0)*($FC8&lt;&gt;TRUE)*4,(COUNTIF($FD8:$FS8,TRUE)&gt;0)*($FT8&lt;&gt;TRUE)*3,(COUNTIF($FU8:$GJ8,TRUE)&gt;0)*($GK8&lt;&gt;TRUE)*2,(COUNTIF($GL8:$HA8,TRUE)&gt;0)*($HB8&lt;&gt;TRUE)*1))</f>
        <v>0</v>
      </c>
    </row>
    <row r="9" ht="22.5" customHeight="1">
      <c r="A9" s="36" t="n">
        <v>5</v>
      </c>
      <c r="B9" s="97" t="n"/>
      <c r="C9" s="28" t="n"/>
      <c r="D9" s="98" t="str">
        <f>IF($B9="","",IF($HC9=97,"-",IF($HD9=0,"متوقف",SUMPRODUCT(($G$4:$HB$4="ح")*($G$20:$HB$20&gt;0)*($G9:$HB9&lt;&gt;TRUE)*($G$47:$HB$47&gt;$HC$1-8)*($G$47:$HB$47&gt;=$HC9)))))</f>
        <v/>
      </c>
      <c r="E9" s="98" t="str">
        <f>IF(OR($B9="",$HC9=97),"",SUMPRODUCT(($G$4:$HA$4="ح")*($G9:$HA9=TRUE)*($H9:$HB9&lt;&gt;TRUE)*($G$47:$HA$47&gt;$HC$1-8)))</f>
        <v/>
      </c>
      <c r="F9" s="99" t="str">
        <f>IF($B9="","",IF($HE9=0,IF($HC9=97,"-","تمام"),IF($HE9=1,IF(INDEX($G$1:$HB$1,1,17*($HF9-1)+1)="","شهر "&amp;$HF9,INDEX($G$1:$HB$1,1,17*($HF9-1)+1)),IF($HE9=2,"شهرين",$HE9&amp;" شهور"))))</f>
        <v/>
      </c>
      <c r="G9" s="100" t="n"/>
      <c r="H9" s="101" t="n"/>
      <c r="I9" s="100" t="n"/>
      <c r="J9" s="101" t="n"/>
      <c r="K9" s="100" t="n"/>
      <c r="L9" s="101" t="n"/>
      <c r="M9" s="100" t="n"/>
      <c r="N9" s="101" t="n"/>
      <c r="O9" s="100" t="n"/>
      <c r="P9" s="101" t="n"/>
      <c r="Q9" s="100" t="n"/>
      <c r="R9" s="101" t="n"/>
      <c r="S9" s="100" t="n"/>
      <c r="T9" s="101" t="n"/>
      <c r="U9" s="100" t="n"/>
      <c r="V9" s="101" t="n"/>
      <c r="W9" s="102" t="n"/>
      <c r="X9" s="103" t="n"/>
      <c r="Y9" s="104" t="n"/>
      <c r="Z9" s="103" t="n"/>
      <c r="AA9" s="104" t="n"/>
      <c r="AB9" s="103" t="n"/>
      <c r="AC9" s="104" t="n"/>
      <c r="AD9" s="103" t="n"/>
      <c r="AE9" s="104" t="n"/>
      <c r="AF9" s="103" t="n"/>
      <c r="AG9" s="104" t="n"/>
      <c r="AH9" s="103" t="n"/>
      <c r="AI9" s="104" t="n"/>
      <c r="AJ9" s="103" t="n"/>
      <c r="AK9" s="104" t="n"/>
      <c r="AL9" s="103" t="n"/>
      <c r="AM9" s="104" t="n"/>
      <c r="AN9" s="105" t="n"/>
      <c r="AO9" s="106" t="n"/>
      <c r="AP9" s="107" t="n"/>
      <c r="AQ9" s="106" t="n"/>
      <c r="AR9" s="107" t="n"/>
      <c r="AS9" s="106" t="n"/>
      <c r="AT9" s="107" t="n"/>
      <c r="AU9" s="106" t="n"/>
      <c r="AV9" s="107" t="n"/>
      <c r="AW9" s="106" t="n"/>
      <c r="AX9" s="107" t="n"/>
      <c r="AY9" s="106" t="n"/>
      <c r="AZ9" s="107" t="n"/>
      <c r="BA9" s="106" t="n"/>
      <c r="BB9" s="107" t="n"/>
      <c r="BC9" s="106" t="n"/>
      <c r="BD9" s="107" t="n"/>
      <c r="BE9" s="108" t="n"/>
      <c r="BF9" s="109" t="n"/>
      <c r="BG9" s="110" t="n"/>
      <c r="BH9" s="109" t="n"/>
      <c r="BI9" s="110" t="n"/>
      <c r="BJ9" s="109" t="n"/>
      <c r="BK9" s="110" t="n"/>
      <c r="BL9" s="109" t="n"/>
      <c r="BM9" s="110" t="n"/>
      <c r="BN9" s="109" t="n"/>
      <c r="BO9" s="110" t="n"/>
      <c r="BP9" s="109" t="n"/>
      <c r="BQ9" s="110" t="n"/>
      <c r="BR9" s="109" t="n"/>
      <c r="BS9" s="110" t="n"/>
      <c r="BT9" s="109" t="n"/>
      <c r="BU9" s="110" t="n"/>
      <c r="BV9" s="111" t="n"/>
      <c r="BW9" s="112" t="n"/>
      <c r="BX9" s="113" t="n"/>
      <c r="BY9" s="112" t="n"/>
      <c r="BZ9" s="113" t="n"/>
      <c r="CA9" s="112" t="n"/>
      <c r="CB9" s="113" t="n"/>
      <c r="CC9" s="112" t="n"/>
      <c r="CD9" s="113" t="n"/>
      <c r="CE9" s="112" t="n"/>
      <c r="CF9" s="113" t="n"/>
      <c r="CG9" s="112" t="n"/>
      <c r="CH9" s="113" t="n"/>
      <c r="CI9" s="112" t="n"/>
      <c r="CJ9" s="113" t="n"/>
      <c r="CK9" s="112" t="n"/>
      <c r="CL9" s="113" t="n"/>
      <c r="CM9" s="114" t="n"/>
      <c r="CN9" s="115" t="n"/>
      <c r="CO9" s="116" t="n"/>
      <c r="CP9" s="115" t="n"/>
      <c r="CQ9" s="116" t="n"/>
      <c r="CR9" s="115" t="n"/>
      <c r="CS9" s="116" t="n"/>
      <c r="CT9" s="115" t="n"/>
      <c r="CU9" s="116" t="n"/>
      <c r="CV9" s="115" t="n"/>
      <c r="CW9" s="116" t="n"/>
      <c r="CX9" s="115" t="n"/>
      <c r="CY9" s="116" t="n"/>
      <c r="CZ9" s="115" t="n"/>
      <c r="DA9" s="116" t="n"/>
      <c r="DB9" s="115" t="n"/>
      <c r="DC9" s="116" t="n"/>
      <c r="DD9" s="117" t="n"/>
      <c r="DE9" s="118" t="n"/>
      <c r="DF9" s="119" t="n"/>
      <c r="DG9" s="118" t="n"/>
      <c r="DH9" s="119" t="n"/>
      <c r="DI9" s="118" t="n"/>
      <c r="DJ9" s="119" t="n"/>
      <c r="DK9" s="118" t="n"/>
      <c r="DL9" s="119" t="n"/>
      <c r="DM9" s="118" t="n"/>
      <c r="DN9" s="119" t="n"/>
      <c r="DO9" s="118" t="n"/>
      <c r="DP9" s="119" t="n"/>
      <c r="DQ9" s="118" t="n"/>
      <c r="DR9" s="119" t="n"/>
      <c r="DS9" s="118" t="n"/>
      <c r="DT9" s="119" t="n"/>
      <c r="DU9" s="120" t="n"/>
      <c r="DV9" s="121" t="n"/>
      <c r="DW9" s="122" t="n"/>
      <c r="DX9" s="121" t="n"/>
      <c r="DY9" s="122" t="n"/>
      <c r="DZ9" s="121" t="n"/>
      <c r="EA9" s="122" t="n"/>
      <c r="EB9" s="121" t="n"/>
      <c r="EC9" s="122" t="n"/>
      <c r="ED9" s="121" t="n"/>
      <c r="EE9" s="122" t="n"/>
      <c r="EF9" s="121" t="n"/>
      <c r="EG9" s="122" t="n"/>
      <c r="EH9" s="121" t="n"/>
      <c r="EI9" s="122" t="n"/>
      <c r="EJ9" s="121" t="n"/>
      <c r="EK9" s="122" t="n"/>
      <c r="EL9" s="123" t="n"/>
      <c r="EM9" s="124" t="n"/>
      <c r="EN9" s="125" t="n"/>
      <c r="EO9" s="124" t="n"/>
      <c r="EP9" s="125" t="n"/>
      <c r="EQ9" s="124" t="n"/>
      <c r="ER9" s="125" t="n"/>
      <c r="ES9" s="124" t="n"/>
      <c r="ET9" s="125" t="n"/>
      <c r="EU9" s="124" t="n"/>
      <c r="EV9" s="125" t="n"/>
      <c r="EW9" s="124" t="n"/>
      <c r="EX9" s="125" t="n"/>
      <c r="EY9" s="124" t="n"/>
      <c r="EZ9" s="125" t="n"/>
      <c r="FA9" s="124" t="n"/>
      <c r="FB9" s="125" t="n"/>
      <c r="FC9" s="126" t="n"/>
      <c r="FD9" s="127" t="n"/>
      <c r="FE9" s="128" t="n"/>
      <c r="FF9" s="127" t="n"/>
      <c r="FG9" s="128" t="n"/>
      <c r="FH9" s="127" t="n"/>
      <c r="FI9" s="128" t="n"/>
      <c r="FJ9" s="127" t="n"/>
      <c r="FK9" s="128" t="n"/>
      <c r="FL9" s="127" t="n"/>
      <c r="FM9" s="128" t="n"/>
      <c r="FN9" s="127" t="n"/>
      <c r="FO9" s="128" t="n"/>
      <c r="FP9" s="127" t="n"/>
      <c r="FQ9" s="128" t="n"/>
      <c r="FR9" s="127" t="n"/>
      <c r="FS9" s="128" t="n"/>
      <c r="FT9" s="129" t="n"/>
      <c r="FU9" s="130" t="n"/>
      <c r="FV9" s="131" t="n"/>
      <c r="FW9" s="130" t="n"/>
      <c r="FX9" s="131" t="n"/>
      <c r="FY9" s="130" t="n"/>
      <c r="FZ9" s="131" t="n"/>
      <c r="GA9" s="130" t="n"/>
      <c r="GB9" s="131" t="n"/>
      <c r="GC9" s="130" t="n"/>
      <c r="GD9" s="131" t="n"/>
      <c r="GE9" s="130" t="n"/>
      <c r="GF9" s="131" t="n"/>
      <c r="GG9" s="130" t="n"/>
      <c r="GH9" s="131" t="n"/>
      <c r="GI9" s="130" t="n"/>
      <c r="GJ9" s="131" t="n"/>
      <c r="GK9" s="132" t="n"/>
      <c r="GL9" s="133" t="n"/>
      <c r="GM9" s="134" t="n"/>
      <c r="GN9" s="133" t="n"/>
      <c r="GO9" s="134" t="n"/>
      <c r="GP9" s="133" t="n"/>
      <c r="GQ9" s="134" t="n"/>
      <c r="GR9" s="133" t="n"/>
      <c r="GS9" s="134" t="n"/>
      <c r="GT9" s="133" t="n"/>
      <c r="GU9" s="134" t="n"/>
      <c r="GV9" s="133" t="n"/>
      <c r="GW9" s="134" t="n"/>
      <c r="GX9" s="133" t="n"/>
      <c r="GY9" s="134" t="n"/>
      <c r="GZ9" s="133" t="n"/>
      <c r="HA9" s="134" t="n"/>
      <c r="HB9" s="135" t="n"/>
      <c r="HC9">
        <f>97-SUMPRODUCT(MAX(($G$4:$HB$4="ح")*($G9:$HB9=TRUE)*(97-$G$47:$HB$47)))</f>
        <v>97</v>
      </c>
      <c r="HD9">
        <f>SUMPRODUCT(($G$4:$HB$4="ح")*($G9:$HB9=TRUE)*($G$47:$HB$47&gt;$HC$1-8))</f>
        <v>0</v>
      </c>
      <c r="HE9">
        <f>(COUNTIF($G9:$V9,TRUE)&gt;0)*($W9&lt;&gt;TRUE)+(COUNTIF($X9:$AM9,TRUE)&gt;0)*($AN9&lt;&gt;TRUE)+(COUNTIF($AO9:$BD9,TRUE)&gt;0)*($BE9&lt;&gt;TRUE)+(COUNTIF($BF9:$BU9,TRUE)&gt;0)*($BV9&lt;&gt;TRUE)+(COUNTIF($BW9:$CL9,TRUE)&gt;0)*($CM9&lt;&gt;TRUE)+(COUNTIF($CN9:$DC9,TRUE)&gt;0)*($DD9&lt;&gt;TRUE)+(COUNTIF($DE9:$DT9,TRUE)&gt;0)*($DU9&lt;&gt;TRUE)+(COUNTIF($DV9:$EK9,TRUE)&gt;0)*($EL9&lt;&gt;TRUE)+(COUNTIF($EM9:$FB9,TRUE)&gt;0)*($FC9&lt;&gt;TRUE)+(COUNTIF($FD9:$FS9,TRUE)&gt;0)*($FT9&lt;&gt;TRUE)+(COUNTIF($FU9:$GJ9,TRUE)&gt;0)*($GK9&lt;&gt;TRUE)+(COUNTIF($GL9:$HA9,TRUE)&gt;0)*($HB9&lt;&gt;TRUE)</f>
        <v>0</v>
      </c>
      <c r="HF9">
        <f>IF($HE9=0,0,13-MAX((COUNTIF($G9:$V9,TRUE)&gt;0)*($W9&lt;&gt;TRUE)*12,(COUNTIF($X9:$AM9,TRUE)&gt;0)*($AN9&lt;&gt;TRUE)*11,(COUNTIF($AO9:$BD9,TRUE)&gt;0)*($BE9&lt;&gt;TRUE)*10,(COUNTIF($BF9:$BU9,TRUE)&gt;0)*($BV9&lt;&gt;TRUE)*9,(COUNTIF($BW9:$CL9,TRUE)&gt;0)*($CM9&lt;&gt;TRUE)*8,(COUNTIF($CN9:$DC9,TRUE)&gt;0)*($DD9&lt;&gt;TRUE)*7,(COUNTIF($DE9:$DT9,TRUE)&gt;0)*($DU9&lt;&gt;TRUE)*6,(COUNTIF($DV9:$EK9,TRUE)&gt;0)*($EL9&lt;&gt;TRUE)*5,(COUNTIF($EM9:$FB9,TRUE)&gt;0)*($FC9&lt;&gt;TRUE)*4,(COUNTIF($FD9:$FS9,TRUE)&gt;0)*($FT9&lt;&gt;TRUE)*3,(COUNTIF($FU9:$GJ9,TRUE)&gt;0)*($GK9&lt;&gt;TRUE)*2,(COUNTIF($GL9:$HA9,TRUE)&gt;0)*($HB9&lt;&gt;TRUE)*1))</f>
        <v>0</v>
      </c>
    </row>
    <row r="10" ht="22.5" customHeight="1">
      <c r="A10" s="36" t="n">
        <v>6</v>
      </c>
      <c r="B10" s="97" t="n"/>
      <c r="C10" s="28" t="n"/>
      <c r="D10" s="98" t="str">
        <f>IF($B10="","",IF($HC10=97,"-",IF($HD10=0,"متوقف",SUMPRODUCT(($G$4:$HB$4="ح")*($G$20:$HB$20&gt;0)*($G10:$HB10&lt;&gt;TRUE)*($G$47:$HB$47&gt;$HC$1-8)*($G$47:$HB$47&gt;=$HC10)))))</f>
        <v/>
      </c>
      <c r="E10" s="98" t="str">
        <f>IF(OR($B10="",$HC10=97),"",SUMPRODUCT(($G$4:$HA$4="ح")*($G10:$HA10=TRUE)*($H10:$HB10&lt;&gt;TRUE)*($G$47:$HA$47&gt;$HC$1-8)))</f>
        <v/>
      </c>
      <c r="F10" s="99" t="str">
        <f>IF($B10="","",IF($HE10=0,IF($HC10=97,"-","تمام"),IF($HE10=1,IF(INDEX($G$1:$HB$1,1,17*($HF10-1)+1)="","شهر "&amp;$HF10,INDEX($G$1:$HB$1,1,17*($HF10-1)+1)),IF($HE10=2,"شهرين",$HE10&amp;" شهور"))))</f>
        <v/>
      </c>
      <c r="G10" s="100" t="n"/>
      <c r="H10" s="101" t="n"/>
      <c r="I10" s="100" t="n"/>
      <c r="J10" s="101" t="n"/>
      <c r="K10" s="100" t="n"/>
      <c r="L10" s="101" t="n"/>
      <c r="M10" s="100" t="n"/>
      <c r="N10" s="101" t="n"/>
      <c r="O10" s="100" t="n"/>
      <c r="P10" s="101" t="n"/>
      <c r="Q10" s="100" t="n"/>
      <c r="R10" s="101" t="n"/>
      <c r="S10" s="100" t="n"/>
      <c r="T10" s="101" t="n"/>
      <c r="U10" s="100" t="n"/>
      <c r="V10" s="101" t="n"/>
      <c r="W10" s="102" t="n"/>
      <c r="X10" s="103" t="n"/>
      <c r="Y10" s="104" t="n"/>
      <c r="Z10" s="103" t="n"/>
      <c r="AA10" s="104" t="n"/>
      <c r="AB10" s="103" t="n"/>
      <c r="AC10" s="104" t="n"/>
      <c r="AD10" s="103" t="n"/>
      <c r="AE10" s="104" t="n"/>
      <c r="AF10" s="103" t="n"/>
      <c r="AG10" s="104" t="n"/>
      <c r="AH10" s="103" t="n"/>
      <c r="AI10" s="104" t="n"/>
      <c r="AJ10" s="103" t="n"/>
      <c r="AK10" s="104" t="n"/>
      <c r="AL10" s="103" t="n"/>
      <c r="AM10" s="104" t="n"/>
      <c r="AN10" s="105" t="n"/>
      <c r="AO10" s="106" t="n"/>
      <c r="AP10" s="107" t="n"/>
      <c r="AQ10" s="106" t="n"/>
      <c r="AR10" s="107" t="n"/>
      <c r="AS10" s="106" t="n"/>
      <c r="AT10" s="107" t="n"/>
      <c r="AU10" s="106" t="n"/>
      <c r="AV10" s="107" t="n"/>
      <c r="AW10" s="106" t="n"/>
      <c r="AX10" s="107" t="n"/>
      <c r="AY10" s="106" t="n"/>
      <c r="AZ10" s="107" t="n"/>
      <c r="BA10" s="106" t="n"/>
      <c r="BB10" s="107" t="n"/>
      <c r="BC10" s="106" t="n"/>
      <c r="BD10" s="107" t="n"/>
      <c r="BE10" s="108" t="n"/>
      <c r="BF10" s="109" t="n"/>
      <c r="BG10" s="110" t="n"/>
      <c r="BH10" s="109" t="n"/>
      <c r="BI10" s="110" t="n"/>
      <c r="BJ10" s="109" t="n"/>
      <c r="BK10" s="110" t="n"/>
      <c r="BL10" s="109" t="n"/>
      <c r="BM10" s="110" t="n"/>
      <c r="BN10" s="109" t="n"/>
      <c r="BO10" s="110" t="n"/>
      <c r="BP10" s="109" t="n"/>
      <c r="BQ10" s="110" t="n"/>
      <c r="BR10" s="109" t="n"/>
      <c r="BS10" s="110" t="n"/>
      <c r="BT10" s="109" t="n"/>
      <c r="BU10" s="110" t="n"/>
      <c r="BV10" s="111" t="n"/>
      <c r="BW10" s="112" t="n"/>
      <c r="BX10" s="113" t="n"/>
      <c r="BY10" s="112" t="n"/>
      <c r="BZ10" s="113" t="n"/>
      <c r="CA10" s="112" t="n"/>
      <c r="CB10" s="113" t="n"/>
      <c r="CC10" s="112" t="n"/>
      <c r="CD10" s="113" t="n"/>
      <c r="CE10" s="112" t="n"/>
      <c r="CF10" s="113" t="n"/>
      <c r="CG10" s="112" t="n"/>
      <c r="CH10" s="113" t="n"/>
      <c r="CI10" s="112" t="n"/>
      <c r="CJ10" s="113" t="n"/>
      <c r="CK10" s="112" t="n"/>
      <c r="CL10" s="113" t="n"/>
      <c r="CM10" s="114" t="n"/>
      <c r="CN10" s="115" t="n"/>
      <c r="CO10" s="116" t="n"/>
      <c r="CP10" s="115" t="n"/>
      <c r="CQ10" s="116" t="n"/>
      <c r="CR10" s="115" t="n"/>
      <c r="CS10" s="116" t="n"/>
      <c r="CT10" s="115" t="n"/>
      <c r="CU10" s="116" t="n"/>
      <c r="CV10" s="115" t="n"/>
      <c r="CW10" s="116" t="n"/>
      <c r="CX10" s="115" t="n"/>
      <c r="CY10" s="116" t="n"/>
      <c r="CZ10" s="115" t="n"/>
      <c r="DA10" s="116" t="n"/>
      <c r="DB10" s="115" t="n"/>
      <c r="DC10" s="116" t="n"/>
      <c r="DD10" s="117" t="n"/>
      <c r="DE10" s="118" t="n"/>
      <c r="DF10" s="119" t="n"/>
      <c r="DG10" s="118" t="n"/>
      <c r="DH10" s="119" t="n"/>
      <c r="DI10" s="118" t="n"/>
      <c r="DJ10" s="119" t="n"/>
      <c r="DK10" s="118" t="n"/>
      <c r="DL10" s="119" t="n"/>
      <c r="DM10" s="118" t="n"/>
      <c r="DN10" s="119" t="n"/>
      <c r="DO10" s="118" t="n"/>
      <c r="DP10" s="119" t="n"/>
      <c r="DQ10" s="118" t="n"/>
      <c r="DR10" s="119" t="n"/>
      <c r="DS10" s="118" t="n"/>
      <c r="DT10" s="119" t="n"/>
      <c r="DU10" s="120" t="n"/>
      <c r="DV10" s="121" t="n"/>
      <c r="DW10" s="122" t="n"/>
      <c r="DX10" s="121" t="n"/>
      <c r="DY10" s="122" t="n"/>
      <c r="DZ10" s="121" t="n"/>
      <c r="EA10" s="122" t="n"/>
      <c r="EB10" s="121" t="n"/>
      <c r="EC10" s="122" t="n"/>
      <c r="ED10" s="121" t="n"/>
      <c r="EE10" s="122" t="n"/>
      <c r="EF10" s="121" t="n"/>
      <c r="EG10" s="122" t="n"/>
      <c r="EH10" s="121" t="n"/>
      <c r="EI10" s="122" t="n"/>
      <c r="EJ10" s="121" t="n"/>
      <c r="EK10" s="122" t="n"/>
      <c r="EL10" s="123" t="n"/>
      <c r="EM10" s="124" t="n"/>
      <c r="EN10" s="125" t="n"/>
      <c r="EO10" s="124" t="n"/>
      <c r="EP10" s="125" t="n"/>
      <c r="EQ10" s="124" t="n"/>
      <c r="ER10" s="125" t="n"/>
      <c r="ES10" s="124" t="n"/>
      <c r="ET10" s="125" t="n"/>
      <c r="EU10" s="124" t="n"/>
      <c r="EV10" s="125" t="n"/>
      <c r="EW10" s="124" t="n"/>
      <c r="EX10" s="125" t="n"/>
      <c r="EY10" s="124" t="n"/>
      <c r="EZ10" s="125" t="n"/>
      <c r="FA10" s="124" t="n"/>
      <c r="FB10" s="125" t="n"/>
      <c r="FC10" s="126" t="n"/>
      <c r="FD10" s="127" t="n"/>
      <c r="FE10" s="128" t="n"/>
      <c r="FF10" s="127" t="n"/>
      <c r="FG10" s="128" t="n"/>
      <c r="FH10" s="127" t="n"/>
      <c r="FI10" s="128" t="n"/>
      <c r="FJ10" s="127" t="n"/>
      <c r="FK10" s="128" t="n"/>
      <c r="FL10" s="127" t="n"/>
      <c r="FM10" s="128" t="n"/>
      <c r="FN10" s="127" t="n"/>
      <c r="FO10" s="128" t="n"/>
      <c r="FP10" s="127" t="n"/>
      <c r="FQ10" s="128" t="n"/>
      <c r="FR10" s="127" t="n"/>
      <c r="FS10" s="128" t="n"/>
      <c r="FT10" s="129" t="n"/>
      <c r="FU10" s="130" t="n"/>
      <c r="FV10" s="131" t="n"/>
      <c r="FW10" s="130" t="n"/>
      <c r="FX10" s="131" t="n"/>
      <c r="FY10" s="130" t="n"/>
      <c r="FZ10" s="131" t="n"/>
      <c r="GA10" s="130" t="n"/>
      <c r="GB10" s="131" t="n"/>
      <c r="GC10" s="130" t="n"/>
      <c r="GD10" s="131" t="n"/>
      <c r="GE10" s="130" t="n"/>
      <c r="GF10" s="131" t="n"/>
      <c r="GG10" s="130" t="n"/>
      <c r="GH10" s="131" t="n"/>
      <c r="GI10" s="130" t="n"/>
      <c r="GJ10" s="131" t="n"/>
      <c r="GK10" s="132" t="n"/>
      <c r="GL10" s="133" t="n"/>
      <c r="GM10" s="134" t="n"/>
      <c r="GN10" s="133" t="n"/>
      <c r="GO10" s="134" t="n"/>
      <c r="GP10" s="133" t="n"/>
      <c r="GQ10" s="134" t="n"/>
      <c r="GR10" s="133" t="n"/>
      <c r="GS10" s="134" t="n"/>
      <c r="GT10" s="133" t="n"/>
      <c r="GU10" s="134" t="n"/>
      <c r="GV10" s="133" t="n"/>
      <c r="GW10" s="134" t="n"/>
      <c r="GX10" s="133" t="n"/>
      <c r="GY10" s="134" t="n"/>
      <c r="GZ10" s="133" t="n"/>
      <c r="HA10" s="134" t="n"/>
      <c r="HB10" s="135" t="n"/>
      <c r="HC10">
        <f>97-SUMPRODUCT(MAX(($G$4:$HB$4="ح")*($G10:$HB10=TRUE)*(97-$G$47:$HB$47)))</f>
        <v>97</v>
      </c>
      <c r="HD10">
        <f>SUMPRODUCT(($G$4:$HB$4="ح")*($G10:$HB10=TRUE)*($G$47:$HB$47&gt;$HC$1-8))</f>
        <v>0</v>
      </c>
      <c r="HE10">
        <f>(COUNTIF($G10:$V10,TRUE)&gt;0)*($W10&lt;&gt;TRUE)+(COUNTIF($X10:$AM10,TRUE)&gt;0)*($AN10&lt;&gt;TRUE)+(COUNTIF($AO10:$BD10,TRUE)&gt;0)*($BE10&lt;&gt;TRUE)+(COUNTIF($BF10:$BU10,TRUE)&gt;0)*($BV10&lt;&gt;TRUE)+(COUNTIF($BW10:$CL10,TRUE)&gt;0)*($CM10&lt;&gt;TRUE)+(COUNTIF($CN10:$DC10,TRUE)&gt;0)*($DD10&lt;&gt;TRUE)+(COUNTIF($DE10:$DT10,TRUE)&gt;0)*($DU10&lt;&gt;TRUE)+(COUNTIF($DV10:$EK10,TRUE)&gt;0)*($EL10&lt;&gt;TRUE)+(COUNTIF($EM10:$FB10,TRUE)&gt;0)*($FC10&lt;&gt;TRUE)+(COUNTIF($FD10:$FS10,TRUE)&gt;0)*($FT10&lt;&gt;TRUE)+(COUNTIF($FU10:$GJ10,TRUE)&gt;0)*($GK10&lt;&gt;TRUE)+(COUNTIF($GL10:$HA10,TRUE)&gt;0)*($HB10&lt;&gt;TRUE)</f>
        <v>0</v>
      </c>
      <c r="HF10">
        <f>IF($HE10=0,0,13-MAX((COUNTIF($G10:$V10,TRUE)&gt;0)*($W10&lt;&gt;TRUE)*12,(COUNTIF($X10:$AM10,TRUE)&gt;0)*($AN10&lt;&gt;TRUE)*11,(COUNTIF($AO10:$BD10,TRUE)&gt;0)*($BE10&lt;&gt;TRUE)*10,(COUNTIF($BF10:$BU10,TRUE)&gt;0)*($BV10&lt;&gt;TRUE)*9,(COUNTIF($BW10:$CL10,TRUE)&gt;0)*($CM10&lt;&gt;TRUE)*8,(COUNTIF($CN10:$DC10,TRUE)&gt;0)*($DD10&lt;&gt;TRUE)*7,(COUNTIF($DE10:$DT10,TRUE)&gt;0)*($DU10&lt;&gt;TRUE)*6,(COUNTIF($DV10:$EK10,TRUE)&gt;0)*($EL10&lt;&gt;TRUE)*5,(COUNTIF($EM10:$FB10,TRUE)&gt;0)*($FC10&lt;&gt;TRUE)*4,(COUNTIF($FD10:$FS10,TRUE)&gt;0)*($FT10&lt;&gt;TRUE)*3,(COUNTIF($FU10:$GJ10,TRUE)&gt;0)*($GK10&lt;&gt;TRUE)*2,(COUNTIF($GL10:$HA10,TRUE)&gt;0)*($HB10&lt;&gt;TRUE)*1))</f>
        <v>0</v>
      </c>
    </row>
    <row r="11" ht="22.5" customHeight="1">
      <c r="A11" s="36" t="n">
        <v>7</v>
      </c>
      <c r="B11" s="97" t="n"/>
      <c r="C11" s="28" t="n"/>
      <c r="D11" s="98" t="str">
        <f>IF($B11="","",IF($HC11=97,"-",IF($HD11=0,"متوقف",SUMPRODUCT(($G$4:$HB$4="ح")*($G$20:$HB$20&gt;0)*($G11:$HB11&lt;&gt;TRUE)*($G$47:$HB$47&gt;$HC$1-8)*($G$47:$HB$47&gt;=$HC11)))))</f>
        <v/>
      </c>
      <c r="E11" s="98" t="str">
        <f>IF(OR($B11="",$HC11=97),"",SUMPRODUCT(($G$4:$HA$4="ح")*($G11:$HA11=TRUE)*($H11:$HB11&lt;&gt;TRUE)*($G$47:$HA$47&gt;$HC$1-8)))</f>
        <v/>
      </c>
      <c r="F11" s="99" t="str">
        <f>IF($B11="","",IF($HE11=0,IF($HC11=97,"-","تمام"),IF($HE11=1,IF(INDEX($G$1:$HB$1,1,17*($HF11-1)+1)="","شهر "&amp;$HF11,INDEX($G$1:$HB$1,1,17*($HF11-1)+1)),IF($HE11=2,"شهرين",$HE11&amp;" شهور"))))</f>
        <v/>
      </c>
      <c r="G11" s="100" t="n"/>
      <c r="H11" s="101" t="n"/>
      <c r="I11" s="100" t="n"/>
      <c r="J11" s="101" t="n"/>
      <c r="K11" s="100" t="n"/>
      <c r="L11" s="101" t="n"/>
      <c r="M11" s="100" t="n"/>
      <c r="N11" s="101" t="n"/>
      <c r="O11" s="100" t="n"/>
      <c r="P11" s="101" t="n"/>
      <c r="Q11" s="100" t="n"/>
      <c r="R11" s="101" t="n"/>
      <c r="S11" s="100" t="n"/>
      <c r="T11" s="101" t="n"/>
      <c r="U11" s="100" t="n"/>
      <c r="V11" s="101" t="n"/>
      <c r="W11" s="102" t="n"/>
      <c r="X11" s="103" t="n"/>
      <c r="Y11" s="104" t="n"/>
      <c r="Z11" s="103" t="n"/>
      <c r="AA11" s="104" t="n"/>
      <c r="AB11" s="103" t="n"/>
      <c r="AC11" s="104" t="n"/>
      <c r="AD11" s="103" t="n"/>
      <c r="AE11" s="104" t="n"/>
      <c r="AF11" s="103" t="n"/>
      <c r="AG11" s="104" t="n"/>
      <c r="AH11" s="103" t="n"/>
      <c r="AI11" s="104" t="n"/>
      <c r="AJ11" s="103" t="n"/>
      <c r="AK11" s="104" t="n"/>
      <c r="AL11" s="103" t="n"/>
      <c r="AM11" s="104" t="n"/>
      <c r="AN11" s="105" t="n"/>
      <c r="AO11" s="106" t="n"/>
      <c r="AP11" s="107" t="n"/>
      <c r="AQ11" s="106" t="n"/>
      <c r="AR11" s="107" t="n"/>
      <c r="AS11" s="106" t="n"/>
      <c r="AT11" s="107" t="n"/>
      <c r="AU11" s="106" t="n"/>
      <c r="AV11" s="107" t="n"/>
      <c r="AW11" s="106" t="n"/>
      <c r="AX11" s="107" t="n"/>
      <c r="AY11" s="106" t="n"/>
      <c r="AZ11" s="107" t="n"/>
      <c r="BA11" s="106" t="n"/>
      <c r="BB11" s="107" t="n"/>
      <c r="BC11" s="106" t="n"/>
      <c r="BD11" s="107" t="n"/>
      <c r="BE11" s="108" t="n"/>
      <c r="BF11" s="109" t="n"/>
      <c r="BG11" s="110" t="n"/>
      <c r="BH11" s="109" t="n"/>
      <c r="BI11" s="110" t="n"/>
      <c r="BJ11" s="109" t="n"/>
      <c r="BK11" s="110" t="n"/>
      <c r="BL11" s="109" t="n"/>
      <c r="BM11" s="110" t="n"/>
      <c r="BN11" s="109" t="n"/>
      <c r="BO11" s="110" t="n"/>
      <c r="BP11" s="109" t="n"/>
      <c r="BQ11" s="110" t="n"/>
      <c r="BR11" s="109" t="n"/>
      <c r="BS11" s="110" t="n"/>
      <c r="BT11" s="109" t="n"/>
      <c r="BU11" s="110" t="n"/>
      <c r="BV11" s="111" t="n"/>
      <c r="BW11" s="112" t="n"/>
      <c r="BX11" s="113" t="n"/>
      <c r="BY11" s="112" t="n"/>
      <c r="BZ11" s="113" t="n"/>
      <c r="CA11" s="112" t="n"/>
      <c r="CB11" s="113" t="n"/>
      <c r="CC11" s="112" t="n"/>
      <c r="CD11" s="113" t="n"/>
      <c r="CE11" s="112" t="n"/>
      <c r="CF11" s="113" t="n"/>
      <c r="CG11" s="112" t="n"/>
      <c r="CH11" s="113" t="n"/>
      <c r="CI11" s="112" t="n"/>
      <c r="CJ11" s="113" t="n"/>
      <c r="CK11" s="112" t="n"/>
      <c r="CL11" s="113" t="n"/>
      <c r="CM11" s="114" t="n"/>
      <c r="CN11" s="115" t="n"/>
      <c r="CO11" s="116" t="n"/>
      <c r="CP11" s="115" t="n"/>
      <c r="CQ11" s="116" t="n"/>
      <c r="CR11" s="115" t="n"/>
      <c r="CS11" s="116" t="n"/>
      <c r="CT11" s="115" t="n"/>
      <c r="CU11" s="116" t="n"/>
      <c r="CV11" s="115" t="n"/>
      <c r="CW11" s="116" t="n"/>
      <c r="CX11" s="115" t="n"/>
      <c r="CY11" s="116" t="n"/>
      <c r="CZ11" s="115" t="n"/>
      <c r="DA11" s="116" t="n"/>
      <c r="DB11" s="115" t="n"/>
      <c r="DC11" s="116" t="n"/>
      <c r="DD11" s="117" t="n"/>
      <c r="DE11" s="118" t="n"/>
      <c r="DF11" s="119" t="n"/>
      <c r="DG11" s="118" t="n"/>
      <c r="DH11" s="119" t="n"/>
      <c r="DI11" s="118" t="n"/>
      <c r="DJ11" s="119" t="n"/>
      <c r="DK11" s="118" t="n"/>
      <c r="DL11" s="119" t="n"/>
      <c r="DM11" s="118" t="n"/>
      <c r="DN11" s="119" t="n"/>
      <c r="DO11" s="118" t="n"/>
      <c r="DP11" s="119" t="n"/>
      <c r="DQ11" s="118" t="n"/>
      <c r="DR11" s="119" t="n"/>
      <c r="DS11" s="118" t="n"/>
      <c r="DT11" s="119" t="n"/>
      <c r="DU11" s="120" t="n"/>
      <c r="DV11" s="121" t="n"/>
      <c r="DW11" s="122" t="n"/>
      <c r="DX11" s="121" t="n"/>
      <c r="DY11" s="122" t="n"/>
      <c r="DZ11" s="121" t="n"/>
      <c r="EA11" s="122" t="n"/>
      <c r="EB11" s="121" t="n"/>
      <c r="EC11" s="122" t="n"/>
      <c r="ED11" s="121" t="n"/>
      <c r="EE11" s="122" t="n"/>
      <c r="EF11" s="121" t="n"/>
      <c r="EG11" s="122" t="n"/>
      <c r="EH11" s="121" t="n"/>
      <c r="EI11" s="122" t="n"/>
      <c r="EJ11" s="121" t="n"/>
      <c r="EK11" s="122" t="n"/>
      <c r="EL11" s="123" t="n"/>
      <c r="EM11" s="124" t="n"/>
      <c r="EN11" s="125" t="n"/>
      <c r="EO11" s="124" t="n"/>
      <c r="EP11" s="125" t="n"/>
      <c r="EQ11" s="124" t="n"/>
      <c r="ER11" s="125" t="n"/>
      <c r="ES11" s="124" t="n"/>
      <c r="ET11" s="125" t="n"/>
      <c r="EU11" s="124" t="n"/>
      <c r="EV11" s="125" t="n"/>
      <c r="EW11" s="124" t="n"/>
      <c r="EX11" s="125" t="n"/>
      <c r="EY11" s="124" t="n"/>
      <c r="EZ11" s="125" t="n"/>
      <c r="FA11" s="124" t="n"/>
      <c r="FB11" s="125" t="n"/>
      <c r="FC11" s="126" t="n"/>
      <c r="FD11" s="127" t="n"/>
      <c r="FE11" s="128" t="n"/>
      <c r="FF11" s="127" t="n"/>
      <c r="FG11" s="128" t="n"/>
      <c r="FH11" s="127" t="n"/>
      <c r="FI11" s="128" t="n"/>
      <c r="FJ11" s="127" t="n"/>
      <c r="FK11" s="128" t="n"/>
      <c r="FL11" s="127" t="n"/>
      <c r="FM11" s="128" t="n"/>
      <c r="FN11" s="127" t="n"/>
      <c r="FO11" s="128" t="n"/>
      <c r="FP11" s="127" t="n"/>
      <c r="FQ11" s="128" t="n"/>
      <c r="FR11" s="127" t="n"/>
      <c r="FS11" s="128" t="n"/>
      <c r="FT11" s="129" t="n"/>
      <c r="FU11" s="130" t="n"/>
      <c r="FV11" s="131" t="n"/>
      <c r="FW11" s="130" t="n"/>
      <c r="FX11" s="131" t="n"/>
      <c r="FY11" s="130" t="n"/>
      <c r="FZ11" s="131" t="n"/>
      <c r="GA11" s="130" t="n"/>
      <c r="GB11" s="131" t="n"/>
      <c r="GC11" s="130" t="n"/>
      <c r="GD11" s="131" t="n"/>
      <c r="GE11" s="130" t="n"/>
      <c r="GF11" s="131" t="n"/>
      <c r="GG11" s="130" t="n"/>
      <c r="GH11" s="131" t="n"/>
      <c r="GI11" s="130" t="n"/>
      <c r="GJ11" s="131" t="n"/>
      <c r="GK11" s="132" t="n"/>
      <c r="GL11" s="133" t="n"/>
      <c r="GM11" s="134" t="n"/>
      <c r="GN11" s="133" t="n"/>
      <c r="GO11" s="134" t="n"/>
      <c r="GP11" s="133" t="n"/>
      <c r="GQ11" s="134" t="n"/>
      <c r="GR11" s="133" t="n"/>
      <c r="GS11" s="134" t="n"/>
      <c r="GT11" s="133" t="n"/>
      <c r="GU11" s="134" t="n"/>
      <c r="GV11" s="133" t="n"/>
      <c r="GW11" s="134" t="n"/>
      <c r="GX11" s="133" t="n"/>
      <c r="GY11" s="134" t="n"/>
      <c r="GZ11" s="133" t="n"/>
      <c r="HA11" s="134" t="n"/>
      <c r="HB11" s="135" t="n"/>
      <c r="HC11">
        <f>97-SUMPRODUCT(MAX(($G$4:$HB$4="ح")*($G11:$HB11=TRUE)*(97-$G$47:$HB$47)))</f>
        <v>97</v>
      </c>
      <c r="HD11">
        <f>SUMPRODUCT(($G$4:$HB$4="ح")*($G11:$HB11=TRUE)*($G$47:$HB$47&gt;$HC$1-8))</f>
        <v>0</v>
      </c>
      <c r="HE11">
        <f>(COUNTIF($G11:$V11,TRUE)&gt;0)*($W11&lt;&gt;TRUE)+(COUNTIF($X11:$AM11,TRUE)&gt;0)*($AN11&lt;&gt;TRUE)+(COUNTIF($AO11:$BD11,TRUE)&gt;0)*($BE11&lt;&gt;TRUE)+(COUNTIF($BF11:$BU11,TRUE)&gt;0)*($BV11&lt;&gt;TRUE)+(COUNTIF($BW11:$CL11,TRUE)&gt;0)*($CM11&lt;&gt;TRUE)+(COUNTIF($CN11:$DC11,TRUE)&gt;0)*($DD11&lt;&gt;TRUE)+(COUNTIF($DE11:$DT11,TRUE)&gt;0)*($DU11&lt;&gt;TRUE)+(COUNTIF($DV11:$EK11,TRUE)&gt;0)*($EL11&lt;&gt;TRUE)+(COUNTIF($EM11:$FB11,TRUE)&gt;0)*($FC11&lt;&gt;TRUE)+(COUNTIF($FD11:$FS11,TRUE)&gt;0)*($FT11&lt;&gt;TRUE)+(COUNTIF($FU11:$GJ11,TRUE)&gt;0)*($GK11&lt;&gt;TRUE)+(COUNTIF($GL11:$HA11,TRUE)&gt;0)*($HB11&lt;&gt;TRUE)</f>
        <v>0</v>
      </c>
      <c r="HF11">
        <f>IF($HE11=0,0,13-MAX((COUNTIF($G11:$V11,TRUE)&gt;0)*($W11&lt;&gt;TRUE)*12,(COUNTIF($X11:$AM11,TRUE)&gt;0)*($AN11&lt;&gt;TRUE)*11,(COUNTIF($AO11:$BD11,TRUE)&gt;0)*($BE11&lt;&gt;TRUE)*10,(COUNTIF($BF11:$BU11,TRUE)&gt;0)*($BV11&lt;&gt;TRUE)*9,(COUNTIF($BW11:$CL11,TRUE)&gt;0)*($CM11&lt;&gt;TRUE)*8,(COUNTIF($CN11:$DC11,TRUE)&gt;0)*($DD11&lt;&gt;TRUE)*7,(COUNTIF($DE11:$DT11,TRUE)&gt;0)*($DU11&lt;&gt;TRUE)*6,(COUNTIF($DV11:$EK11,TRUE)&gt;0)*($EL11&lt;&gt;TRUE)*5,(COUNTIF($EM11:$FB11,TRUE)&gt;0)*($FC11&lt;&gt;TRUE)*4,(COUNTIF($FD11:$FS11,TRUE)&gt;0)*($FT11&lt;&gt;TRUE)*3,(COUNTIF($FU11:$GJ11,TRUE)&gt;0)*($GK11&lt;&gt;TRUE)*2,(COUNTIF($GL11:$HA11,TRUE)&gt;0)*($HB11&lt;&gt;TRUE)*1))</f>
        <v>0</v>
      </c>
    </row>
    <row r="12" ht="22.5" customHeight="1">
      <c r="A12" s="36" t="n">
        <v>8</v>
      </c>
      <c r="B12" s="97" t="n"/>
      <c r="C12" s="28" t="n"/>
      <c r="D12" s="98" t="str">
        <f>IF($B12="","",IF($HC12=97,"-",IF($HD12=0,"متوقف",SUMPRODUCT(($G$4:$HB$4="ح")*($G$20:$HB$20&gt;0)*($G12:$HB12&lt;&gt;TRUE)*($G$47:$HB$47&gt;$HC$1-8)*($G$47:$HB$47&gt;=$HC12)))))</f>
        <v/>
      </c>
      <c r="E12" s="98" t="str">
        <f>IF(OR($B12="",$HC12=97),"",SUMPRODUCT(($G$4:$HA$4="ح")*($G12:$HA12=TRUE)*($H12:$HB12&lt;&gt;TRUE)*($G$47:$HA$47&gt;$HC$1-8)))</f>
        <v/>
      </c>
      <c r="F12" s="99" t="str">
        <f>IF($B12="","",IF($HE12=0,IF($HC12=97,"-","تمام"),IF($HE12=1,IF(INDEX($G$1:$HB$1,1,17*($HF12-1)+1)="","شهر "&amp;$HF12,INDEX($G$1:$HB$1,1,17*($HF12-1)+1)),IF($HE12=2,"شهرين",$HE12&amp;" شهور"))))</f>
        <v/>
      </c>
      <c r="G12" s="100" t="n"/>
      <c r="H12" s="101" t="n"/>
      <c r="I12" s="100" t="n"/>
      <c r="J12" s="101" t="n"/>
      <c r="K12" s="100" t="n"/>
      <c r="L12" s="101" t="n"/>
      <c r="M12" s="100" t="n"/>
      <c r="N12" s="101" t="n"/>
      <c r="O12" s="100" t="n"/>
      <c r="P12" s="101" t="n"/>
      <c r="Q12" s="100" t="n"/>
      <c r="R12" s="101" t="n"/>
      <c r="S12" s="100" t="n"/>
      <c r="T12" s="101" t="n"/>
      <c r="U12" s="100" t="n"/>
      <c r="V12" s="101" t="n"/>
      <c r="W12" s="102" t="n"/>
      <c r="X12" s="103" t="n"/>
      <c r="Y12" s="104" t="n"/>
      <c r="Z12" s="103" t="n"/>
      <c r="AA12" s="104" t="n"/>
      <c r="AB12" s="103" t="n"/>
      <c r="AC12" s="104" t="n"/>
      <c r="AD12" s="103" t="n"/>
      <c r="AE12" s="104" t="n"/>
      <c r="AF12" s="103" t="n"/>
      <c r="AG12" s="104" t="n"/>
      <c r="AH12" s="103" t="n"/>
      <c r="AI12" s="104" t="n"/>
      <c r="AJ12" s="103" t="n"/>
      <c r="AK12" s="104" t="n"/>
      <c r="AL12" s="103" t="n"/>
      <c r="AM12" s="104" t="n"/>
      <c r="AN12" s="105" t="n"/>
      <c r="AO12" s="106" t="n"/>
      <c r="AP12" s="107" t="n"/>
      <c r="AQ12" s="106" t="n"/>
      <c r="AR12" s="107" t="n"/>
      <c r="AS12" s="106" t="n"/>
      <c r="AT12" s="107" t="n"/>
      <c r="AU12" s="106" t="n"/>
      <c r="AV12" s="107" t="n"/>
      <c r="AW12" s="106" t="n"/>
      <c r="AX12" s="107" t="n"/>
      <c r="AY12" s="106" t="n"/>
      <c r="AZ12" s="107" t="n"/>
      <c r="BA12" s="106" t="n"/>
      <c r="BB12" s="107" t="n"/>
      <c r="BC12" s="106" t="n"/>
      <c r="BD12" s="107" t="n"/>
      <c r="BE12" s="108" t="n"/>
      <c r="BF12" s="109" t="n"/>
      <c r="BG12" s="110" t="n"/>
      <c r="BH12" s="109" t="n"/>
      <c r="BI12" s="110" t="n"/>
      <c r="BJ12" s="109" t="n"/>
      <c r="BK12" s="110" t="n"/>
      <c r="BL12" s="109" t="n"/>
      <c r="BM12" s="110" t="n"/>
      <c r="BN12" s="109" t="n"/>
      <c r="BO12" s="110" t="n"/>
      <c r="BP12" s="109" t="n"/>
      <c r="BQ12" s="110" t="n"/>
      <c r="BR12" s="109" t="n"/>
      <c r="BS12" s="110" t="n"/>
      <c r="BT12" s="109" t="n"/>
      <c r="BU12" s="110" t="n"/>
      <c r="BV12" s="111" t="n"/>
      <c r="BW12" s="112" t="n"/>
      <c r="BX12" s="113" t="n"/>
      <c r="BY12" s="112" t="n"/>
      <c r="BZ12" s="113" t="n"/>
      <c r="CA12" s="112" t="n"/>
      <c r="CB12" s="113" t="n"/>
      <c r="CC12" s="112" t="n"/>
      <c r="CD12" s="113" t="n"/>
      <c r="CE12" s="112" t="n"/>
      <c r="CF12" s="113" t="n"/>
      <c r="CG12" s="112" t="n"/>
      <c r="CH12" s="113" t="n"/>
      <c r="CI12" s="112" t="n"/>
      <c r="CJ12" s="113" t="n"/>
      <c r="CK12" s="112" t="n"/>
      <c r="CL12" s="113" t="n"/>
      <c r="CM12" s="114" t="n"/>
      <c r="CN12" s="115" t="n"/>
      <c r="CO12" s="116" t="n"/>
      <c r="CP12" s="115" t="n"/>
      <c r="CQ12" s="116" t="n"/>
      <c r="CR12" s="115" t="n"/>
      <c r="CS12" s="116" t="n"/>
      <c r="CT12" s="115" t="n"/>
      <c r="CU12" s="116" t="n"/>
      <c r="CV12" s="115" t="n"/>
      <c r="CW12" s="116" t="n"/>
      <c r="CX12" s="115" t="n"/>
      <c r="CY12" s="116" t="n"/>
      <c r="CZ12" s="115" t="n"/>
      <c r="DA12" s="116" t="n"/>
      <c r="DB12" s="115" t="n"/>
      <c r="DC12" s="116" t="n"/>
      <c r="DD12" s="117" t="n"/>
      <c r="DE12" s="118" t="n"/>
      <c r="DF12" s="119" t="n"/>
      <c r="DG12" s="118" t="n"/>
      <c r="DH12" s="119" t="n"/>
      <c r="DI12" s="118" t="n"/>
      <c r="DJ12" s="119" t="n"/>
      <c r="DK12" s="118" t="n"/>
      <c r="DL12" s="119" t="n"/>
      <c r="DM12" s="118" t="n"/>
      <c r="DN12" s="119" t="n"/>
      <c r="DO12" s="118" t="n"/>
      <c r="DP12" s="119" t="n"/>
      <c r="DQ12" s="118" t="n"/>
      <c r="DR12" s="119" t="n"/>
      <c r="DS12" s="118" t="n"/>
      <c r="DT12" s="119" t="n"/>
      <c r="DU12" s="120" t="n"/>
      <c r="DV12" s="121" t="n"/>
      <c r="DW12" s="122" t="n"/>
      <c r="DX12" s="121" t="n"/>
      <c r="DY12" s="122" t="n"/>
      <c r="DZ12" s="121" t="n"/>
      <c r="EA12" s="122" t="n"/>
      <c r="EB12" s="121" t="n"/>
      <c r="EC12" s="122" t="n"/>
      <c r="ED12" s="121" t="n"/>
      <c r="EE12" s="122" t="n"/>
      <c r="EF12" s="121" t="n"/>
      <c r="EG12" s="122" t="n"/>
      <c r="EH12" s="121" t="n"/>
      <c r="EI12" s="122" t="n"/>
      <c r="EJ12" s="121" t="n"/>
      <c r="EK12" s="122" t="n"/>
      <c r="EL12" s="123" t="n"/>
      <c r="EM12" s="124" t="n"/>
      <c r="EN12" s="125" t="n"/>
      <c r="EO12" s="124" t="n"/>
      <c r="EP12" s="125" t="n"/>
      <c r="EQ12" s="124" t="n"/>
      <c r="ER12" s="125" t="n"/>
      <c r="ES12" s="124" t="n"/>
      <c r="ET12" s="125" t="n"/>
      <c r="EU12" s="124" t="n"/>
      <c r="EV12" s="125" t="n"/>
      <c r="EW12" s="124" t="n"/>
      <c r="EX12" s="125" t="n"/>
      <c r="EY12" s="124" t="n"/>
      <c r="EZ12" s="125" t="n"/>
      <c r="FA12" s="124" t="n"/>
      <c r="FB12" s="125" t="n"/>
      <c r="FC12" s="126" t="n"/>
      <c r="FD12" s="127" t="n"/>
      <c r="FE12" s="128" t="n"/>
      <c r="FF12" s="127" t="n"/>
      <c r="FG12" s="128" t="n"/>
      <c r="FH12" s="127" t="n"/>
      <c r="FI12" s="128" t="n"/>
      <c r="FJ12" s="127" t="n"/>
      <c r="FK12" s="128" t="n"/>
      <c r="FL12" s="127" t="n"/>
      <c r="FM12" s="128" t="n"/>
      <c r="FN12" s="127" t="n"/>
      <c r="FO12" s="128" t="n"/>
      <c r="FP12" s="127" t="n"/>
      <c r="FQ12" s="128" t="n"/>
      <c r="FR12" s="127" t="n"/>
      <c r="FS12" s="128" t="n"/>
      <c r="FT12" s="129" t="n"/>
      <c r="FU12" s="130" t="n"/>
      <c r="FV12" s="131" t="n"/>
      <c r="FW12" s="130" t="n"/>
      <c r="FX12" s="131" t="n"/>
      <c r="FY12" s="130" t="n"/>
      <c r="FZ12" s="131" t="n"/>
      <c r="GA12" s="130" t="n"/>
      <c r="GB12" s="131" t="n"/>
      <c r="GC12" s="130" t="n"/>
      <c r="GD12" s="131" t="n"/>
      <c r="GE12" s="130" t="n"/>
      <c r="GF12" s="131" t="n"/>
      <c r="GG12" s="130" t="n"/>
      <c r="GH12" s="131" t="n"/>
      <c r="GI12" s="130" t="n"/>
      <c r="GJ12" s="131" t="n"/>
      <c r="GK12" s="132" t="n"/>
      <c r="GL12" s="133" t="n"/>
      <c r="GM12" s="134" t="n"/>
      <c r="GN12" s="133" t="n"/>
      <c r="GO12" s="134" t="n"/>
      <c r="GP12" s="133" t="n"/>
      <c r="GQ12" s="134" t="n"/>
      <c r="GR12" s="133" t="n"/>
      <c r="GS12" s="134" t="n"/>
      <c r="GT12" s="133" t="n"/>
      <c r="GU12" s="134" t="n"/>
      <c r="GV12" s="133" t="n"/>
      <c r="GW12" s="134" t="n"/>
      <c r="GX12" s="133" t="n"/>
      <c r="GY12" s="134" t="n"/>
      <c r="GZ12" s="133" t="n"/>
      <c r="HA12" s="134" t="n"/>
      <c r="HB12" s="135" t="n"/>
      <c r="HC12">
        <f>97-SUMPRODUCT(MAX(($G$4:$HB$4="ح")*($G12:$HB12=TRUE)*(97-$G$47:$HB$47)))</f>
        <v>97</v>
      </c>
      <c r="HD12">
        <f>SUMPRODUCT(($G$4:$HB$4="ح")*($G12:$HB12=TRUE)*($G$47:$HB$47&gt;$HC$1-8))</f>
        <v>0</v>
      </c>
      <c r="HE12">
        <f>(COUNTIF($G12:$V12,TRUE)&gt;0)*($W12&lt;&gt;TRUE)+(COUNTIF($X12:$AM12,TRUE)&gt;0)*($AN12&lt;&gt;TRUE)+(COUNTIF($AO12:$BD12,TRUE)&gt;0)*($BE12&lt;&gt;TRUE)+(COUNTIF($BF12:$BU12,TRUE)&gt;0)*($BV12&lt;&gt;TRUE)+(COUNTIF($BW12:$CL12,TRUE)&gt;0)*($CM12&lt;&gt;TRUE)+(COUNTIF($CN12:$DC12,TRUE)&gt;0)*($DD12&lt;&gt;TRUE)+(COUNTIF($DE12:$DT12,TRUE)&gt;0)*($DU12&lt;&gt;TRUE)+(COUNTIF($DV12:$EK12,TRUE)&gt;0)*($EL12&lt;&gt;TRUE)+(COUNTIF($EM12:$FB12,TRUE)&gt;0)*($FC12&lt;&gt;TRUE)+(COUNTIF($FD12:$FS12,TRUE)&gt;0)*($FT12&lt;&gt;TRUE)+(COUNTIF($FU12:$GJ12,TRUE)&gt;0)*($GK12&lt;&gt;TRUE)+(COUNTIF($GL12:$HA12,TRUE)&gt;0)*($HB12&lt;&gt;TRUE)</f>
        <v>0</v>
      </c>
      <c r="HF12">
        <f>IF($HE12=0,0,13-MAX((COUNTIF($G12:$V12,TRUE)&gt;0)*($W12&lt;&gt;TRUE)*12,(COUNTIF($X12:$AM12,TRUE)&gt;0)*($AN12&lt;&gt;TRUE)*11,(COUNTIF($AO12:$BD12,TRUE)&gt;0)*($BE12&lt;&gt;TRUE)*10,(COUNTIF($BF12:$BU12,TRUE)&gt;0)*($BV12&lt;&gt;TRUE)*9,(COUNTIF($BW12:$CL12,TRUE)&gt;0)*($CM12&lt;&gt;TRUE)*8,(COUNTIF($CN12:$DC12,TRUE)&gt;0)*($DD12&lt;&gt;TRUE)*7,(COUNTIF($DE12:$DT12,TRUE)&gt;0)*($DU12&lt;&gt;TRUE)*6,(COUNTIF($DV12:$EK12,TRUE)&gt;0)*($EL12&lt;&gt;TRUE)*5,(COUNTIF($EM12:$FB12,TRUE)&gt;0)*($FC12&lt;&gt;TRUE)*4,(COUNTIF($FD12:$FS12,TRUE)&gt;0)*($FT12&lt;&gt;TRUE)*3,(COUNTIF($FU12:$GJ12,TRUE)&gt;0)*($GK12&lt;&gt;TRUE)*2,(COUNTIF($GL12:$HA12,TRUE)&gt;0)*($HB12&lt;&gt;TRUE)*1))</f>
        <v>0</v>
      </c>
    </row>
    <row r="13" ht="22.5" customHeight="1">
      <c r="A13" s="36" t="n">
        <v>9</v>
      </c>
      <c r="B13" s="97" t="n"/>
      <c r="C13" s="28" t="n"/>
      <c r="D13" s="98" t="str">
        <f>IF($B13="","",IF($HC13=97,"-",IF($HD13=0,"متوقف",SUMPRODUCT(($G$4:$HB$4="ح")*($G$20:$HB$20&gt;0)*($G13:$HB13&lt;&gt;TRUE)*($G$47:$HB$47&gt;$HC$1-8)*($G$47:$HB$47&gt;=$HC13)))))</f>
        <v/>
      </c>
      <c r="E13" s="98" t="str">
        <f>IF(OR($B13="",$HC13=97),"",SUMPRODUCT(($G$4:$HA$4="ح")*($G13:$HA13=TRUE)*($H13:$HB13&lt;&gt;TRUE)*($G$47:$HA$47&gt;$HC$1-8)))</f>
        <v/>
      </c>
      <c r="F13" s="99" t="str">
        <f>IF($B13="","",IF($HE13=0,IF($HC13=97,"-","تمام"),IF($HE13=1,IF(INDEX($G$1:$HB$1,1,17*($HF13-1)+1)="","شهر "&amp;$HF13,INDEX($G$1:$HB$1,1,17*($HF13-1)+1)),IF($HE13=2,"شهرين",$HE13&amp;" شهور"))))</f>
        <v/>
      </c>
      <c r="G13" s="100" t="n"/>
      <c r="H13" s="101" t="n"/>
      <c r="I13" s="100" t="n"/>
      <c r="J13" s="101" t="n"/>
      <c r="K13" s="100" t="n"/>
      <c r="L13" s="101" t="n"/>
      <c r="M13" s="100" t="n"/>
      <c r="N13" s="101" t="n"/>
      <c r="O13" s="100" t="n"/>
      <c r="P13" s="101" t="n"/>
      <c r="Q13" s="100" t="n"/>
      <c r="R13" s="101" t="n"/>
      <c r="S13" s="100" t="n"/>
      <c r="T13" s="101" t="n"/>
      <c r="U13" s="100" t="n"/>
      <c r="V13" s="101" t="n"/>
      <c r="W13" s="102" t="n"/>
      <c r="X13" s="103" t="n"/>
      <c r="Y13" s="104" t="n"/>
      <c r="Z13" s="103" t="n"/>
      <c r="AA13" s="104" t="n"/>
      <c r="AB13" s="103" t="n"/>
      <c r="AC13" s="104" t="n"/>
      <c r="AD13" s="103" t="n"/>
      <c r="AE13" s="104" t="n"/>
      <c r="AF13" s="103" t="n"/>
      <c r="AG13" s="104" t="n"/>
      <c r="AH13" s="103" t="n"/>
      <c r="AI13" s="104" t="n"/>
      <c r="AJ13" s="103" t="n"/>
      <c r="AK13" s="104" t="n"/>
      <c r="AL13" s="103" t="n"/>
      <c r="AM13" s="104" t="n"/>
      <c r="AN13" s="105" t="n"/>
      <c r="AO13" s="106" t="n"/>
      <c r="AP13" s="107" t="n"/>
      <c r="AQ13" s="106" t="n"/>
      <c r="AR13" s="107" t="n"/>
      <c r="AS13" s="106" t="n"/>
      <c r="AT13" s="107" t="n"/>
      <c r="AU13" s="106" t="n"/>
      <c r="AV13" s="107" t="n"/>
      <c r="AW13" s="106" t="n"/>
      <c r="AX13" s="107" t="n"/>
      <c r="AY13" s="106" t="n"/>
      <c r="AZ13" s="107" t="n"/>
      <c r="BA13" s="106" t="n"/>
      <c r="BB13" s="107" t="n"/>
      <c r="BC13" s="106" t="n"/>
      <c r="BD13" s="107" t="n"/>
      <c r="BE13" s="108" t="n"/>
      <c r="BF13" s="109" t="n"/>
      <c r="BG13" s="110" t="n"/>
      <c r="BH13" s="109" t="n"/>
      <c r="BI13" s="110" t="n"/>
      <c r="BJ13" s="109" t="n"/>
      <c r="BK13" s="110" t="n"/>
      <c r="BL13" s="109" t="n"/>
      <c r="BM13" s="110" t="n"/>
      <c r="BN13" s="109" t="n"/>
      <c r="BO13" s="110" t="n"/>
      <c r="BP13" s="109" t="n"/>
      <c r="BQ13" s="110" t="n"/>
      <c r="BR13" s="109" t="n"/>
      <c r="BS13" s="110" t="n"/>
      <c r="BT13" s="109" t="n"/>
      <c r="BU13" s="110" t="n"/>
      <c r="BV13" s="111" t="n"/>
      <c r="BW13" s="112" t="n"/>
      <c r="BX13" s="113" t="n"/>
      <c r="BY13" s="112" t="n"/>
      <c r="BZ13" s="113" t="n"/>
      <c r="CA13" s="112" t="n"/>
      <c r="CB13" s="113" t="n"/>
      <c r="CC13" s="112" t="n"/>
      <c r="CD13" s="113" t="n"/>
      <c r="CE13" s="112" t="n"/>
      <c r="CF13" s="113" t="n"/>
      <c r="CG13" s="112" t="n"/>
      <c r="CH13" s="113" t="n"/>
      <c r="CI13" s="112" t="n"/>
      <c r="CJ13" s="113" t="n"/>
      <c r="CK13" s="112" t="n"/>
      <c r="CL13" s="113" t="n"/>
      <c r="CM13" s="114" t="n"/>
      <c r="CN13" s="115" t="n"/>
      <c r="CO13" s="116" t="n"/>
      <c r="CP13" s="115" t="n"/>
      <c r="CQ13" s="116" t="n"/>
      <c r="CR13" s="115" t="n"/>
      <c r="CS13" s="116" t="n"/>
      <c r="CT13" s="115" t="n"/>
      <c r="CU13" s="116" t="n"/>
      <c r="CV13" s="115" t="n"/>
      <c r="CW13" s="116" t="n"/>
      <c r="CX13" s="115" t="n"/>
      <c r="CY13" s="116" t="n"/>
      <c r="CZ13" s="115" t="n"/>
      <c r="DA13" s="116" t="n"/>
      <c r="DB13" s="115" t="n"/>
      <c r="DC13" s="116" t="n"/>
      <c r="DD13" s="117" t="n"/>
      <c r="DE13" s="118" t="n"/>
      <c r="DF13" s="119" t="n"/>
      <c r="DG13" s="118" t="n"/>
      <c r="DH13" s="119" t="n"/>
      <c r="DI13" s="118" t="n"/>
      <c r="DJ13" s="119" t="n"/>
      <c r="DK13" s="118" t="n"/>
      <c r="DL13" s="119" t="n"/>
      <c r="DM13" s="118" t="n"/>
      <c r="DN13" s="119" t="n"/>
      <c r="DO13" s="118" t="n"/>
      <c r="DP13" s="119" t="n"/>
      <c r="DQ13" s="118" t="n"/>
      <c r="DR13" s="119" t="n"/>
      <c r="DS13" s="118" t="n"/>
      <c r="DT13" s="119" t="n"/>
      <c r="DU13" s="120" t="n"/>
      <c r="DV13" s="121" t="n"/>
      <c r="DW13" s="122" t="n"/>
      <c r="DX13" s="121" t="n"/>
      <c r="DY13" s="122" t="n"/>
      <c r="DZ13" s="121" t="n"/>
      <c r="EA13" s="122" t="n"/>
      <c r="EB13" s="121" t="n"/>
      <c r="EC13" s="122" t="n"/>
      <c r="ED13" s="121" t="n"/>
      <c r="EE13" s="122" t="n"/>
      <c r="EF13" s="121" t="n"/>
      <c r="EG13" s="122" t="n"/>
      <c r="EH13" s="121" t="n"/>
      <c r="EI13" s="122" t="n"/>
      <c r="EJ13" s="121" t="n"/>
      <c r="EK13" s="122" t="n"/>
      <c r="EL13" s="123" t="n"/>
      <c r="EM13" s="124" t="n"/>
      <c r="EN13" s="125" t="n"/>
      <c r="EO13" s="124" t="n"/>
      <c r="EP13" s="125" t="n"/>
      <c r="EQ13" s="124" t="n"/>
      <c r="ER13" s="125" t="n"/>
      <c r="ES13" s="124" t="n"/>
      <c r="ET13" s="125" t="n"/>
      <c r="EU13" s="124" t="n"/>
      <c r="EV13" s="125" t="n"/>
      <c r="EW13" s="124" t="n"/>
      <c r="EX13" s="125" t="n"/>
      <c r="EY13" s="124" t="n"/>
      <c r="EZ13" s="125" t="n"/>
      <c r="FA13" s="124" t="n"/>
      <c r="FB13" s="125" t="n"/>
      <c r="FC13" s="126" t="n"/>
      <c r="FD13" s="127" t="n"/>
      <c r="FE13" s="128" t="n"/>
      <c r="FF13" s="127" t="n"/>
      <c r="FG13" s="128" t="n"/>
      <c r="FH13" s="127" t="n"/>
      <c r="FI13" s="128" t="n"/>
      <c r="FJ13" s="127" t="n"/>
      <c r="FK13" s="128" t="n"/>
      <c r="FL13" s="127" t="n"/>
      <c r="FM13" s="128" t="n"/>
      <c r="FN13" s="127" t="n"/>
      <c r="FO13" s="128" t="n"/>
      <c r="FP13" s="127" t="n"/>
      <c r="FQ13" s="128" t="n"/>
      <c r="FR13" s="127" t="n"/>
      <c r="FS13" s="128" t="n"/>
      <c r="FT13" s="129" t="n"/>
      <c r="FU13" s="130" t="n"/>
      <c r="FV13" s="131" t="n"/>
      <c r="FW13" s="130" t="n"/>
      <c r="FX13" s="131" t="n"/>
      <c r="FY13" s="130" t="n"/>
      <c r="FZ13" s="131" t="n"/>
      <c r="GA13" s="130" t="n"/>
      <c r="GB13" s="131" t="n"/>
      <c r="GC13" s="130" t="n"/>
      <c r="GD13" s="131" t="n"/>
      <c r="GE13" s="130" t="n"/>
      <c r="GF13" s="131" t="n"/>
      <c r="GG13" s="130" t="n"/>
      <c r="GH13" s="131" t="n"/>
      <c r="GI13" s="130" t="n"/>
      <c r="GJ13" s="131" t="n"/>
      <c r="GK13" s="132" t="n"/>
      <c r="GL13" s="133" t="n"/>
      <c r="GM13" s="134" t="n"/>
      <c r="GN13" s="133" t="n"/>
      <c r="GO13" s="134" t="n"/>
      <c r="GP13" s="133" t="n"/>
      <c r="GQ13" s="134" t="n"/>
      <c r="GR13" s="133" t="n"/>
      <c r="GS13" s="134" t="n"/>
      <c r="GT13" s="133" t="n"/>
      <c r="GU13" s="134" t="n"/>
      <c r="GV13" s="133" t="n"/>
      <c r="GW13" s="134" t="n"/>
      <c r="GX13" s="133" t="n"/>
      <c r="GY13" s="134" t="n"/>
      <c r="GZ13" s="133" t="n"/>
      <c r="HA13" s="134" t="n"/>
      <c r="HB13" s="135" t="n"/>
      <c r="HC13">
        <f>97-SUMPRODUCT(MAX(($G$4:$HB$4="ح")*($G13:$HB13=TRUE)*(97-$G$47:$HB$47)))</f>
        <v>97</v>
      </c>
      <c r="HD13">
        <f>SUMPRODUCT(($G$4:$HB$4="ح")*($G13:$HB13=TRUE)*($G$47:$HB$47&gt;$HC$1-8))</f>
        <v>0</v>
      </c>
      <c r="HE13">
        <f>(COUNTIF($G13:$V13,TRUE)&gt;0)*($W13&lt;&gt;TRUE)+(COUNTIF($X13:$AM13,TRUE)&gt;0)*($AN13&lt;&gt;TRUE)+(COUNTIF($AO13:$BD13,TRUE)&gt;0)*($BE13&lt;&gt;TRUE)+(COUNTIF($BF13:$BU13,TRUE)&gt;0)*($BV13&lt;&gt;TRUE)+(COUNTIF($BW13:$CL13,TRUE)&gt;0)*($CM13&lt;&gt;TRUE)+(COUNTIF($CN13:$DC13,TRUE)&gt;0)*($DD13&lt;&gt;TRUE)+(COUNTIF($DE13:$DT13,TRUE)&gt;0)*($DU13&lt;&gt;TRUE)+(COUNTIF($DV13:$EK13,TRUE)&gt;0)*($EL13&lt;&gt;TRUE)+(COUNTIF($EM13:$FB13,TRUE)&gt;0)*($FC13&lt;&gt;TRUE)+(COUNTIF($FD13:$FS13,TRUE)&gt;0)*($FT13&lt;&gt;TRUE)+(COUNTIF($FU13:$GJ13,TRUE)&gt;0)*($GK13&lt;&gt;TRUE)+(COUNTIF($GL13:$HA13,TRUE)&gt;0)*($HB13&lt;&gt;TRUE)</f>
        <v>0</v>
      </c>
      <c r="HF13">
        <f>IF($HE13=0,0,13-MAX((COUNTIF($G13:$V13,TRUE)&gt;0)*($W13&lt;&gt;TRUE)*12,(COUNTIF($X13:$AM13,TRUE)&gt;0)*($AN13&lt;&gt;TRUE)*11,(COUNTIF($AO13:$BD13,TRUE)&gt;0)*($BE13&lt;&gt;TRUE)*10,(COUNTIF($BF13:$BU13,TRUE)&gt;0)*($BV13&lt;&gt;TRUE)*9,(COUNTIF($BW13:$CL13,TRUE)&gt;0)*($CM13&lt;&gt;TRUE)*8,(COUNTIF($CN13:$DC13,TRUE)&gt;0)*($DD13&lt;&gt;TRUE)*7,(COUNTIF($DE13:$DT13,TRUE)&gt;0)*($DU13&lt;&gt;TRUE)*6,(COUNTIF($DV13:$EK13,TRUE)&gt;0)*($EL13&lt;&gt;TRUE)*5,(COUNTIF($EM13:$FB13,TRUE)&gt;0)*($FC13&lt;&gt;TRUE)*4,(COUNTIF($FD13:$FS13,TRUE)&gt;0)*($FT13&lt;&gt;TRUE)*3,(COUNTIF($FU13:$GJ13,TRUE)&gt;0)*($GK13&lt;&gt;TRUE)*2,(COUNTIF($GL13:$HA13,TRUE)&gt;0)*($HB13&lt;&gt;TRUE)*1))</f>
        <v>0</v>
      </c>
    </row>
    <row r="14" ht="22.5" customHeight="1">
      <c r="A14" s="36" t="n">
        <v>10</v>
      </c>
      <c r="B14" s="97" t="n"/>
      <c r="C14" s="28" t="n"/>
      <c r="D14" s="98" t="str">
        <f>IF($B14="","",IF($HC14=97,"-",IF($HD14=0,"متوقف",SUMPRODUCT(($G$4:$HB$4="ح")*($G$20:$HB$20&gt;0)*($G14:$HB14&lt;&gt;TRUE)*($G$47:$HB$47&gt;$HC$1-8)*($G$47:$HB$47&gt;=$HC14)))))</f>
        <v/>
      </c>
      <c r="E14" s="98" t="str">
        <f>IF(OR($B14="",$HC14=97),"",SUMPRODUCT(($G$4:$HA$4="ح")*($G14:$HA14=TRUE)*($H14:$HB14&lt;&gt;TRUE)*($G$47:$HA$47&gt;$HC$1-8)))</f>
        <v/>
      </c>
      <c r="F14" s="99" t="str">
        <f>IF($B14="","",IF($HE14=0,IF($HC14=97,"-","تمام"),IF($HE14=1,IF(INDEX($G$1:$HB$1,1,17*($HF14-1)+1)="","شهر "&amp;$HF14,INDEX($G$1:$HB$1,1,17*($HF14-1)+1)),IF($HE14=2,"شهرين",$HE14&amp;" شهور"))))</f>
        <v/>
      </c>
      <c r="G14" s="100" t="n"/>
      <c r="H14" s="101" t="n"/>
      <c r="I14" s="100" t="n"/>
      <c r="J14" s="101" t="n"/>
      <c r="K14" s="100" t="n"/>
      <c r="L14" s="101" t="n"/>
      <c r="M14" s="100" t="n"/>
      <c r="N14" s="101" t="n"/>
      <c r="O14" s="100" t="n"/>
      <c r="P14" s="101" t="n"/>
      <c r="Q14" s="100" t="n"/>
      <c r="R14" s="101" t="n"/>
      <c r="S14" s="100" t="n"/>
      <c r="T14" s="101" t="n"/>
      <c r="U14" s="100" t="n"/>
      <c r="V14" s="101" t="n"/>
      <c r="W14" s="102" t="n"/>
      <c r="X14" s="103" t="n"/>
      <c r="Y14" s="104" t="n"/>
      <c r="Z14" s="103" t="n"/>
      <c r="AA14" s="104" t="n"/>
      <c r="AB14" s="103" t="n"/>
      <c r="AC14" s="104" t="n"/>
      <c r="AD14" s="103" t="n"/>
      <c r="AE14" s="104" t="n"/>
      <c r="AF14" s="103" t="n"/>
      <c r="AG14" s="104" t="n"/>
      <c r="AH14" s="103" t="n"/>
      <c r="AI14" s="104" t="n"/>
      <c r="AJ14" s="103" t="n"/>
      <c r="AK14" s="104" t="n"/>
      <c r="AL14" s="103" t="n"/>
      <c r="AM14" s="104" t="n"/>
      <c r="AN14" s="105" t="n"/>
      <c r="AO14" s="106" t="n"/>
      <c r="AP14" s="107" t="n"/>
      <c r="AQ14" s="106" t="n"/>
      <c r="AR14" s="107" t="n"/>
      <c r="AS14" s="106" t="n"/>
      <c r="AT14" s="107" t="n"/>
      <c r="AU14" s="106" t="n"/>
      <c r="AV14" s="107" t="n"/>
      <c r="AW14" s="106" t="n"/>
      <c r="AX14" s="107" t="n"/>
      <c r="AY14" s="106" t="n"/>
      <c r="AZ14" s="107" t="n"/>
      <c r="BA14" s="106" t="n"/>
      <c r="BB14" s="107" t="n"/>
      <c r="BC14" s="106" t="n"/>
      <c r="BD14" s="107" t="n"/>
      <c r="BE14" s="108" t="n"/>
      <c r="BF14" s="109" t="n"/>
      <c r="BG14" s="110" t="n"/>
      <c r="BH14" s="109" t="n"/>
      <c r="BI14" s="110" t="n"/>
      <c r="BJ14" s="109" t="n"/>
      <c r="BK14" s="110" t="n"/>
      <c r="BL14" s="109" t="n"/>
      <c r="BM14" s="110" t="n"/>
      <c r="BN14" s="109" t="n"/>
      <c r="BO14" s="110" t="n"/>
      <c r="BP14" s="109" t="n"/>
      <c r="BQ14" s="110" t="n"/>
      <c r="BR14" s="109" t="n"/>
      <c r="BS14" s="110" t="n"/>
      <c r="BT14" s="109" t="n"/>
      <c r="BU14" s="110" t="n"/>
      <c r="BV14" s="111" t="n"/>
      <c r="BW14" s="112" t="n"/>
      <c r="BX14" s="113" t="n"/>
      <c r="BY14" s="112" t="n"/>
      <c r="BZ14" s="113" t="n"/>
      <c r="CA14" s="112" t="n"/>
      <c r="CB14" s="113" t="n"/>
      <c r="CC14" s="112" t="n"/>
      <c r="CD14" s="113" t="n"/>
      <c r="CE14" s="112" t="n"/>
      <c r="CF14" s="113" t="n"/>
      <c r="CG14" s="112" t="n"/>
      <c r="CH14" s="113" t="n"/>
      <c r="CI14" s="112" t="n"/>
      <c r="CJ14" s="113" t="n"/>
      <c r="CK14" s="112" t="n"/>
      <c r="CL14" s="113" t="n"/>
      <c r="CM14" s="114" t="n"/>
      <c r="CN14" s="115" t="n"/>
      <c r="CO14" s="116" t="n"/>
      <c r="CP14" s="115" t="n"/>
      <c r="CQ14" s="116" t="n"/>
      <c r="CR14" s="115" t="n"/>
      <c r="CS14" s="116" t="n"/>
      <c r="CT14" s="115" t="n"/>
      <c r="CU14" s="116" t="n"/>
      <c r="CV14" s="115" t="n"/>
      <c r="CW14" s="116" t="n"/>
      <c r="CX14" s="115" t="n"/>
      <c r="CY14" s="116" t="n"/>
      <c r="CZ14" s="115" t="n"/>
      <c r="DA14" s="116" t="n"/>
      <c r="DB14" s="115" t="n"/>
      <c r="DC14" s="116" t="n"/>
      <c r="DD14" s="117" t="n"/>
      <c r="DE14" s="118" t="n"/>
      <c r="DF14" s="119" t="n"/>
      <c r="DG14" s="118" t="n"/>
      <c r="DH14" s="119" t="n"/>
      <c r="DI14" s="118" t="n"/>
      <c r="DJ14" s="119" t="n"/>
      <c r="DK14" s="118" t="n"/>
      <c r="DL14" s="119" t="n"/>
      <c r="DM14" s="118" t="n"/>
      <c r="DN14" s="119" t="n"/>
      <c r="DO14" s="118" t="n"/>
      <c r="DP14" s="119" t="n"/>
      <c r="DQ14" s="118" t="n"/>
      <c r="DR14" s="119" t="n"/>
      <c r="DS14" s="118" t="n"/>
      <c r="DT14" s="119" t="n"/>
      <c r="DU14" s="120" t="n"/>
      <c r="DV14" s="121" t="n"/>
      <c r="DW14" s="122" t="n"/>
      <c r="DX14" s="121" t="n"/>
      <c r="DY14" s="122" t="n"/>
      <c r="DZ14" s="121" t="n"/>
      <c r="EA14" s="122" t="n"/>
      <c r="EB14" s="121" t="n"/>
      <c r="EC14" s="122" t="n"/>
      <c r="ED14" s="121" t="n"/>
      <c r="EE14" s="122" t="n"/>
      <c r="EF14" s="121" t="n"/>
      <c r="EG14" s="122" t="n"/>
      <c r="EH14" s="121" t="n"/>
      <c r="EI14" s="122" t="n"/>
      <c r="EJ14" s="121" t="n"/>
      <c r="EK14" s="122" t="n"/>
      <c r="EL14" s="123" t="n"/>
      <c r="EM14" s="124" t="n"/>
      <c r="EN14" s="125" t="n"/>
      <c r="EO14" s="124" t="n"/>
      <c r="EP14" s="125" t="n"/>
      <c r="EQ14" s="124" t="n"/>
      <c r="ER14" s="125" t="n"/>
      <c r="ES14" s="124" t="n"/>
      <c r="ET14" s="125" t="n"/>
      <c r="EU14" s="124" t="n"/>
      <c r="EV14" s="125" t="n"/>
      <c r="EW14" s="124" t="n"/>
      <c r="EX14" s="125" t="n"/>
      <c r="EY14" s="124" t="n"/>
      <c r="EZ14" s="125" t="n"/>
      <c r="FA14" s="124" t="n"/>
      <c r="FB14" s="125" t="n"/>
      <c r="FC14" s="126" t="n"/>
      <c r="FD14" s="127" t="n"/>
      <c r="FE14" s="128" t="n"/>
      <c r="FF14" s="127" t="n"/>
      <c r="FG14" s="128" t="n"/>
      <c r="FH14" s="127" t="n"/>
      <c r="FI14" s="128" t="n"/>
      <c r="FJ14" s="127" t="n"/>
      <c r="FK14" s="128" t="n"/>
      <c r="FL14" s="127" t="n"/>
      <c r="FM14" s="128" t="n"/>
      <c r="FN14" s="127" t="n"/>
      <c r="FO14" s="128" t="n"/>
      <c r="FP14" s="127" t="n"/>
      <c r="FQ14" s="128" t="n"/>
      <c r="FR14" s="127" t="n"/>
      <c r="FS14" s="128" t="n"/>
      <c r="FT14" s="129" t="n"/>
      <c r="FU14" s="130" t="n"/>
      <c r="FV14" s="131" t="n"/>
      <c r="FW14" s="130" t="n"/>
      <c r="FX14" s="131" t="n"/>
      <c r="FY14" s="130" t="n"/>
      <c r="FZ14" s="131" t="n"/>
      <c r="GA14" s="130" t="n"/>
      <c r="GB14" s="131" t="n"/>
      <c r="GC14" s="130" t="n"/>
      <c r="GD14" s="131" t="n"/>
      <c r="GE14" s="130" t="n"/>
      <c r="GF14" s="131" t="n"/>
      <c r="GG14" s="130" t="n"/>
      <c r="GH14" s="131" t="n"/>
      <c r="GI14" s="130" t="n"/>
      <c r="GJ14" s="131" t="n"/>
      <c r="GK14" s="132" t="n"/>
      <c r="GL14" s="133" t="n"/>
      <c r="GM14" s="134" t="n"/>
      <c r="GN14" s="133" t="n"/>
      <c r="GO14" s="134" t="n"/>
      <c r="GP14" s="133" t="n"/>
      <c r="GQ14" s="134" t="n"/>
      <c r="GR14" s="133" t="n"/>
      <c r="GS14" s="134" t="n"/>
      <c r="GT14" s="133" t="n"/>
      <c r="GU14" s="134" t="n"/>
      <c r="GV14" s="133" t="n"/>
      <c r="GW14" s="134" t="n"/>
      <c r="GX14" s="133" t="n"/>
      <c r="GY14" s="134" t="n"/>
      <c r="GZ14" s="133" t="n"/>
      <c r="HA14" s="134" t="n"/>
      <c r="HB14" s="135" t="n"/>
      <c r="HC14">
        <f>97-SUMPRODUCT(MAX(($G$4:$HB$4="ح")*($G14:$HB14=TRUE)*(97-$G$47:$HB$47)))</f>
        <v>97</v>
      </c>
      <c r="HD14">
        <f>SUMPRODUCT(($G$4:$HB$4="ح")*($G14:$HB14=TRUE)*($G$47:$HB$47&gt;$HC$1-8))</f>
        <v>0</v>
      </c>
      <c r="HE14">
        <f>(COUNTIF($G14:$V14,TRUE)&gt;0)*($W14&lt;&gt;TRUE)+(COUNTIF($X14:$AM14,TRUE)&gt;0)*($AN14&lt;&gt;TRUE)+(COUNTIF($AO14:$BD14,TRUE)&gt;0)*($BE14&lt;&gt;TRUE)+(COUNTIF($BF14:$BU14,TRUE)&gt;0)*($BV14&lt;&gt;TRUE)+(COUNTIF($BW14:$CL14,TRUE)&gt;0)*($CM14&lt;&gt;TRUE)+(COUNTIF($CN14:$DC14,TRUE)&gt;0)*($DD14&lt;&gt;TRUE)+(COUNTIF($DE14:$DT14,TRUE)&gt;0)*($DU14&lt;&gt;TRUE)+(COUNTIF($DV14:$EK14,TRUE)&gt;0)*($EL14&lt;&gt;TRUE)+(COUNTIF($EM14:$FB14,TRUE)&gt;0)*($FC14&lt;&gt;TRUE)+(COUNTIF($FD14:$FS14,TRUE)&gt;0)*($FT14&lt;&gt;TRUE)+(COUNTIF($FU14:$GJ14,TRUE)&gt;0)*($GK14&lt;&gt;TRUE)+(COUNTIF($GL14:$HA14,TRUE)&gt;0)*($HB14&lt;&gt;TRUE)</f>
        <v>0</v>
      </c>
      <c r="HF14">
        <f>IF($HE14=0,0,13-MAX((COUNTIF($G14:$V14,TRUE)&gt;0)*($W14&lt;&gt;TRUE)*12,(COUNTIF($X14:$AM14,TRUE)&gt;0)*($AN14&lt;&gt;TRUE)*11,(COUNTIF($AO14:$BD14,TRUE)&gt;0)*($BE14&lt;&gt;TRUE)*10,(COUNTIF($BF14:$BU14,TRUE)&gt;0)*($BV14&lt;&gt;TRUE)*9,(COUNTIF($BW14:$CL14,TRUE)&gt;0)*($CM14&lt;&gt;TRUE)*8,(COUNTIF($CN14:$DC14,TRUE)&gt;0)*($DD14&lt;&gt;TRUE)*7,(COUNTIF($DE14:$DT14,TRUE)&gt;0)*($DU14&lt;&gt;TRUE)*6,(COUNTIF($DV14:$EK14,TRUE)&gt;0)*($EL14&lt;&gt;TRUE)*5,(COUNTIF($EM14:$FB14,TRUE)&gt;0)*($FC14&lt;&gt;TRUE)*4,(COUNTIF($FD14:$FS14,TRUE)&gt;0)*($FT14&lt;&gt;TRUE)*3,(COUNTIF($FU14:$GJ14,TRUE)&gt;0)*($GK14&lt;&gt;TRUE)*2,(COUNTIF($GL14:$HA14,TRUE)&gt;0)*($HB14&lt;&gt;TRUE)*1))</f>
        <v>0</v>
      </c>
    </row>
    <row r="15" ht="22.5" customHeight="1">
      <c r="A15" s="36" t="n">
        <v>11</v>
      </c>
      <c r="B15" s="97" t="n"/>
      <c r="C15" s="28" t="n"/>
      <c r="D15" s="98" t="str">
        <f>IF($B15="","",IF($HC15=97,"-",IF($HD15=0,"متوقف",SUMPRODUCT(($G$4:$HB$4="ح")*($G$20:$HB$20&gt;0)*($G15:$HB15&lt;&gt;TRUE)*($G$47:$HB$47&gt;$HC$1-8)*($G$47:$HB$47&gt;=$HC15)))))</f>
        <v/>
      </c>
      <c r="E15" s="98" t="str">
        <f>IF(OR($B15="",$HC15=97),"",SUMPRODUCT(($G$4:$HA$4="ح")*($G15:$HA15=TRUE)*($H15:$HB15&lt;&gt;TRUE)*($G$47:$HA$47&gt;$HC$1-8)))</f>
        <v/>
      </c>
      <c r="F15" s="99" t="str">
        <f>IF($B15="","",IF($HE15=0,IF($HC15=97,"-","تمام"),IF($HE15=1,IF(INDEX($G$1:$HB$1,1,17*($HF15-1)+1)="","شهر "&amp;$HF15,INDEX($G$1:$HB$1,1,17*($HF15-1)+1)),IF($HE15=2,"شهرين",$HE15&amp;" شهور"))))</f>
        <v/>
      </c>
      <c r="G15" s="100" t="n"/>
      <c r="H15" s="101" t="n"/>
      <c r="I15" s="100" t="n"/>
      <c r="J15" s="101" t="n"/>
      <c r="K15" s="100" t="n"/>
      <c r="L15" s="101" t="n"/>
      <c r="M15" s="100" t="n"/>
      <c r="N15" s="101" t="n"/>
      <c r="O15" s="100" t="n"/>
      <c r="P15" s="101" t="n"/>
      <c r="Q15" s="100" t="n"/>
      <c r="R15" s="101" t="n"/>
      <c r="S15" s="100" t="n"/>
      <c r="T15" s="101" t="n"/>
      <c r="U15" s="100" t="n"/>
      <c r="V15" s="101" t="n"/>
      <c r="W15" s="102" t="n"/>
      <c r="X15" s="103" t="n"/>
      <c r="Y15" s="104" t="n"/>
      <c r="Z15" s="103" t="n"/>
      <c r="AA15" s="104" t="n"/>
      <c r="AB15" s="103" t="n"/>
      <c r="AC15" s="104" t="n"/>
      <c r="AD15" s="103" t="n"/>
      <c r="AE15" s="104" t="n"/>
      <c r="AF15" s="103" t="n"/>
      <c r="AG15" s="104" t="n"/>
      <c r="AH15" s="103" t="n"/>
      <c r="AI15" s="104" t="n"/>
      <c r="AJ15" s="103" t="n"/>
      <c r="AK15" s="104" t="n"/>
      <c r="AL15" s="103" t="n"/>
      <c r="AM15" s="104" t="n"/>
      <c r="AN15" s="105" t="n"/>
      <c r="AO15" s="106" t="n"/>
      <c r="AP15" s="107" t="n"/>
      <c r="AQ15" s="106" t="n"/>
      <c r="AR15" s="107" t="n"/>
      <c r="AS15" s="106" t="n"/>
      <c r="AT15" s="107" t="n"/>
      <c r="AU15" s="106" t="n"/>
      <c r="AV15" s="107" t="n"/>
      <c r="AW15" s="106" t="n"/>
      <c r="AX15" s="107" t="n"/>
      <c r="AY15" s="106" t="n"/>
      <c r="AZ15" s="107" t="n"/>
      <c r="BA15" s="106" t="n"/>
      <c r="BB15" s="107" t="n"/>
      <c r="BC15" s="106" t="n"/>
      <c r="BD15" s="107" t="n"/>
      <c r="BE15" s="108" t="n"/>
      <c r="BF15" s="109" t="n"/>
      <c r="BG15" s="110" t="n"/>
      <c r="BH15" s="109" t="n"/>
      <c r="BI15" s="110" t="n"/>
      <c r="BJ15" s="109" t="n"/>
      <c r="BK15" s="110" t="n"/>
      <c r="BL15" s="109" t="n"/>
      <c r="BM15" s="110" t="n"/>
      <c r="BN15" s="109" t="n"/>
      <c r="BO15" s="110" t="n"/>
      <c r="BP15" s="109" t="n"/>
      <c r="BQ15" s="110" t="n"/>
      <c r="BR15" s="109" t="n"/>
      <c r="BS15" s="110" t="n"/>
      <c r="BT15" s="109" t="n"/>
      <c r="BU15" s="110" t="n"/>
      <c r="BV15" s="111" t="n"/>
      <c r="BW15" s="112" t="n"/>
      <c r="BX15" s="113" t="n"/>
      <c r="BY15" s="112" t="n"/>
      <c r="BZ15" s="113" t="n"/>
      <c r="CA15" s="112" t="n"/>
      <c r="CB15" s="113" t="n"/>
      <c r="CC15" s="112" t="n"/>
      <c r="CD15" s="113" t="n"/>
      <c r="CE15" s="112" t="n"/>
      <c r="CF15" s="113" t="n"/>
      <c r="CG15" s="112" t="n"/>
      <c r="CH15" s="113" t="n"/>
      <c r="CI15" s="112" t="n"/>
      <c r="CJ15" s="113" t="n"/>
      <c r="CK15" s="112" t="n"/>
      <c r="CL15" s="113" t="n"/>
      <c r="CM15" s="114" t="n"/>
      <c r="CN15" s="115" t="n"/>
      <c r="CO15" s="116" t="n"/>
      <c r="CP15" s="115" t="n"/>
      <c r="CQ15" s="116" t="n"/>
      <c r="CR15" s="115" t="n"/>
      <c r="CS15" s="116" t="n"/>
      <c r="CT15" s="115" t="n"/>
      <c r="CU15" s="116" t="n"/>
      <c r="CV15" s="115" t="n"/>
      <c r="CW15" s="116" t="n"/>
      <c r="CX15" s="115" t="n"/>
      <c r="CY15" s="116" t="n"/>
      <c r="CZ15" s="115" t="n"/>
      <c r="DA15" s="116" t="n"/>
      <c r="DB15" s="115" t="n"/>
      <c r="DC15" s="116" t="n"/>
      <c r="DD15" s="117" t="n"/>
      <c r="DE15" s="118" t="n"/>
      <c r="DF15" s="119" t="n"/>
      <c r="DG15" s="118" t="n"/>
      <c r="DH15" s="119" t="n"/>
      <c r="DI15" s="118" t="n"/>
      <c r="DJ15" s="119" t="n"/>
      <c r="DK15" s="118" t="n"/>
      <c r="DL15" s="119" t="n"/>
      <c r="DM15" s="118" t="n"/>
      <c r="DN15" s="119" t="n"/>
      <c r="DO15" s="118" t="n"/>
      <c r="DP15" s="119" t="n"/>
      <c r="DQ15" s="118" t="n"/>
      <c r="DR15" s="119" t="n"/>
      <c r="DS15" s="118" t="n"/>
      <c r="DT15" s="119" t="n"/>
      <c r="DU15" s="120" t="n"/>
      <c r="DV15" s="121" t="n"/>
      <c r="DW15" s="122" t="n"/>
      <c r="DX15" s="121" t="n"/>
      <c r="DY15" s="122" t="n"/>
      <c r="DZ15" s="121" t="n"/>
      <c r="EA15" s="122" t="n"/>
      <c r="EB15" s="121" t="n"/>
      <c r="EC15" s="122" t="n"/>
      <c r="ED15" s="121" t="n"/>
      <c r="EE15" s="122" t="n"/>
      <c r="EF15" s="121" t="n"/>
      <c r="EG15" s="122" t="n"/>
      <c r="EH15" s="121" t="n"/>
      <c r="EI15" s="122" t="n"/>
      <c r="EJ15" s="121" t="n"/>
      <c r="EK15" s="122" t="n"/>
      <c r="EL15" s="123" t="n"/>
      <c r="EM15" s="124" t="n"/>
      <c r="EN15" s="125" t="n"/>
      <c r="EO15" s="124" t="n"/>
      <c r="EP15" s="125" t="n"/>
      <c r="EQ15" s="124" t="n"/>
      <c r="ER15" s="125" t="n"/>
      <c r="ES15" s="124" t="n"/>
      <c r="ET15" s="125" t="n"/>
      <c r="EU15" s="124" t="n"/>
      <c r="EV15" s="125" t="n"/>
      <c r="EW15" s="124" t="n"/>
      <c r="EX15" s="125" t="n"/>
      <c r="EY15" s="124" t="n"/>
      <c r="EZ15" s="125" t="n"/>
      <c r="FA15" s="124" t="n"/>
      <c r="FB15" s="125" t="n"/>
      <c r="FC15" s="126" t="n"/>
      <c r="FD15" s="127" t="n"/>
      <c r="FE15" s="128" t="n"/>
      <c r="FF15" s="127" t="n"/>
      <c r="FG15" s="128" t="n"/>
      <c r="FH15" s="127" t="n"/>
      <c r="FI15" s="128" t="n"/>
      <c r="FJ15" s="127" t="n"/>
      <c r="FK15" s="128" t="n"/>
      <c r="FL15" s="127" t="n"/>
      <c r="FM15" s="128" t="n"/>
      <c r="FN15" s="127" t="n"/>
      <c r="FO15" s="128" t="n"/>
      <c r="FP15" s="127" t="n"/>
      <c r="FQ15" s="128" t="n"/>
      <c r="FR15" s="127" t="n"/>
      <c r="FS15" s="128" t="n"/>
      <c r="FT15" s="129" t="n"/>
      <c r="FU15" s="130" t="n"/>
      <c r="FV15" s="131" t="n"/>
      <c r="FW15" s="130" t="n"/>
      <c r="FX15" s="131" t="n"/>
      <c r="FY15" s="130" t="n"/>
      <c r="FZ15" s="131" t="n"/>
      <c r="GA15" s="130" t="n"/>
      <c r="GB15" s="131" t="n"/>
      <c r="GC15" s="130" t="n"/>
      <c r="GD15" s="131" t="n"/>
      <c r="GE15" s="130" t="n"/>
      <c r="GF15" s="131" t="n"/>
      <c r="GG15" s="130" t="n"/>
      <c r="GH15" s="131" t="n"/>
      <c r="GI15" s="130" t="n"/>
      <c r="GJ15" s="131" t="n"/>
      <c r="GK15" s="132" t="n"/>
      <c r="GL15" s="133" t="n"/>
      <c r="GM15" s="134" t="n"/>
      <c r="GN15" s="133" t="n"/>
      <c r="GO15" s="134" t="n"/>
      <c r="GP15" s="133" t="n"/>
      <c r="GQ15" s="134" t="n"/>
      <c r="GR15" s="133" t="n"/>
      <c r="GS15" s="134" t="n"/>
      <c r="GT15" s="133" t="n"/>
      <c r="GU15" s="134" t="n"/>
      <c r="GV15" s="133" t="n"/>
      <c r="GW15" s="134" t="n"/>
      <c r="GX15" s="133" t="n"/>
      <c r="GY15" s="134" t="n"/>
      <c r="GZ15" s="133" t="n"/>
      <c r="HA15" s="134" t="n"/>
      <c r="HB15" s="135" t="n"/>
      <c r="HC15">
        <f>97-SUMPRODUCT(MAX(($G$4:$HB$4="ح")*($G15:$HB15=TRUE)*(97-$G$47:$HB$47)))</f>
        <v>97</v>
      </c>
      <c r="HD15">
        <f>SUMPRODUCT(($G$4:$HB$4="ح")*($G15:$HB15=TRUE)*($G$47:$HB$47&gt;$HC$1-8))</f>
        <v>0</v>
      </c>
      <c r="HE15">
        <f>(COUNTIF($G15:$V15,TRUE)&gt;0)*($W15&lt;&gt;TRUE)+(COUNTIF($X15:$AM15,TRUE)&gt;0)*($AN15&lt;&gt;TRUE)+(COUNTIF($AO15:$BD15,TRUE)&gt;0)*($BE15&lt;&gt;TRUE)+(COUNTIF($BF15:$BU15,TRUE)&gt;0)*($BV15&lt;&gt;TRUE)+(COUNTIF($BW15:$CL15,TRUE)&gt;0)*($CM15&lt;&gt;TRUE)+(COUNTIF($CN15:$DC15,TRUE)&gt;0)*($DD15&lt;&gt;TRUE)+(COUNTIF($DE15:$DT15,TRUE)&gt;0)*($DU15&lt;&gt;TRUE)+(COUNTIF($DV15:$EK15,TRUE)&gt;0)*($EL15&lt;&gt;TRUE)+(COUNTIF($EM15:$FB15,TRUE)&gt;0)*($FC15&lt;&gt;TRUE)+(COUNTIF($FD15:$FS15,TRUE)&gt;0)*($FT15&lt;&gt;TRUE)+(COUNTIF($FU15:$GJ15,TRUE)&gt;0)*($GK15&lt;&gt;TRUE)+(COUNTIF($GL15:$HA15,TRUE)&gt;0)*($HB15&lt;&gt;TRUE)</f>
        <v>0</v>
      </c>
      <c r="HF15">
        <f>IF($HE15=0,0,13-MAX((COUNTIF($G15:$V15,TRUE)&gt;0)*($W15&lt;&gt;TRUE)*12,(COUNTIF($X15:$AM15,TRUE)&gt;0)*($AN15&lt;&gt;TRUE)*11,(COUNTIF($AO15:$BD15,TRUE)&gt;0)*($BE15&lt;&gt;TRUE)*10,(COUNTIF($BF15:$BU15,TRUE)&gt;0)*($BV15&lt;&gt;TRUE)*9,(COUNTIF($BW15:$CL15,TRUE)&gt;0)*($CM15&lt;&gt;TRUE)*8,(COUNTIF($CN15:$DC15,TRUE)&gt;0)*($DD15&lt;&gt;TRUE)*7,(COUNTIF($DE15:$DT15,TRUE)&gt;0)*($DU15&lt;&gt;TRUE)*6,(COUNTIF($DV15:$EK15,TRUE)&gt;0)*($EL15&lt;&gt;TRUE)*5,(COUNTIF($EM15:$FB15,TRUE)&gt;0)*($FC15&lt;&gt;TRUE)*4,(COUNTIF($FD15:$FS15,TRUE)&gt;0)*($FT15&lt;&gt;TRUE)*3,(COUNTIF($FU15:$GJ15,TRUE)&gt;0)*($GK15&lt;&gt;TRUE)*2,(COUNTIF($GL15:$HA15,TRUE)&gt;0)*($HB15&lt;&gt;TRUE)*1))</f>
        <v>0</v>
      </c>
    </row>
    <row r="16" ht="22.5" customHeight="1">
      <c r="A16" s="36" t="n">
        <v>12</v>
      </c>
      <c r="B16" s="97" t="n"/>
      <c r="C16" s="28" t="n"/>
      <c r="D16" s="98" t="str">
        <f>IF($B16="","",IF($HC16=97,"-",IF($HD16=0,"متوقف",SUMPRODUCT(($G$4:$HB$4="ح")*($G$20:$HB$20&gt;0)*($G16:$HB16&lt;&gt;TRUE)*($G$47:$HB$47&gt;$HC$1-8)*($G$47:$HB$47&gt;=$HC16)))))</f>
        <v/>
      </c>
      <c r="E16" s="98" t="str">
        <f>IF(OR($B16="",$HC16=97),"",SUMPRODUCT(($G$4:$HA$4="ح")*($G16:$HA16=TRUE)*($H16:$HB16&lt;&gt;TRUE)*($G$47:$HA$47&gt;$HC$1-8)))</f>
        <v/>
      </c>
      <c r="F16" s="99" t="str">
        <f>IF($B16="","",IF($HE16=0,IF($HC16=97,"-","تمام"),IF($HE16=1,IF(INDEX($G$1:$HB$1,1,17*($HF16-1)+1)="","شهر "&amp;$HF16,INDEX($G$1:$HB$1,1,17*($HF16-1)+1)),IF($HE16=2,"شهرين",$HE16&amp;" شهور"))))</f>
        <v/>
      </c>
      <c r="G16" s="100" t="n"/>
      <c r="H16" s="101" t="n"/>
      <c r="I16" s="100" t="n"/>
      <c r="J16" s="101" t="n"/>
      <c r="K16" s="100" t="n"/>
      <c r="L16" s="101" t="n"/>
      <c r="M16" s="100" t="n"/>
      <c r="N16" s="101" t="n"/>
      <c r="O16" s="100" t="n"/>
      <c r="P16" s="101" t="n"/>
      <c r="Q16" s="100" t="n"/>
      <c r="R16" s="101" t="n"/>
      <c r="S16" s="100" t="n"/>
      <c r="T16" s="101" t="n"/>
      <c r="U16" s="100" t="n"/>
      <c r="V16" s="101" t="n"/>
      <c r="W16" s="102" t="n"/>
      <c r="X16" s="103" t="n"/>
      <c r="Y16" s="104" t="n"/>
      <c r="Z16" s="103" t="n"/>
      <c r="AA16" s="104" t="n"/>
      <c r="AB16" s="103" t="n"/>
      <c r="AC16" s="104" t="n"/>
      <c r="AD16" s="103" t="n"/>
      <c r="AE16" s="104" t="n"/>
      <c r="AF16" s="103" t="n"/>
      <c r="AG16" s="104" t="n"/>
      <c r="AH16" s="103" t="n"/>
      <c r="AI16" s="104" t="n"/>
      <c r="AJ16" s="103" t="n"/>
      <c r="AK16" s="104" t="n"/>
      <c r="AL16" s="103" t="n"/>
      <c r="AM16" s="104" t="n"/>
      <c r="AN16" s="105" t="n"/>
      <c r="AO16" s="106" t="n"/>
      <c r="AP16" s="107" t="n"/>
      <c r="AQ16" s="106" t="n"/>
      <c r="AR16" s="107" t="n"/>
      <c r="AS16" s="106" t="n"/>
      <c r="AT16" s="107" t="n"/>
      <c r="AU16" s="106" t="n"/>
      <c r="AV16" s="107" t="n"/>
      <c r="AW16" s="106" t="n"/>
      <c r="AX16" s="107" t="n"/>
      <c r="AY16" s="106" t="n"/>
      <c r="AZ16" s="107" t="n"/>
      <c r="BA16" s="106" t="n"/>
      <c r="BB16" s="107" t="n"/>
      <c r="BC16" s="106" t="n"/>
      <c r="BD16" s="107" t="n"/>
      <c r="BE16" s="108" t="n"/>
      <c r="BF16" s="109" t="n"/>
      <c r="BG16" s="110" t="n"/>
      <c r="BH16" s="109" t="n"/>
      <c r="BI16" s="110" t="n"/>
      <c r="BJ16" s="109" t="n"/>
      <c r="BK16" s="110" t="n"/>
      <c r="BL16" s="109" t="n"/>
      <c r="BM16" s="110" t="n"/>
      <c r="BN16" s="109" t="n"/>
      <c r="BO16" s="110" t="n"/>
      <c r="BP16" s="109" t="n"/>
      <c r="BQ16" s="110" t="n"/>
      <c r="BR16" s="109" t="n"/>
      <c r="BS16" s="110" t="n"/>
      <c r="BT16" s="109" t="n"/>
      <c r="BU16" s="110" t="n"/>
      <c r="BV16" s="111" t="n"/>
      <c r="BW16" s="112" t="n"/>
      <c r="BX16" s="113" t="n"/>
      <c r="BY16" s="112" t="n"/>
      <c r="BZ16" s="113" t="n"/>
      <c r="CA16" s="112" t="n"/>
      <c r="CB16" s="113" t="n"/>
      <c r="CC16" s="112" t="n"/>
      <c r="CD16" s="113" t="n"/>
      <c r="CE16" s="112" t="n"/>
      <c r="CF16" s="113" t="n"/>
      <c r="CG16" s="112" t="n"/>
      <c r="CH16" s="113" t="n"/>
      <c r="CI16" s="112" t="n"/>
      <c r="CJ16" s="113" t="n"/>
      <c r="CK16" s="112" t="n"/>
      <c r="CL16" s="113" t="n"/>
      <c r="CM16" s="114" t="n"/>
      <c r="CN16" s="115" t="n"/>
      <c r="CO16" s="116" t="n"/>
      <c r="CP16" s="115" t="n"/>
      <c r="CQ16" s="116" t="n"/>
      <c r="CR16" s="115" t="n"/>
      <c r="CS16" s="116" t="n"/>
      <c r="CT16" s="115" t="n"/>
      <c r="CU16" s="116" t="n"/>
      <c r="CV16" s="115" t="n"/>
      <c r="CW16" s="116" t="n"/>
      <c r="CX16" s="115" t="n"/>
      <c r="CY16" s="116" t="n"/>
      <c r="CZ16" s="115" t="n"/>
      <c r="DA16" s="116" t="n"/>
      <c r="DB16" s="115" t="n"/>
      <c r="DC16" s="116" t="n"/>
      <c r="DD16" s="117" t="n"/>
      <c r="DE16" s="118" t="n"/>
      <c r="DF16" s="119" t="n"/>
      <c r="DG16" s="118" t="n"/>
      <c r="DH16" s="119" t="n"/>
      <c r="DI16" s="118" t="n"/>
      <c r="DJ16" s="119" t="n"/>
      <c r="DK16" s="118" t="n"/>
      <c r="DL16" s="119" t="n"/>
      <c r="DM16" s="118" t="n"/>
      <c r="DN16" s="119" t="n"/>
      <c r="DO16" s="118" t="n"/>
      <c r="DP16" s="119" t="n"/>
      <c r="DQ16" s="118" t="n"/>
      <c r="DR16" s="119" t="n"/>
      <c r="DS16" s="118" t="n"/>
      <c r="DT16" s="119" t="n"/>
      <c r="DU16" s="120" t="n"/>
      <c r="DV16" s="121" t="n"/>
      <c r="DW16" s="122" t="n"/>
      <c r="DX16" s="121" t="n"/>
      <c r="DY16" s="122" t="n"/>
      <c r="DZ16" s="121" t="n"/>
      <c r="EA16" s="122" t="n"/>
      <c r="EB16" s="121" t="n"/>
      <c r="EC16" s="122" t="n"/>
      <c r="ED16" s="121" t="n"/>
      <c r="EE16" s="122" t="n"/>
      <c r="EF16" s="121" t="n"/>
      <c r="EG16" s="122" t="n"/>
      <c r="EH16" s="121" t="n"/>
      <c r="EI16" s="122" t="n"/>
      <c r="EJ16" s="121" t="n"/>
      <c r="EK16" s="122" t="n"/>
      <c r="EL16" s="123" t="n"/>
      <c r="EM16" s="124" t="n"/>
      <c r="EN16" s="125" t="n"/>
      <c r="EO16" s="124" t="n"/>
      <c r="EP16" s="125" t="n"/>
      <c r="EQ16" s="124" t="n"/>
      <c r="ER16" s="125" t="n"/>
      <c r="ES16" s="124" t="n"/>
      <c r="ET16" s="125" t="n"/>
      <c r="EU16" s="124" t="n"/>
      <c r="EV16" s="125" t="n"/>
      <c r="EW16" s="124" t="n"/>
      <c r="EX16" s="125" t="n"/>
      <c r="EY16" s="124" t="n"/>
      <c r="EZ16" s="125" t="n"/>
      <c r="FA16" s="124" t="n"/>
      <c r="FB16" s="125" t="n"/>
      <c r="FC16" s="126" t="n"/>
      <c r="FD16" s="127" t="n"/>
      <c r="FE16" s="128" t="n"/>
      <c r="FF16" s="127" t="n"/>
      <c r="FG16" s="128" t="n"/>
      <c r="FH16" s="127" t="n"/>
      <c r="FI16" s="128" t="n"/>
      <c r="FJ16" s="127" t="n"/>
      <c r="FK16" s="128" t="n"/>
      <c r="FL16" s="127" t="n"/>
      <c r="FM16" s="128" t="n"/>
      <c r="FN16" s="127" t="n"/>
      <c r="FO16" s="128" t="n"/>
      <c r="FP16" s="127" t="n"/>
      <c r="FQ16" s="128" t="n"/>
      <c r="FR16" s="127" t="n"/>
      <c r="FS16" s="128" t="n"/>
      <c r="FT16" s="129" t="n"/>
      <c r="FU16" s="130" t="n"/>
      <c r="FV16" s="131" t="n"/>
      <c r="FW16" s="130" t="n"/>
      <c r="FX16" s="131" t="n"/>
      <c r="FY16" s="130" t="n"/>
      <c r="FZ16" s="131" t="n"/>
      <c r="GA16" s="130" t="n"/>
      <c r="GB16" s="131" t="n"/>
      <c r="GC16" s="130" t="n"/>
      <c r="GD16" s="131" t="n"/>
      <c r="GE16" s="130" t="n"/>
      <c r="GF16" s="131" t="n"/>
      <c r="GG16" s="130" t="n"/>
      <c r="GH16" s="131" t="n"/>
      <c r="GI16" s="130" t="n"/>
      <c r="GJ16" s="131" t="n"/>
      <c r="GK16" s="132" t="n"/>
      <c r="GL16" s="133" t="n"/>
      <c r="GM16" s="134" t="n"/>
      <c r="GN16" s="133" t="n"/>
      <c r="GO16" s="134" t="n"/>
      <c r="GP16" s="133" t="n"/>
      <c r="GQ16" s="134" t="n"/>
      <c r="GR16" s="133" t="n"/>
      <c r="GS16" s="134" t="n"/>
      <c r="GT16" s="133" t="n"/>
      <c r="GU16" s="134" t="n"/>
      <c r="GV16" s="133" t="n"/>
      <c r="GW16" s="134" t="n"/>
      <c r="GX16" s="133" t="n"/>
      <c r="GY16" s="134" t="n"/>
      <c r="GZ16" s="133" t="n"/>
      <c r="HA16" s="134" t="n"/>
      <c r="HB16" s="135" t="n"/>
      <c r="HC16">
        <f>97-SUMPRODUCT(MAX(($G$4:$HB$4="ح")*($G16:$HB16=TRUE)*(97-$G$47:$HB$47)))</f>
        <v>97</v>
      </c>
      <c r="HD16">
        <f>SUMPRODUCT(($G$4:$HB$4="ح")*($G16:$HB16=TRUE)*($G$47:$HB$47&gt;$HC$1-8))</f>
        <v>0</v>
      </c>
      <c r="HE16">
        <f>(COUNTIF($G16:$V16,TRUE)&gt;0)*($W16&lt;&gt;TRUE)+(COUNTIF($X16:$AM16,TRUE)&gt;0)*($AN16&lt;&gt;TRUE)+(COUNTIF($AO16:$BD16,TRUE)&gt;0)*($BE16&lt;&gt;TRUE)+(COUNTIF($BF16:$BU16,TRUE)&gt;0)*($BV16&lt;&gt;TRUE)+(COUNTIF($BW16:$CL16,TRUE)&gt;0)*($CM16&lt;&gt;TRUE)+(COUNTIF($CN16:$DC16,TRUE)&gt;0)*($DD16&lt;&gt;TRUE)+(COUNTIF($DE16:$DT16,TRUE)&gt;0)*($DU16&lt;&gt;TRUE)+(COUNTIF($DV16:$EK16,TRUE)&gt;0)*($EL16&lt;&gt;TRUE)+(COUNTIF($EM16:$FB16,TRUE)&gt;0)*($FC16&lt;&gt;TRUE)+(COUNTIF($FD16:$FS16,TRUE)&gt;0)*($FT16&lt;&gt;TRUE)+(COUNTIF($FU16:$GJ16,TRUE)&gt;0)*($GK16&lt;&gt;TRUE)+(COUNTIF($GL16:$HA16,TRUE)&gt;0)*($HB16&lt;&gt;TRUE)</f>
        <v>0</v>
      </c>
      <c r="HF16">
        <f>IF($HE16=0,0,13-MAX((COUNTIF($G16:$V16,TRUE)&gt;0)*($W16&lt;&gt;TRUE)*12,(COUNTIF($X16:$AM16,TRUE)&gt;0)*($AN16&lt;&gt;TRUE)*11,(COUNTIF($AO16:$BD16,TRUE)&gt;0)*($BE16&lt;&gt;TRUE)*10,(COUNTIF($BF16:$BU16,TRUE)&gt;0)*($BV16&lt;&gt;TRUE)*9,(COUNTIF($BW16:$CL16,TRUE)&gt;0)*($CM16&lt;&gt;TRUE)*8,(COUNTIF($CN16:$DC16,TRUE)&gt;0)*($DD16&lt;&gt;TRUE)*7,(COUNTIF($DE16:$DT16,TRUE)&gt;0)*($DU16&lt;&gt;TRUE)*6,(COUNTIF($DV16:$EK16,TRUE)&gt;0)*($EL16&lt;&gt;TRUE)*5,(COUNTIF($EM16:$FB16,TRUE)&gt;0)*($FC16&lt;&gt;TRUE)*4,(COUNTIF($FD16:$FS16,TRUE)&gt;0)*($FT16&lt;&gt;TRUE)*3,(COUNTIF($FU16:$GJ16,TRUE)&gt;0)*($GK16&lt;&gt;TRUE)*2,(COUNTIF($GL16:$HA16,TRUE)&gt;0)*($HB16&lt;&gt;TRUE)*1))</f>
        <v>0</v>
      </c>
    </row>
    <row r="17" ht="22.5" customHeight="1">
      <c r="A17" s="36" t="n">
        <v>13</v>
      </c>
      <c r="B17" s="97" t="n"/>
      <c r="C17" s="28" t="n"/>
      <c r="D17" s="98" t="str">
        <f>IF($B17="","",IF($HC17=97,"-",IF($HD17=0,"متوقف",SUMPRODUCT(($G$4:$HB$4="ح")*($G$20:$HB$20&gt;0)*($G17:$HB17&lt;&gt;TRUE)*($G$47:$HB$47&gt;$HC$1-8)*($G$47:$HB$47&gt;=$HC17)))))</f>
        <v/>
      </c>
      <c r="E17" s="98" t="str">
        <f>IF(OR($B17="",$HC17=97),"",SUMPRODUCT(($G$4:$HA$4="ح")*($G17:$HA17=TRUE)*($H17:$HB17&lt;&gt;TRUE)*($G$47:$HA$47&gt;$HC$1-8)))</f>
        <v/>
      </c>
      <c r="F17" s="99" t="str">
        <f>IF($B17="","",IF($HE17=0,IF($HC17=97,"-","تمام"),IF($HE17=1,IF(INDEX($G$1:$HB$1,1,17*($HF17-1)+1)="","شهر "&amp;$HF17,INDEX($G$1:$HB$1,1,17*($HF17-1)+1)),IF($HE17=2,"شهرين",$HE17&amp;" شهور"))))</f>
        <v/>
      </c>
      <c r="G17" s="100" t="n"/>
      <c r="H17" s="101" t="n"/>
      <c r="I17" s="100" t="n"/>
      <c r="J17" s="101" t="n"/>
      <c r="K17" s="100" t="n"/>
      <c r="L17" s="101" t="n"/>
      <c r="M17" s="100" t="n"/>
      <c r="N17" s="101" t="n"/>
      <c r="O17" s="100" t="n"/>
      <c r="P17" s="101" t="n"/>
      <c r="Q17" s="100" t="n"/>
      <c r="R17" s="101" t="n"/>
      <c r="S17" s="100" t="n"/>
      <c r="T17" s="101" t="n"/>
      <c r="U17" s="100" t="n"/>
      <c r="V17" s="101" t="n"/>
      <c r="W17" s="102" t="n"/>
      <c r="X17" s="103" t="n"/>
      <c r="Y17" s="104" t="n"/>
      <c r="Z17" s="103" t="n"/>
      <c r="AA17" s="104" t="n"/>
      <c r="AB17" s="103" t="n"/>
      <c r="AC17" s="104" t="n"/>
      <c r="AD17" s="103" t="n"/>
      <c r="AE17" s="104" t="n"/>
      <c r="AF17" s="103" t="n"/>
      <c r="AG17" s="104" t="n"/>
      <c r="AH17" s="103" t="n"/>
      <c r="AI17" s="104" t="n"/>
      <c r="AJ17" s="103" t="n"/>
      <c r="AK17" s="104" t="n"/>
      <c r="AL17" s="103" t="n"/>
      <c r="AM17" s="104" t="n"/>
      <c r="AN17" s="105" t="n"/>
      <c r="AO17" s="106" t="n"/>
      <c r="AP17" s="107" t="n"/>
      <c r="AQ17" s="106" t="n"/>
      <c r="AR17" s="107" t="n"/>
      <c r="AS17" s="106" t="n"/>
      <c r="AT17" s="107" t="n"/>
      <c r="AU17" s="106" t="n"/>
      <c r="AV17" s="107" t="n"/>
      <c r="AW17" s="106" t="n"/>
      <c r="AX17" s="107" t="n"/>
      <c r="AY17" s="106" t="n"/>
      <c r="AZ17" s="107" t="n"/>
      <c r="BA17" s="106" t="n"/>
      <c r="BB17" s="107" t="n"/>
      <c r="BC17" s="106" t="n"/>
      <c r="BD17" s="107" t="n"/>
      <c r="BE17" s="108" t="n"/>
      <c r="BF17" s="109" t="n"/>
      <c r="BG17" s="110" t="n"/>
      <c r="BH17" s="109" t="n"/>
      <c r="BI17" s="110" t="n"/>
      <c r="BJ17" s="109" t="n"/>
      <c r="BK17" s="110" t="n"/>
      <c r="BL17" s="109" t="n"/>
      <c r="BM17" s="110" t="n"/>
      <c r="BN17" s="109" t="n"/>
      <c r="BO17" s="110" t="n"/>
      <c r="BP17" s="109" t="n"/>
      <c r="BQ17" s="110" t="n"/>
      <c r="BR17" s="109" t="n"/>
      <c r="BS17" s="110" t="n"/>
      <c r="BT17" s="109" t="n"/>
      <c r="BU17" s="110" t="n"/>
      <c r="BV17" s="111" t="n"/>
      <c r="BW17" s="112" t="n"/>
      <c r="BX17" s="113" t="n"/>
      <c r="BY17" s="112" t="n"/>
      <c r="BZ17" s="113" t="n"/>
      <c r="CA17" s="112" t="n"/>
      <c r="CB17" s="113" t="n"/>
      <c r="CC17" s="112" t="n"/>
      <c r="CD17" s="113" t="n"/>
      <c r="CE17" s="112" t="n"/>
      <c r="CF17" s="113" t="n"/>
      <c r="CG17" s="112" t="n"/>
      <c r="CH17" s="113" t="n"/>
      <c r="CI17" s="112" t="n"/>
      <c r="CJ17" s="113" t="n"/>
      <c r="CK17" s="112" t="n"/>
      <c r="CL17" s="113" t="n"/>
      <c r="CM17" s="114" t="n"/>
      <c r="CN17" s="115" t="n"/>
      <c r="CO17" s="116" t="n"/>
      <c r="CP17" s="115" t="n"/>
      <c r="CQ17" s="116" t="n"/>
      <c r="CR17" s="115" t="n"/>
      <c r="CS17" s="116" t="n"/>
      <c r="CT17" s="115" t="n"/>
      <c r="CU17" s="116" t="n"/>
      <c r="CV17" s="115" t="n"/>
      <c r="CW17" s="116" t="n"/>
      <c r="CX17" s="115" t="n"/>
      <c r="CY17" s="116" t="n"/>
      <c r="CZ17" s="115" t="n"/>
      <c r="DA17" s="116" t="n"/>
      <c r="DB17" s="115" t="n"/>
      <c r="DC17" s="116" t="n"/>
      <c r="DD17" s="117" t="n"/>
      <c r="DE17" s="118" t="n"/>
      <c r="DF17" s="119" t="n"/>
      <c r="DG17" s="118" t="n"/>
      <c r="DH17" s="119" t="n"/>
      <c r="DI17" s="118" t="n"/>
      <c r="DJ17" s="119" t="n"/>
      <c r="DK17" s="118" t="n"/>
      <c r="DL17" s="119" t="n"/>
      <c r="DM17" s="118" t="n"/>
      <c r="DN17" s="119" t="n"/>
      <c r="DO17" s="118" t="n"/>
      <c r="DP17" s="119" t="n"/>
      <c r="DQ17" s="118" t="n"/>
      <c r="DR17" s="119" t="n"/>
      <c r="DS17" s="118" t="n"/>
      <c r="DT17" s="119" t="n"/>
      <c r="DU17" s="120" t="n"/>
      <c r="DV17" s="121" t="n"/>
      <c r="DW17" s="122" t="n"/>
      <c r="DX17" s="121" t="n"/>
      <c r="DY17" s="122" t="n"/>
      <c r="DZ17" s="121" t="n"/>
      <c r="EA17" s="122" t="n"/>
      <c r="EB17" s="121" t="n"/>
      <c r="EC17" s="122" t="n"/>
      <c r="ED17" s="121" t="n"/>
      <c r="EE17" s="122" t="n"/>
      <c r="EF17" s="121" t="n"/>
      <c r="EG17" s="122" t="n"/>
      <c r="EH17" s="121" t="n"/>
      <c r="EI17" s="122" t="n"/>
      <c r="EJ17" s="121" t="n"/>
      <c r="EK17" s="122" t="n"/>
      <c r="EL17" s="123" t="n"/>
      <c r="EM17" s="124" t="n"/>
      <c r="EN17" s="125" t="n"/>
      <c r="EO17" s="124" t="n"/>
      <c r="EP17" s="125" t="n"/>
      <c r="EQ17" s="124" t="n"/>
      <c r="ER17" s="125" t="n"/>
      <c r="ES17" s="124" t="n"/>
      <c r="ET17" s="125" t="n"/>
      <c r="EU17" s="124" t="n"/>
      <c r="EV17" s="125" t="n"/>
      <c r="EW17" s="124" t="n"/>
      <c r="EX17" s="125" t="n"/>
      <c r="EY17" s="124" t="n"/>
      <c r="EZ17" s="125" t="n"/>
      <c r="FA17" s="124" t="n"/>
      <c r="FB17" s="125" t="n"/>
      <c r="FC17" s="126" t="n"/>
      <c r="FD17" s="127" t="n"/>
      <c r="FE17" s="128" t="n"/>
      <c r="FF17" s="127" t="n"/>
      <c r="FG17" s="128" t="n"/>
      <c r="FH17" s="127" t="n"/>
      <c r="FI17" s="128" t="n"/>
      <c r="FJ17" s="127" t="n"/>
      <c r="FK17" s="128" t="n"/>
      <c r="FL17" s="127" t="n"/>
      <c r="FM17" s="128" t="n"/>
      <c r="FN17" s="127" t="n"/>
      <c r="FO17" s="128" t="n"/>
      <c r="FP17" s="127" t="n"/>
      <c r="FQ17" s="128" t="n"/>
      <c r="FR17" s="127" t="n"/>
      <c r="FS17" s="128" t="n"/>
      <c r="FT17" s="129" t="n"/>
      <c r="FU17" s="130" t="n"/>
      <c r="FV17" s="131" t="n"/>
      <c r="FW17" s="130" t="n"/>
      <c r="FX17" s="131" t="n"/>
      <c r="FY17" s="130" t="n"/>
      <c r="FZ17" s="131" t="n"/>
      <c r="GA17" s="130" t="n"/>
      <c r="GB17" s="131" t="n"/>
      <c r="GC17" s="130" t="n"/>
      <c r="GD17" s="131" t="n"/>
      <c r="GE17" s="130" t="n"/>
      <c r="GF17" s="131" t="n"/>
      <c r="GG17" s="130" t="n"/>
      <c r="GH17" s="131" t="n"/>
      <c r="GI17" s="130" t="n"/>
      <c r="GJ17" s="131" t="n"/>
      <c r="GK17" s="132" t="n"/>
      <c r="GL17" s="133" t="n"/>
      <c r="GM17" s="134" t="n"/>
      <c r="GN17" s="133" t="n"/>
      <c r="GO17" s="134" t="n"/>
      <c r="GP17" s="133" t="n"/>
      <c r="GQ17" s="134" t="n"/>
      <c r="GR17" s="133" t="n"/>
      <c r="GS17" s="134" t="n"/>
      <c r="GT17" s="133" t="n"/>
      <c r="GU17" s="134" t="n"/>
      <c r="GV17" s="133" t="n"/>
      <c r="GW17" s="134" t="n"/>
      <c r="GX17" s="133" t="n"/>
      <c r="GY17" s="134" t="n"/>
      <c r="GZ17" s="133" t="n"/>
      <c r="HA17" s="134" t="n"/>
      <c r="HB17" s="135" t="n"/>
      <c r="HC17">
        <f>97-SUMPRODUCT(MAX(($G$4:$HB$4="ح")*($G17:$HB17=TRUE)*(97-$G$47:$HB$47)))</f>
        <v>97</v>
      </c>
      <c r="HD17">
        <f>SUMPRODUCT(($G$4:$HB$4="ح")*($G17:$HB17=TRUE)*($G$47:$HB$47&gt;$HC$1-8))</f>
        <v>0</v>
      </c>
      <c r="HE17">
        <f>(COUNTIF($G17:$V17,TRUE)&gt;0)*($W17&lt;&gt;TRUE)+(COUNTIF($X17:$AM17,TRUE)&gt;0)*($AN17&lt;&gt;TRUE)+(COUNTIF($AO17:$BD17,TRUE)&gt;0)*($BE17&lt;&gt;TRUE)+(COUNTIF($BF17:$BU17,TRUE)&gt;0)*($BV17&lt;&gt;TRUE)+(COUNTIF($BW17:$CL17,TRUE)&gt;0)*($CM17&lt;&gt;TRUE)+(COUNTIF($CN17:$DC17,TRUE)&gt;0)*($DD17&lt;&gt;TRUE)+(COUNTIF($DE17:$DT17,TRUE)&gt;0)*($DU17&lt;&gt;TRUE)+(COUNTIF($DV17:$EK17,TRUE)&gt;0)*($EL17&lt;&gt;TRUE)+(COUNTIF($EM17:$FB17,TRUE)&gt;0)*($FC17&lt;&gt;TRUE)+(COUNTIF($FD17:$FS17,TRUE)&gt;0)*($FT17&lt;&gt;TRUE)+(COUNTIF($FU17:$GJ17,TRUE)&gt;0)*($GK17&lt;&gt;TRUE)+(COUNTIF($GL17:$HA17,TRUE)&gt;0)*($HB17&lt;&gt;TRUE)</f>
        <v>0</v>
      </c>
      <c r="HF17">
        <f>IF($HE17=0,0,13-MAX((COUNTIF($G17:$V17,TRUE)&gt;0)*($W17&lt;&gt;TRUE)*12,(COUNTIF($X17:$AM17,TRUE)&gt;0)*($AN17&lt;&gt;TRUE)*11,(COUNTIF($AO17:$BD17,TRUE)&gt;0)*($BE17&lt;&gt;TRUE)*10,(COUNTIF($BF17:$BU17,TRUE)&gt;0)*($BV17&lt;&gt;TRUE)*9,(COUNTIF($BW17:$CL17,TRUE)&gt;0)*($CM17&lt;&gt;TRUE)*8,(COUNTIF($CN17:$DC17,TRUE)&gt;0)*($DD17&lt;&gt;TRUE)*7,(COUNTIF($DE17:$DT17,TRUE)&gt;0)*($DU17&lt;&gt;TRUE)*6,(COUNTIF($DV17:$EK17,TRUE)&gt;0)*($EL17&lt;&gt;TRUE)*5,(COUNTIF($EM17:$FB17,TRUE)&gt;0)*($FC17&lt;&gt;TRUE)*4,(COUNTIF($FD17:$FS17,TRUE)&gt;0)*($FT17&lt;&gt;TRUE)*3,(COUNTIF($FU17:$GJ17,TRUE)&gt;0)*($GK17&lt;&gt;TRUE)*2,(COUNTIF($GL17:$HA17,TRUE)&gt;0)*($HB17&lt;&gt;TRUE)*1))</f>
        <v>0</v>
      </c>
    </row>
    <row r="18" ht="22.5" customHeight="1">
      <c r="A18" s="36" t="n">
        <v>14</v>
      </c>
      <c r="B18" s="97" t="n"/>
      <c r="C18" s="28" t="n"/>
      <c r="D18" s="98" t="str">
        <f>IF($B18="","",IF($HC18=97,"-",IF($HD18=0,"متوقف",SUMPRODUCT(($G$4:$HB$4="ح")*($G$20:$HB$20&gt;0)*($G18:$HB18&lt;&gt;TRUE)*($G$47:$HB$47&gt;$HC$1-8)*($G$47:$HB$47&gt;=$HC18)))))</f>
        <v/>
      </c>
      <c r="E18" s="98" t="str">
        <f>IF(OR($B18="",$HC18=97),"",SUMPRODUCT(($G$4:$HA$4="ح")*($G18:$HA18=TRUE)*($H18:$HB18&lt;&gt;TRUE)*($G$47:$HA$47&gt;$HC$1-8)))</f>
        <v/>
      </c>
      <c r="F18" s="99" t="str">
        <f>IF($B18="","",IF($HE18=0,IF($HC18=97,"-","تمام"),IF($HE18=1,IF(INDEX($G$1:$HB$1,1,17*($HF18-1)+1)="","شهر "&amp;$HF18,INDEX($G$1:$HB$1,1,17*($HF18-1)+1)),IF($HE18=2,"شهرين",$HE18&amp;" شهور"))))</f>
        <v/>
      </c>
      <c r="G18" s="100" t="n"/>
      <c r="H18" s="101" t="n"/>
      <c r="I18" s="100" t="n"/>
      <c r="J18" s="101" t="n"/>
      <c r="K18" s="100" t="n"/>
      <c r="L18" s="101" t="n"/>
      <c r="M18" s="100" t="n"/>
      <c r="N18" s="101" t="n"/>
      <c r="O18" s="100" t="n"/>
      <c r="P18" s="101" t="n"/>
      <c r="Q18" s="100" t="n"/>
      <c r="R18" s="101" t="n"/>
      <c r="S18" s="100" t="n"/>
      <c r="T18" s="101" t="n"/>
      <c r="U18" s="100" t="n"/>
      <c r="V18" s="101" t="n"/>
      <c r="W18" s="102" t="n"/>
      <c r="X18" s="103" t="n"/>
      <c r="Y18" s="104" t="n"/>
      <c r="Z18" s="103" t="n"/>
      <c r="AA18" s="104" t="n"/>
      <c r="AB18" s="103" t="n"/>
      <c r="AC18" s="104" t="n"/>
      <c r="AD18" s="103" t="n"/>
      <c r="AE18" s="104" t="n"/>
      <c r="AF18" s="103" t="n"/>
      <c r="AG18" s="104" t="n"/>
      <c r="AH18" s="103" t="n"/>
      <c r="AI18" s="104" t="n"/>
      <c r="AJ18" s="103" t="n"/>
      <c r="AK18" s="104" t="n"/>
      <c r="AL18" s="103" t="n"/>
      <c r="AM18" s="104" t="n"/>
      <c r="AN18" s="105" t="n"/>
      <c r="AO18" s="106" t="n"/>
      <c r="AP18" s="107" t="n"/>
      <c r="AQ18" s="106" t="n"/>
      <c r="AR18" s="107" t="n"/>
      <c r="AS18" s="106" t="n"/>
      <c r="AT18" s="107" t="n"/>
      <c r="AU18" s="106" t="n"/>
      <c r="AV18" s="107" t="n"/>
      <c r="AW18" s="106" t="n"/>
      <c r="AX18" s="107" t="n"/>
      <c r="AY18" s="106" t="n"/>
      <c r="AZ18" s="107" t="n"/>
      <c r="BA18" s="106" t="n"/>
      <c r="BB18" s="107" t="n"/>
      <c r="BC18" s="106" t="n"/>
      <c r="BD18" s="107" t="n"/>
      <c r="BE18" s="108" t="n"/>
      <c r="BF18" s="109" t="n"/>
      <c r="BG18" s="110" t="n"/>
      <c r="BH18" s="109" t="n"/>
      <c r="BI18" s="110" t="n"/>
      <c r="BJ18" s="109" t="n"/>
      <c r="BK18" s="110" t="n"/>
      <c r="BL18" s="109" t="n"/>
      <c r="BM18" s="110" t="n"/>
      <c r="BN18" s="109" t="n"/>
      <c r="BO18" s="110" t="n"/>
      <c r="BP18" s="109" t="n"/>
      <c r="BQ18" s="110" t="n"/>
      <c r="BR18" s="109" t="n"/>
      <c r="BS18" s="110" t="n"/>
      <c r="BT18" s="109" t="n"/>
      <c r="BU18" s="110" t="n"/>
      <c r="BV18" s="111" t="n"/>
      <c r="BW18" s="112" t="n"/>
      <c r="BX18" s="113" t="n"/>
      <c r="BY18" s="112" t="n"/>
      <c r="BZ18" s="113" t="n"/>
      <c r="CA18" s="112" t="n"/>
      <c r="CB18" s="113" t="n"/>
      <c r="CC18" s="112" t="n"/>
      <c r="CD18" s="113" t="n"/>
      <c r="CE18" s="112" t="n"/>
      <c r="CF18" s="113" t="n"/>
      <c r="CG18" s="112" t="n"/>
      <c r="CH18" s="113" t="n"/>
      <c r="CI18" s="112" t="n"/>
      <c r="CJ18" s="113" t="n"/>
      <c r="CK18" s="112" t="n"/>
      <c r="CL18" s="113" t="n"/>
      <c r="CM18" s="114" t="n"/>
      <c r="CN18" s="115" t="n"/>
      <c r="CO18" s="116" t="n"/>
      <c r="CP18" s="115" t="n"/>
      <c r="CQ18" s="116" t="n"/>
      <c r="CR18" s="115" t="n"/>
      <c r="CS18" s="116" t="n"/>
      <c r="CT18" s="115" t="n"/>
      <c r="CU18" s="116" t="n"/>
      <c r="CV18" s="115" t="n"/>
      <c r="CW18" s="116" t="n"/>
      <c r="CX18" s="115" t="n"/>
      <c r="CY18" s="116" t="n"/>
      <c r="CZ18" s="115" t="n"/>
      <c r="DA18" s="116" t="n"/>
      <c r="DB18" s="115" t="n"/>
      <c r="DC18" s="116" t="n"/>
      <c r="DD18" s="117" t="n"/>
      <c r="DE18" s="118" t="n"/>
      <c r="DF18" s="119" t="n"/>
      <c r="DG18" s="118" t="n"/>
      <c r="DH18" s="119" t="n"/>
      <c r="DI18" s="118" t="n"/>
      <c r="DJ18" s="119" t="n"/>
      <c r="DK18" s="118" t="n"/>
      <c r="DL18" s="119" t="n"/>
      <c r="DM18" s="118" t="n"/>
      <c r="DN18" s="119" t="n"/>
      <c r="DO18" s="118" t="n"/>
      <c r="DP18" s="119" t="n"/>
      <c r="DQ18" s="118" t="n"/>
      <c r="DR18" s="119" t="n"/>
      <c r="DS18" s="118" t="n"/>
      <c r="DT18" s="119" t="n"/>
      <c r="DU18" s="120" t="n"/>
      <c r="DV18" s="121" t="n"/>
      <c r="DW18" s="122" t="n"/>
      <c r="DX18" s="121" t="n"/>
      <c r="DY18" s="122" t="n"/>
      <c r="DZ18" s="121" t="n"/>
      <c r="EA18" s="122" t="n"/>
      <c r="EB18" s="121" t="n"/>
      <c r="EC18" s="122" t="n"/>
      <c r="ED18" s="121" t="n"/>
      <c r="EE18" s="122" t="n"/>
      <c r="EF18" s="121" t="n"/>
      <c r="EG18" s="122" t="n"/>
      <c r="EH18" s="121" t="n"/>
      <c r="EI18" s="122" t="n"/>
      <c r="EJ18" s="121" t="n"/>
      <c r="EK18" s="122" t="n"/>
      <c r="EL18" s="123" t="n"/>
      <c r="EM18" s="124" t="n"/>
      <c r="EN18" s="125" t="n"/>
      <c r="EO18" s="124" t="n"/>
      <c r="EP18" s="125" t="n"/>
      <c r="EQ18" s="124" t="n"/>
      <c r="ER18" s="125" t="n"/>
      <c r="ES18" s="124" t="n"/>
      <c r="ET18" s="125" t="n"/>
      <c r="EU18" s="124" t="n"/>
      <c r="EV18" s="125" t="n"/>
      <c r="EW18" s="124" t="n"/>
      <c r="EX18" s="125" t="n"/>
      <c r="EY18" s="124" t="n"/>
      <c r="EZ18" s="125" t="n"/>
      <c r="FA18" s="124" t="n"/>
      <c r="FB18" s="125" t="n"/>
      <c r="FC18" s="126" t="n"/>
      <c r="FD18" s="127" t="n"/>
      <c r="FE18" s="128" t="n"/>
      <c r="FF18" s="127" t="n"/>
      <c r="FG18" s="128" t="n"/>
      <c r="FH18" s="127" t="n"/>
      <c r="FI18" s="128" t="n"/>
      <c r="FJ18" s="127" t="n"/>
      <c r="FK18" s="128" t="n"/>
      <c r="FL18" s="127" t="n"/>
      <c r="FM18" s="128" t="n"/>
      <c r="FN18" s="127" t="n"/>
      <c r="FO18" s="128" t="n"/>
      <c r="FP18" s="127" t="n"/>
      <c r="FQ18" s="128" t="n"/>
      <c r="FR18" s="127" t="n"/>
      <c r="FS18" s="128" t="n"/>
      <c r="FT18" s="129" t="n"/>
      <c r="FU18" s="130" t="n"/>
      <c r="FV18" s="131" t="n"/>
      <c r="FW18" s="130" t="n"/>
      <c r="FX18" s="131" t="n"/>
      <c r="FY18" s="130" t="n"/>
      <c r="FZ18" s="131" t="n"/>
      <c r="GA18" s="130" t="n"/>
      <c r="GB18" s="131" t="n"/>
      <c r="GC18" s="130" t="n"/>
      <c r="GD18" s="131" t="n"/>
      <c r="GE18" s="130" t="n"/>
      <c r="GF18" s="131" t="n"/>
      <c r="GG18" s="130" t="n"/>
      <c r="GH18" s="131" t="n"/>
      <c r="GI18" s="130" t="n"/>
      <c r="GJ18" s="131" t="n"/>
      <c r="GK18" s="132" t="n"/>
      <c r="GL18" s="133" t="n"/>
      <c r="GM18" s="134" t="n"/>
      <c r="GN18" s="133" t="n"/>
      <c r="GO18" s="134" t="n"/>
      <c r="GP18" s="133" t="n"/>
      <c r="GQ18" s="134" t="n"/>
      <c r="GR18" s="133" t="n"/>
      <c r="GS18" s="134" t="n"/>
      <c r="GT18" s="133" t="n"/>
      <c r="GU18" s="134" t="n"/>
      <c r="GV18" s="133" t="n"/>
      <c r="GW18" s="134" t="n"/>
      <c r="GX18" s="133" t="n"/>
      <c r="GY18" s="134" t="n"/>
      <c r="GZ18" s="133" t="n"/>
      <c r="HA18" s="134" t="n"/>
      <c r="HB18" s="135" t="n"/>
      <c r="HC18">
        <f>97-SUMPRODUCT(MAX(($G$4:$HB$4="ح")*($G18:$HB18=TRUE)*(97-$G$47:$HB$47)))</f>
        <v>97</v>
      </c>
      <c r="HD18">
        <f>SUMPRODUCT(($G$4:$HB$4="ح")*($G18:$HB18=TRUE)*($G$47:$HB$47&gt;$HC$1-8))</f>
        <v>0</v>
      </c>
      <c r="HE18">
        <f>(COUNTIF($G18:$V18,TRUE)&gt;0)*($W18&lt;&gt;TRUE)+(COUNTIF($X18:$AM18,TRUE)&gt;0)*($AN18&lt;&gt;TRUE)+(COUNTIF($AO18:$BD18,TRUE)&gt;0)*($BE18&lt;&gt;TRUE)+(COUNTIF($BF18:$BU18,TRUE)&gt;0)*($BV18&lt;&gt;TRUE)+(COUNTIF($BW18:$CL18,TRUE)&gt;0)*($CM18&lt;&gt;TRUE)+(COUNTIF($CN18:$DC18,TRUE)&gt;0)*($DD18&lt;&gt;TRUE)+(COUNTIF($DE18:$DT18,TRUE)&gt;0)*($DU18&lt;&gt;TRUE)+(COUNTIF($DV18:$EK18,TRUE)&gt;0)*($EL18&lt;&gt;TRUE)+(COUNTIF($EM18:$FB18,TRUE)&gt;0)*($FC18&lt;&gt;TRUE)+(COUNTIF($FD18:$FS18,TRUE)&gt;0)*($FT18&lt;&gt;TRUE)+(COUNTIF($FU18:$GJ18,TRUE)&gt;0)*($GK18&lt;&gt;TRUE)+(COUNTIF($GL18:$HA18,TRUE)&gt;0)*($HB18&lt;&gt;TRUE)</f>
        <v>0</v>
      </c>
      <c r="HF18">
        <f>IF($HE18=0,0,13-MAX((COUNTIF($G18:$V18,TRUE)&gt;0)*($W18&lt;&gt;TRUE)*12,(COUNTIF($X18:$AM18,TRUE)&gt;0)*($AN18&lt;&gt;TRUE)*11,(COUNTIF($AO18:$BD18,TRUE)&gt;0)*($BE18&lt;&gt;TRUE)*10,(COUNTIF($BF18:$BU18,TRUE)&gt;0)*($BV18&lt;&gt;TRUE)*9,(COUNTIF($BW18:$CL18,TRUE)&gt;0)*($CM18&lt;&gt;TRUE)*8,(COUNTIF($CN18:$DC18,TRUE)&gt;0)*($DD18&lt;&gt;TRUE)*7,(COUNTIF($DE18:$DT18,TRUE)&gt;0)*($DU18&lt;&gt;TRUE)*6,(COUNTIF($DV18:$EK18,TRUE)&gt;0)*($EL18&lt;&gt;TRUE)*5,(COUNTIF($EM18:$FB18,TRUE)&gt;0)*($FC18&lt;&gt;TRUE)*4,(COUNTIF($FD18:$FS18,TRUE)&gt;0)*($FT18&lt;&gt;TRUE)*3,(COUNTIF($FU18:$GJ18,TRUE)&gt;0)*($GK18&lt;&gt;TRUE)*2,(COUNTIF($GL18:$HA18,TRUE)&gt;0)*($HB18&lt;&gt;TRUE)*1))</f>
        <v>0</v>
      </c>
    </row>
    <row r="19" ht="22.5" customHeight="1">
      <c r="A19" s="36" t="n">
        <v>15</v>
      </c>
      <c r="B19" s="97" t="n"/>
      <c r="C19" s="28" t="n"/>
      <c r="D19" s="98" t="str">
        <f>IF($B19="","",IF($HC19=97,"-",IF($HD19=0,"متوقف",SUMPRODUCT(($G$4:$HB$4="ح")*($G$20:$HB$20&gt;0)*($G19:$HB19&lt;&gt;TRUE)*($G$47:$HB$47&gt;$HC$1-8)*($G$47:$HB$47&gt;=$HC19)))))</f>
        <v/>
      </c>
      <c r="E19" s="98" t="str">
        <f>IF(OR($B19="",$HC19=97),"",SUMPRODUCT(($G$4:$HA$4="ح")*($G19:$HA19=TRUE)*($H19:$HB19&lt;&gt;TRUE)*($G$47:$HA$47&gt;$HC$1-8)))</f>
        <v/>
      </c>
      <c r="F19" s="99" t="str">
        <f>IF($B19="","",IF($HE19=0,IF($HC19=97,"-","تمام"),IF($HE19=1,IF(INDEX($G$1:$HB$1,1,17*($HF19-1)+1)="","شهر "&amp;$HF19,INDEX($G$1:$HB$1,1,17*($HF19-1)+1)),IF($HE19=2,"شهرين",$HE19&amp;" شهور"))))</f>
        <v/>
      </c>
      <c r="G19" s="100" t="n"/>
      <c r="H19" s="101" t="n"/>
      <c r="I19" s="100" t="n"/>
      <c r="J19" s="101" t="n"/>
      <c r="K19" s="100" t="n"/>
      <c r="L19" s="101" t="n"/>
      <c r="M19" s="100" t="n"/>
      <c r="N19" s="101" t="n"/>
      <c r="O19" s="100" t="n"/>
      <c r="P19" s="101" t="n"/>
      <c r="Q19" s="100" t="n"/>
      <c r="R19" s="101" t="n"/>
      <c r="S19" s="100" t="n"/>
      <c r="T19" s="101" t="n"/>
      <c r="U19" s="100" t="n"/>
      <c r="V19" s="101" t="n"/>
      <c r="W19" s="102" t="n"/>
      <c r="X19" s="103" t="n"/>
      <c r="Y19" s="104" t="n"/>
      <c r="Z19" s="103" t="n"/>
      <c r="AA19" s="104" t="n"/>
      <c r="AB19" s="103" t="n"/>
      <c r="AC19" s="104" t="n"/>
      <c r="AD19" s="103" t="n"/>
      <c r="AE19" s="104" t="n"/>
      <c r="AF19" s="103" t="n"/>
      <c r="AG19" s="104" t="n"/>
      <c r="AH19" s="103" t="n"/>
      <c r="AI19" s="104" t="n"/>
      <c r="AJ19" s="103" t="n"/>
      <c r="AK19" s="104" t="n"/>
      <c r="AL19" s="103" t="n"/>
      <c r="AM19" s="104" t="n"/>
      <c r="AN19" s="105" t="n"/>
      <c r="AO19" s="106" t="n"/>
      <c r="AP19" s="107" t="n"/>
      <c r="AQ19" s="106" t="n"/>
      <c r="AR19" s="107" t="n"/>
      <c r="AS19" s="106" t="n"/>
      <c r="AT19" s="107" t="n"/>
      <c r="AU19" s="106" t="n"/>
      <c r="AV19" s="107" t="n"/>
      <c r="AW19" s="106" t="n"/>
      <c r="AX19" s="107" t="n"/>
      <c r="AY19" s="106" t="n"/>
      <c r="AZ19" s="107" t="n"/>
      <c r="BA19" s="106" t="n"/>
      <c r="BB19" s="107" t="n"/>
      <c r="BC19" s="106" t="n"/>
      <c r="BD19" s="107" t="n"/>
      <c r="BE19" s="108" t="n"/>
      <c r="BF19" s="109" t="n"/>
      <c r="BG19" s="110" t="n"/>
      <c r="BH19" s="109" t="n"/>
      <c r="BI19" s="110" t="n"/>
      <c r="BJ19" s="109" t="n"/>
      <c r="BK19" s="110" t="n"/>
      <c r="BL19" s="109" t="n"/>
      <c r="BM19" s="110" t="n"/>
      <c r="BN19" s="109" t="n"/>
      <c r="BO19" s="110" t="n"/>
      <c r="BP19" s="109" t="n"/>
      <c r="BQ19" s="110" t="n"/>
      <c r="BR19" s="109" t="n"/>
      <c r="BS19" s="110" t="n"/>
      <c r="BT19" s="109" t="n"/>
      <c r="BU19" s="110" t="n"/>
      <c r="BV19" s="111" t="n"/>
      <c r="BW19" s="112" t="n"/>
      <c r="BX19" s="113" t="n"/>
      <c r="BY19" s="112" t="n"/>
      <c r="BZ19" s="113" t="n"/>
      <c r="CA19" s="112" t="n"/>
      <c r="CB19" s="113" t="n"/>
      <c r="CC19" s="112" t="n"/>
      <c r="CD19" s="113" t="n"/>
      <c r="CE19" s="112" t="n"/>
      <c r="CF19" s="113" t="n"/>
      <c r="CG19" s="112" t="n"/>
      <c r="CH19" s="113" t="n"/>
      <c r="CI19" s="112" t="n"/>
      <c r="CJ19" s="113" t="n"/>
      <c r="CK19" s="112" t="n"/>
      <c r="CL19" s="113" t="n"/>
      <c r="CM19" s="114" t="n"/>
      <c r="CN19" s="115" t="n"/>
      <c r="CO19" s="116" t="n"/>
      <c r="CP19" s="115" t="n"/>
      <c r="CQ19" s="116" t="n"/>
      <c r="CR19" s="115" t="n"/>
      <c r="CS19" s="116" t="n"/>
      <c r="CT19" s="115" t="n"/>
      <c r="CU19" s="116" t="n"/>
      <c r="CV19" s="115" t="n"/>
      <c r="CW19" s="116" t="n"/>
      <c r="CX19" s="115" t="n"/>
      <c r="CY19" s="116" t="n"/>
      <c r="CZ19" s="115" t="n"/>
      <c r="DA19" s="116" t="n"/>
      <c r="DB19" s="115" t="n"/>
      <c r="DC19" s="116" t="n"/>
      <c r="DD19" s="117" t="n"/>
      <c r="DE19" s="118" t="n"/>
      <c r="DF19" s="119" t="n"/>
      <c r="DG19" s="118" t="n"/>
      <c r="DH19" s="119" t="n"/>
      <c r="DI19" s="118" t="n"/>
      <c r="DJ19" s="119" t="n"/>
      <c r="DK19" s="118" t="n"/>
      <c r="DL19" s="119" t="n"/>
      <c r="DM19" s="118" t="n"/>
      <c r="DN19" s="119" t="n"/>
      <c r="DO19" s="118" t="n"/>
      <c r="DP19" s="119" t="n"/>
      <c r="DQ19" s="118" t="n"/>
      <c r="DR19" s="119" t="n"/>
      <c r="DS19" s="118" t="n"/>
      <c r="DT19" s="119" t="n"/>
      <c r="DU19" s="120" t="n"/>
      <c r="DV19" s="121" t="n"/>
      <c r="DW19" s="122" t="n"/>
      <c r="DX19" s="121" t="n"/>
      <c r="DY19" s="122" t="n"/>
      <c r="DZ19" s="121" t="n"/>
      <c r="EA19" s="122" t="n"/>
      <c r="EB19" s="121" t="n"/>
      <c r="EC19" s="122" t="n"/>
      <c r="ED19" s="121" t="n"/>
      <c r="EE19" s="122" t="n"/>
      <c r="EF19" s="121" t="n"/>
      <c r="EG19" s="122" t="n"/>
      <c r="EH19" s="121" t="n"/>
      <c r="EI19" s="122" t="n"/>
      <c r="EJ19" s="121" t="n"/>
      <c r="EK19" s="122" t="n"/>
      <c r="EL19" s="123" t="n"/>
      <c r="EM19" s="124" t="n"/>
      <c r="EN19" s="125" t="n"/>
      <c r="EO19" s="124" t="n"/>
      <c r="EP19" s="125" t="n"/>
      <c r="EQ19" s="124" t="n"/>
      <c r="ER19" s="125" t="n"/>
      <c r="ES19" s="124" t="n"/>
      <c r="ET19" s="125" t="n"/>
      <c r="EU19" s="124" t="n"/>
      <c r="EV19" s="125" t="n"/>
      <c r="EW19" s="124" t="n"/>
      <c r="EX19" s="125" t="n"/>
      <c r="EY19" s="124" t="n"/>
      <c r="EZ19" s="125" t="n"/>
      <c r="FA19" s="124" t="n"/>
      <c r="FB19" s="125" t="n"/>
      <c r="FC19" s="126" t="n"/>
      <c r="FD19" s="127" t="n"/>
      <c r="FE19" s="128" t="n"/>
      <c r="FF19" s="127" t="n"/>
      <c r="FG19" s="128" t="n"/>
      <c r="FH19" s="127" t="n"/>
      <c r="FI19" s="128" t="n"/>
      <c r="FJ19" s="127" t="n"/>
      <c r="FK19" s="128" t="n"/>
      <c r="FL19" s="127" t="n"/>
      <c r="FM19" s="128" t="n"/>
      <c r="FN19" s="127" t="n"/>
      <c r="FO19" s="128" t="n"/>
      <c r="FP19" s="127" t="n"/>
      <c r="FQ19" s="128" t="n"/>
      <c r="FR19" s="127" t="n"/>
      <c r="FS19" s="128" t="n"/>
      <c r="FT19" s="129" t="n"/>
      <c r="FU19" s="130" t="n"/>
      <c r="FV19" s="131" t="n"/>
      <c r="FW19" s="130" t="n"/>
      <c r="FX19" s="131" t="n"/>
      <c r="FY19" s="130" t="n"/>
      <c r="FZ19" s="131" t="n"/>
      <c r="GA19" s="130" t="n"/>
      <c r="GB19" s="131" t="n"/>
      <c r="GC19" s="130" t="n"/>
      <c r="GD19" s="131" t="n"/>
      <c r="GE19" s="130" t="n"/>
      <c r="GF19" s="131" t="n"/>
      <c r="GG19" s="130" t="n"/>
      <c r="GH19" s="131" t="n"/>
      <c r="GI19" s="130" t="n"/>
      <c r="GJ19" s="131" t="n"/>
      <c r="GK19" s="132" t="n"/>
      <c r="GL19" s="133" t="n"/>
      <c r="GM19" s="134" t="n"/>
      <c r="GN19" s="133" t="n"/>
      <c r="GO19" s="134" t="n"/>
      <c r="GP19" s="133" t="n"/>
      <c r="GQ19" s="134" t="n"/>
      <c r="GR19" s="133" t="n"/>
      <c r="GS19" s="134" t="n"/>
      <c r="GT19" s="133" t="n"/>
      <c r="GU19" s="134" t="n"/>
      <c r="GV19" s="133" t="n"/>
      <c r="GW19" s="134" t="n"/>
      <c r="GX19" s="133" t="n"/>
      <c r="GY19" s="134" t="n"/>
      <c r="GZ19" s="133" t="n"/>
      <c r="HA19" s="134" t="n"/>
      <c r="HB19" s="135" t="n"/>
      <c r="HC19">
        <f>97-SUMPRODUCT(MAX(($G$4:$HB$4="ح")*($G19:$HB19=TRUE)*(97-$G$47:$HB$47)))</f>
        <v>97</v>
      </c>
      <c r="HD19">
        <f>SUMPRODUCT(($G$4:$HB$4="ح")*($G19:$HB19=TRUE)*($G$47:$HB$47&gt;$HC$1-8))</f>
        <v>0</v>
      </c>
      <c r="HE19">
        <f>(COUNTIF($G19:$V19,TRUE)&gt;0)*($W19&lt;&gt;TRUE)+(COUNTIF($X19:$AM19,TRUE)&gt;0)*($AN19&lt;&gt;TRUE)+(COUNTIF($AO19:$BD19,TRUE)&gt;0)*($BE19&lt;&gt;TRUE)+(COUNTIF($BF19:$BU19,TRUE)&gt;0)*($BV19&lt;&gt;TRUE)+(COUNTIF($BW19:$CL19,TRUE)&gt;0)*($CM19&lt;&gt;TRUE)+(COUNTIF($CN19:$DC19,TRUE)&gt;0)*($DD19&lt;&gt;TRUE)+(COUNTIF($DE19:$DT19,TRUE)&gt;0)*($DU19&lt;&gt;TRUE)+(COUNTIF($DV19:$EK19,TRUE)&gt;0)*($EL19&lt;&gt;TRUE)+(COUNTIF($EM19:$FB19,TRUE)&gt;0)*($FC19&lt;&gt;TRUE)+(COUNTIF($FD19:$FS19,TRUE)&gt;0)*($FT19&lt;&gt;TRUE)+(COUNTIF($FU19:$GJ19,TRUE)&gt;0)*($GK19&lt;&gt;TRUE)+(COUNTIF($GL19:$HA19,TRUE)&gt;0)*($HB19&lt;&gt;TRUE)</f>
        <v>0</v>
      </c>
      <c r="HF19">
        <f>IF($HE19=0,0,13-MAX((COUNTIF($G19:$V19,TRUE)&gt;0)*($W19&lt;&gt;TRUE)*12,(COUNTIF($X19:$AM19,TRUE)&gt;0)*($AN19&lt;&gt;TRUE)*11,(COUNTIF($AO19:$BD19,TRUE)&gt;0)*($BE19&lt;&gt;TRUE)*10,(COUNTIF($BF19:$BU19,TRUE)&gt;0)*($BV19&lt;&gt;TRUE)*9,(COUNTIF($BW19:$CL19,TRUE)&gt;0)*($CM19&lt;&gt;TRUE)*8,(COUNTIF($CN19:$DC19,TRUE)&gt;0)*($DD19&lt;&gt;TRUE)*7,(COUNTIF($DE19:$DT19,TRUE)&gt;0)*($DU19&lt;&gt;TRUE)*6,(COUNTIF($DV19:$EK19,TRUE)&gt;0)*($EL19&lt;&gt;TRUE)*5,(COUNTIF($EM19:$FB19,TRUE)&gt;0)*($FC19&lt;&gt;TRUE)*4,(COUNTIF($FD19:$FS19,TRUE)&gt;0)*($FT19&lt;&gt;TRUE)*3,(COUNTIF($FU19:$GJ19,TRUE)&gt;0)*($GK19&lt;&gt;TRUE)*2,(COUNTIF($GL19:$HA19,TRUE)&gt;0)*($HB19&lt;&gt;TRUE)*1))</f>
        <v>0</v>
      </c>
    </row>
    <row r="20" ht="16.5" customHeight="1">
      <c r="A20" s="36" t="inlineStr">
        <is>
          <t>العدد</t>
        </is>
      </c>
      <c r="B20" s="4" t="n"/>
      <c r="C20" s="136" t="n"/>
      <c r="D20" s="13" t="n"/>
      <c r="E20" s="13" t="n"/>
      <c r="F20" s="4" t="n"/>
      <c r="G20" s="137">
        <f>COUNTIF(G5:G19,TRUE)</f>
        <v>0</v>
      </c>
      <c r="H20" s="137">
        <f>COUNTIF(H5:H19,TRUE)</f>
        <v>0</v>
      </c>
      <c r="I20" s="137">
        <f>COUNTIF(I5:I19,TRUE)</f>
        <v>0</v>
      </c>
      <c r="J20" s="137">
        <f>COUNTIF(J5:J19,TRUE)</f>
        <v>0</v>
      </c>
      <c r="K20" s="137">
        <f>COUNTIF(K5:K19,TRUE)</f>
        <v>0</v>
      </c>
      <c r="L20" s="137">
        <f>COUNTIF(L5:L19,TRUE)</f>
        <v>0</v>
      </c>
      <c r="M20" s="137">
        <f>COUNTIF(M5:M19,TRUE)</f>
        <v>0</v>
      </c>
      <c r="N20" s="137">
        <f>COUNTIF(N5:N19,TRUE)</f>
        <v>0</v>
      </c>
      <c r="O20" s="137">
        <f>COUNTIF(O5:O19,TRUE)</f>
        <v>0</v>
      </c>
      <c r="P20" s="137">
        <f>COUNTIF(P5:P19,TRUE)</f>
        <v>0</v>
      </c>
      <c r="Q20" s="137">
        <f>COUNTIF(Q5:Q19,TRUE)</f>
        <v>0</v>
      </c>
      <c r="R20" s="137">
        <f>COUNTIF(R5:R19,TRUE)</f>
        <v>0</v>
      </c>
      <c r="S20" s="137">
        <f>COUNTIF(S5:S19,TRUE)</f>
        <v>0</v>
      </c>
      <c r="T20" s="137">
        <f>COUNTIF(T5:T19,TRUE)</f>
        <v>0</v>
      </c>
      <c r="U20" s="137">
        <f>COUNTIF(U5:U19,TRUE)</f>
        <v>0</v>
      </c>
      <c r="V20" s="137">
        <f>COUNTIF(V5:V19,TRUE)</f>
        <v>0</v>
      </c>
      <c r="W20" s="137">
        <f>COUNTIF(W5:W19,TRUE)</f>
        <v>0</v>
      </c>
      <c r="X20" s="137">
        <f>COUNTIF(X5:X19,TRUE)</f>
        <v>0</v>
      </c>
      <c r="Y20" s="137">
        <f>COUNTIF(Y5:Y19,TRUE)</f>
        <v>0</v>
      </c>
      <c r="Z20" s="137">
        <f>COUNTIF(Z5:Z19,TRUE)</f>
        <v>0</v>
      </c>
      <c r="AA20" s="137">
        <f>COUNTIF(AA5:AA19,TRUE)</f>
        <v>0</v>
      </c>
      <c r="AB20" s="137">
        <f>COUNTIF(AB5:AB19,TRUE)</f>
        <v>0</v>
      </c>
      <c r="AC20" s="137">
        <f>COUNTIF(AC5:AC19,TRUE)</f>
        <v>0</v>
      </c>
      <c r="AD20" s="137">
        <f>COUNTIF(AD5:AD19,TRUE)</f>
        <v>0</v>
      </c>
      <c r="AE20" s="137">
        <f>COUNTIF(AE5:AE19,TRUE)</f>
        <v>0</v>
      </c>
      <c r="AF20" s="137">
        <f>COUNTIF(AF5:AF19,TRUE)</f>
        <v>0</v>
      </c>
      <c r="AG20" s="137">
        <f>COUNTIF(AG5:AG19,TRUE)</f>
        <v>0</v>
      </c>
      <c r="AH20" s="137">
        <f>COUNTIF(AH5:AH19,TRUE)</f>
        <v>0</v>
      </c>
      <c r="AI20" s="137">
        <f>COUNTIF(AI5:AI19,TRUE)</f>
        <v>0</v>
      </c>
      <c r="AJ20" s="137">
        <f>COUNTIF(AJ5:AJ19,TRUE)</f>
        <v>0</v>
      </c>
      <c r="AK20" s="137">
        <f>COUNTIF(AK5:AK19,TRUE)</f>
        <v>0</v>
      </c>
      <c r="AL20" s="137">
        <f>COUNTIF(AL5:AL19,TRUE)</f>
        <v>0</v>
      </c>
      <c r="AM20" s="137">
        <f>COUNTIF(AM5:AM19,TRUE)</f>
        <v>0</v>
      </c>
      <c r="AN20" s="137">
        <f>COUNTIF(AN5:AN19,TRUE)</f>
        <v>0</v>
      </c>
      <c r="AO20" s="137">
        <f>COUNTIF(AO5:AO19,TRUE)</f>
        <v>0</v>
      </c>
      <c r="AP20" s="137">
        <f>COUNTIF(AP5:AP19,TRUE)</f>
        <v>0</v>
      </c>
      <c r="AQ20" s="137">
        <f>COUNTIF(AQ5:AQ19,TRUE)</f>
        <v>0</v>
      </c>
      <c r="AR20" s="137">
        <f>COUNTIF(AR5:AR19,TRUE)</f>
        <v>0</v>
      </c>
      <c r="AS20" s="137">
        <f>COUNTIF(AS5:AS19,TRUE)</f>
        <v>0</v>
      </c>
      <c r="AT20" s="137">
        <f>COUNTIF(AT5:AT19,TRUE)</f>
        <v>0</v>
      </c>
      <c r="AU20" s="137">
        <f>COUNTIF(AU5:AU19,TRUE)</f>
        <v>0</v>
      </c>
      <c r="AV20" s="137">
        <f>COUNTIF(AV5:AV19,TRUE)</f>
        <v>0</v>
      </c>
      <c r="AW20" s="137">
        <f>COUNTIF(AW5:AW19,TRUE)</f>
        <v>0</v>
      </c>
      <c r="AX20" s="137">
        <f>COUNTIF(AX5:AX19,TRUE)</f>
        <v>0</v>
      </c>
      <c r="AY20" s="137">
        <f>COUNTIF(AY5:AY19,TRUE)</f>
        <v>0</v>
      </c>
      <c r="AZ20" s="137">
        <f>COUNTIF(AZ5:AZ19,TRUE)</f>
        <v>0</v>
      </c>
      <c r="BA20" s="137">
        <f>COUNTIF(BA5:BA19,TRUE)</f>
        <v>0</v>
      </c>
      <c r="BB20" s="137">
        <f>COUNTIF(BB5:BB19,TRUE)</f>
        <v>0</v>
      </c>
      <c r="BC20" s="137">
        <f>COUNTIF(BC5:BC19,TRUE)</f>
        <v>0</v>
      </c>
      <c r="BD20" s="137">
        <f>COUNTIF(BD5:BD19,TRUE)</f>
        <v>0</v>
      </c>
      <c r="BE20" s="137">
        <f>COUNTIF(BE5:BE19,TRUE)</f>
        <v>0</v>
      </c>
      <c r="BF20" s="137">
        <f>COUNTIF(BF5:BF19,TRUE)</f>
        <v>0</v>
      </c>
      <c r="BG20" s="137">
        <f>COUNTIF(BG5:BG19,TRUE)</f>
        <v>0</v>
      </c>
      <c r="BH20" s="137">
        <f>COUNTIF(BH5:BH19,TRUE)</f>
        <v>0</v>
      </c>
      <c r="BI20" s="137">
        <f>COUNTIF(BI5:BI19,TRUE)</f>
        <v>0</v>
      </c>
      <c r="BJ20" s="137">
        <f>COUNTIF(BJ5:BJ19,TRUE)</f>
        <v>0</v>
      </c>
      <c r="BK20" s="137">
        <f>COUNTIF(BK5:BK19,TRUE)</f>
        <v>0</v>
      </c>
      <c r="BL20" s="137">
        <f>COUNTIF(BL5:BL19,TRUE)</f>
        <v>0</v>
      </c>
      <c r="BM20" s="137">
        <f>COUNTIF(BM5:BM19,TRUE)</f>
        <v>0</v>
      </c>
      <c r="BN20" s="137">
        <f>COUNTIF(BN5:BN19,TRUE)</f>
        <v>0</v>
      </c>
      <c r="BO20" s="137">
        <f>COUNTIF(BO5:BO19,TRUE)</f>
        <v>0</v>
      </c>
      <c r="BP20" s="137">
        <f>COUNTIF(BP5:BP19,TRUE)</f>
        <v>0</v>
      </c>
      <c r="BQ20" s="137">
        <f>COUNTIF(BQ5:BQ19,TRUE)</f>
        <v>0</v>
      </c>
      <c r="BR20" s="137">
        <f>COUNTIF(BR5:BR19,TRUE)</f>
        <v>0</v>
      </c>
      <c r="BS20" s="137">
        <f>COUNTIF(BS5:BS19,TRUE)</f>
        <v>0</v>
      </c>
      <c r="BT20" s="137">
        <f>COUNTIF(BT5:BT19,TRUE)</f>
        <v>0</v>
      </c>
      <c r="BU20" s="137">
        <f>COUNTIF(BU5:BU19,TRUE)</f>
        <v>0</v>
      </c>
      <c r="BV20" s="137">
        <f>COUNTIF(BV5:BV19,TRUE)</f>
        <v>0</v>
      </c>
      <c r="BW20" s="137">
        <f>COUNTIF(BW5:BW19,TRUE)</f>
        <v>0</v>
      </c>
      <c r="BX20" s="137">
        <f>COUNTIF(BX5:BX19,TRUE)</f>
        <v>0</v>
      </c>
      <c r="BY20" s="137">
        <f>COUNTIF(BY5:BY19,TRUE)</f>
        <v>0</v>
      </c>
      <c r="BZ20" s="137">
        <f>COUNTIF(BZ5:BZ19,TRUE)</f>
        <v>0</v>
      </c>
      <c r="CA20" s="137">
        <f>COUNTIF(CA5:CA19,TRUE)</f>
        <v>0</v>
      </c>
      <c r="CB20" s="137">
        <f>COUNTIF(CB5:CB19,TRUE)</f>
        <v>0</v>
      </c>
      <c r="CC20" s="137">
        <f>COUNTIF(CC5:CC19,TRUE)</f>
        <v>0</v>
      </c>
      <c r="CD20" s="137">
        <f>COUNTIF(CD5:CD19,TRUE)</f>
        <v>0</v>
      </c>
      <c r="CE20" s="137">
        <f>COUNTIF(CE5:CE19,TRUE)</f>
        <v>0</v>
      </c>
      <c r="CF20" s="137">
        <f>COUNTIF(CF5:CF19,TRUE)</f>
        <v>0</v>
      </c>
      <c r="CG20" s="137">
        <f>COUNTIF(CG5:CG19,TRUE)</f>
        <v>0</v>
      </c>
      <c r="CH20" s="137">
        <f>COUNTIF(CH5:CH19,TRUE)</f>
        <v>0</v>
      </c>
      <c r="CI20" s="137">
        <f>COUNTIF(CI5:CI19,TRUE)</f>
        <v>0</v>
      </c>
      <c r="CJ20" s="137">
        <f>COUNTIF(CJ5:CJ19,TRUE)</f>
        <v>0</v>
      </c>
      <c r="CK20" s="137">
        <f>COUNTIF(CK5:CK19,TRUE)</f>
        <v>0</v>
      </c>
      <c r="CL20" s="137">
        <f>COUNTIF(CL5:CL19,TRUE)</f>
        <v>0</v>
      </c>
      <c r="CM20" s="137">
        <f>COUNTIF(CM5:CM19,TRUE)</f>
        <v>0</v>
      </c>
      <c r="CN20" s="137">
        <f>COUNTIF(CN5:CN19,TRUE)</f>
        <v>0</v>
      </c>
      <c r="CO20" s="137">
        <f>COUNTIF(CO5:CO19,TRUE)</f>
        <v>0</v>
      </c>
      <c r="CP20" s="137">
        <f>COUNTIF(CP5:CP19,TRUE)</f>
        <v>0</v>
      </c>
      <c r="CQ20" s="137">
        <f>COUNTIF(CQ5:CQ19,TRUE)</f>
        <v>0</v>
      </c>
      <c r="CR20" s="137">
        <f>COUNTIF(CR5:CR19,TRUE)</f>
        <v>0</v>
      </c>
      <c r="CS20" s="137">
        <f>COUNTIF(CS5:CS19,TRUE)</f>
        <v>0</v>
      </c>
      <c r="CT20" s="137">
        <f>COUNTIF(CT5:CT19,TRUE)</f>
        <v>0</v>
      </c>
      <c r="CU20" s="137">
        <f>COUNTIF(CU5:CU19,TRUE)</f>
        <v>0</v>
      </c>
      <c r="CV20" s="137">
        <f>COUNTIF(CV5:CV19,TRUE)</f>
        <v>0</v>
      </c>
      <c r="CW20" s="137">
        <f>COUNTIF(CW5:CW19,TRUE)</f>
        <v>0</v>
      </c>
      <c r="CX20" s="137">
        <f>COUNTIF(CX5:CX19,TRUE)</f>
        <v>0</v>
      </c>
      <c r="CY20" s="137">
        <f>COUNTIF(CY5:CY19,TRUE)</f>
        <v>0</v>
      </c>
      <c r="CZ20" s="137">
        <f>COUNTIF(CZ5:CZ19,TRUE)</f>
        <v>0</v>
      </c>
      <c r="DA20" s="137">
        <f>COUNTIF(DA5:DA19,TRUE)</f>
        <v>0</v>
      </c>
      <c r="DB20" s="137">
        <f>COUNTIF(DB5:DB19,TRUE)</f>
        <v>0</v>
      </c>
      <c r="DC20" s="137">
        <f>COUNTIF(DC5:DC19,TRUE)</f>
        <v>0</v>
      </c>
      <c r="DD20" s="137">
        <f>COUNTIF(DD5:DD19,TRUE)</f>
        <v>0</v>
      </c>
      <c r="DE20" s="137">
        <f>COUNTIF(DE5:DE19,TRUE)</f>
        <v>0</v>
      </c>
      <c r="DF20" s="137">
        <f>COUNTIF(DF5:DF19,TRUE)</f>
        <v>0</v>
      </c>
      <c r="DG20" s="137">
        <f>COUNTIF(DG5:DG19,TRUE)</f>
        <v>0</v>
      </c>
      <c r="DH20" s="137">
        <f>COUNTIF(DH5:DH19,TRUE)</f>
        <v>0</v>
      </c>
      <c r="DI20" s="137">
        <f>COUNTIF(DI5:DI19,TRUE)</f>
        <v>0</v>
      </c>
      <c r="DJ20" s="137">
        <f>COUNTIF(DJ5:DJ19,TRUE)</f>
        <v>0</v>
      </c>
      <c r="DK20" s="137">
        <f>COUNTIF(DK5:DK19,TRUE)</f>
        <v>0</v>
      </c>
      <c r="DL20" s="137">
        <f>COUNTIF(DL5:DL19,TRUE)</f>
        <v>0</v>
      </c>
      <c r="DM20" s="137">
        <f>COUNTIF(DM5:DM19,TRUE)</f>
        <v>0</v>
      </c>
      <c r="DN20" s="137">
        <f>COUNTIF(DN5:DN19,TRUE)</f>
        <v>0</v>
      </c>
      <c r="DO20" s="137">
        <f>COUNTIF(DO5:DO19,TRUE)</f>
        <v>0</v>
      </c>
      <c r="DP20" s="137">
        <f>COUNTIF(DP5:DP19,TRUE)</f>
        <v>0</v>
      </c>
      <c r="DQ20" s="137">
        <f>COUNTIF(DQ5:DQ19,TRUE)</f>
        <v>0</v>
      </c>
      <c r="DR20" s="137">
        <f>COUNTIF(DR5:DR19,TRUE)</f>
        <v>0</v>
      </c>
      <c r="DS20" s="137">
        <f>COUNTIF(DS5:DS19,TRUE)</f>
        <v>0</v>
      </c>
      <c r="DT20" s="137">
        <f>COUNTIF(DT5:DT19,TRUE)</f>
        <v>0</v>
      </c>
      <c r="DU20" s="137">
        <f>COUNTIF(DU5:DU19,TRUE)</f>
        <v>0</v>
      </c>
      <c r="DV20" s="137">
        <f>COUNTIF(DV5:DV19,TRUE)</f>
        <v>0</v>
      </c>
      <c r="DW20" s="137">
        <f>COUNTIF(DW5:DW19,TRUE)</f>
        <v>0</v>
      </c>
      <c r="DX20" s="137">
        <f>COUNTIF(DX5:DX19,TRUE)</f>
        <v>0</v>
      </c>
      <c r="DY20" s="137">
        <f>COUNTIF(DY5:DY19,TRUE)</f>
        <v>0</v>
      </c>
      <c r="DZ20" s="137">
        <f>COUNTIF(DZ5:DZ19,TRUE)</f>
        <v>0</v>
      </c>
      <c r="EA20" s="137">
        <f>COUNTIF(EA5:EA19,TRUE)</f>
        <v>0</v>
      </c>
      <c r="EB20" s="137">
        <f>COUNTIF(EB5:EB19,TRUE)</f>
        <v>0</v>
      </c>
      <c r="EC20" s="137">
        <f>COUNTIF(EC5:EC19,TRUE)</f>
        <v>0</v>
      </c>
      <c r="ED20" s="137">
        <f>COUNTIF(ED5:ED19,TRUE)</f>
        <v>0</v>
      </c>
      <c r="EE20" s="137">
        <f>COUNTIF(EE5:EE19,TRUE)</f>
        <v>0</v>
      </c>
      <c r="EF20" s="137">
        <f>COUNTIF(EF5:EF19,TRUE)</f>
        <v>0</v>
      </c>
      <c r="EG20" s="137">
        <f>COUNTIF(EG5:EG19,TRUE)</f>
        <v>0</v>
      </c>
      <c r="EH20" s="137">
        <f>COUNTIF(EH5:EH19,TRUE)</f>
        <v>0</v>
      </c>
      <c r="EI20" s="137">
        <f>COUNTIF(EI5:EI19,TRUE)</f>
        <v>0</v>
      </c>
      <c r="EJ20" s="137">
        <f>COUNTIF(EJ5:EJ19,TRUE)</f>
        <v>0</v>
      </c>
      <c r="EK20" s="137">
        <f>COUNTIF(EK5:EK19,TRUE)</f>
        <v>0</v>
      </c>
      <c r="EL20" s="137">
        <f>COUNTIF(EL5:EL19,TRUE)</f>
        <v>0</v>
      </c>
      <c r="EM20" s="137">
        <f>COUNTIF(EM5:EM19,TRUE)</f>
        <v>0</v>
      </c>
      <c r="EN20" s="137">
        <f>COUNTIF(EN5:EN19,TRUE)</f>
        <v>0</v>
      </c>
      <c r="EO20" s="137">
        <f>COUNTIF(EO5:EO19,TRUE)</f>
        <v>0</v>
      </c>
      <c r="EP20" s="137">
        <f>COUNTIF(EP5:EP19,TRUE)</f>
        <v>0</v>
      </c>
      <c r="EQ20" s="137">
        <f>COUNTIF(EQ5:EQ19,TRUE)</f>
        <v>0</v>
      </c>
      <c r="ER20" s="137">
        <f>COUNTIF(ER5:ER19,TRUE)</f>
        <v>0</v>
      </c>
      <c r="ES20" s="137">
        <f>COUNTIF(ES5:ES19,TRUE)</f>
        <v>0</v>
      </c>
      <c r="ET20" s="137">
        <f>COUNTIF(ET5:ET19,TRUE)</f>
        <v>0</v>
      </c>
      <c r="EU20" s="137">
        <f>COUNTIF(EU5:EU19,TRUE)</f>
        <v>0</v>
      </c>
      <c r="EV20" s="137">
        <f>COUNTIF(EV5:EV19,TRUE)</f>
        <v>0</v>
      </c>
      <c r="EW20" s="137">
        <f>COUNTIF(EW5:EW19,TRUE)</f>
        <v>0</v>
      </c>
      <c r="EX20" s="137">
        <f>COUNTIF(EX5:EX19,TRUE)</f>
        <v>0</v>
      </c>
      <c r="EY20" s="137">
        <f>COUNTIF(EY5:EY19,TRUE)</f>
        <v>0</v>
      </c>
      <c r="EZ20" s="137">
        <f>COUNTIF(EZ5:EZ19,TRUE)</f>
        <v>0</v>
      </c>
      <c r="FA20" s="137">
        <f>COUNTIF(FA5:FA19,TRUE)</f>
        <v>0</v>
      </c>
      <c r="FB20" s="137">
        <f>COUNTIF(FB5:FB19,TRUE)</f>
        <v>0</v>
      </c>
      <c r="FC20" s="137">
        <f>COUNTIF(FC5:FC19,TRUE)</f>
        <v>0</v>
      </c>
      <c r="FD20" s="137">
        <f>COUNTIF(FD5:FD19,TRUE)</f>
        <v>0</v>
      </c>
      <c r="FE20" s="137">
        <f>COUNTIF(FE5:FE19,TRUE)</f>
        <v>0</v>
      </c>
      <c r="FF20" s="137">
        <f>COUNTIF(FF5:FF19,TRUE)</f>
        <v>0</v>
      </c>
      <c r="FG20" s="137">
        <f>COUNTIF(FG5:FG19,TRUE)</f>
        <v>0</v>
      </c>
      <c r="FH20" s="137">
        <f>COUNTIF(FH5:FH19,TRUE)</f>
        <v>0</v>
      </c>
      <c r="FI20" s="137">
        <f>COUNTIF(FI5:FI19,TRUE)</f>
        <v>0</v>
      </c>
      <c r="FJ20" s="137">
        <f>COUNTIF(FJ5:FJ19,TRUE)</f>
        <v>0</v>
      </c>
      <c r="FK20" s="137">
        <f>COUNTIF(FK5:FK19,TRUE)</f>
        <v>0</v>
      </c>
      <c r="FL20" s="137">
        <f>COUNTIF(FL5:FL19,TRUE)</f>
        <v>0</v>
      </c>
      <c r="FM20" s="137">
        <f>COUNTIF(FM5:FM19,TRUE)</f>
        <v>0</v>
      </c>
      <c r="FN20" s="137">
        <f>COUNTIF(FN5:FN19,TRUE)</f>
        <v>0</v>
      </c>
      <c r="FO20" s="137">
        <f>COUNTIF(FO5:FO19,TRUE)</f>
        <v>0</v>
      </c>
      <c r="FP20" s="137">
        <f>COUNTIF(FP5:FP19,TRUE)</f>
        <v>0</v>
      </c>
      <c r="FQ20" s="137">
        <f>COUNTIF(FQ5:FQ19,TRUE)</f>
        <v>0</v>
      </c>
      <c r="FR20" s="137">
        <f>COUNTIF(FR5:FR19,TRUE)</f>
        <v>0</v>
      </c>
      <c r="FS20" s="137">
        <f>COUNTIF(FS5:FS19,TRUE)</f>
        <v>0</v>
      </c>
      <c r="FT20" s="137">
        <f>COUNTIF(FT5:FT19,TRUE)</f>
        <v>0</v>
      </c>
      <c r="FU20" s="137">
        <f>COUNTIF(FU5:FU19,TRUE)</f>
        <v>0</v>
      </c>
      <c r="FV20" s="137">
        <f>COUNTIF(FV5:FV19,TRUE)</f>
        <v>0</v>
      </c>
      <c r="FW20" s="137">
        <f>COUNTIF(FW5:FW19,TRUE)</f>
        <v>0</v>
      </c>
      <c r="FX20" s="137">
        <f>COUNTIF(FX5:FX19,TRUE)</f>
        <v>0</v>
      </c>
      <c r="FY20" s="137">
        <f>COUNTIF(FY5:FY19,TRUE)</f>
        <v>0</v>
      </c>
      <c r="FZ20" s="137">
        <f>COUNTIF(FZ5:FZ19,TRUE)</f>
        <v>0</v>
      </c>
      <c r="GA20" s="137">
        <f>COUNTIF(GA5:GA19,TRUE)</f>
        <v>0</v>
      </c>
      <c r="GB20" s="137">
        <f>COUNTIF(GB5:GB19,TRUE)</f>
        <v>0</v>
      </c>
      <c r="GC20" s="137">
        <f>COUNTIF(GC5:GC19,TRUE)</f>
        <v>0</v>
      </c>
      <c r="GD20" s="137">
        <f>COUNTIF(GD5:GD19,TRUE)</f>
        <v>0</v>
      </c>
      <c r="GE20" s="137">
        <f>COUNTIF(GE5:GE19,TRUE)</f>
        <v>0</v>
      </c>
      <c r="GF20" s="137">
        <f>COUNTIF(GF5:GF19,TRUE)</f>
        <v>0</v>
      </c>
      <c r="GG20" s="137">
        <f>COUNTIF(GG5:GG19,TRUE)</f>
        <v>0</v>
      </c>
      <c r="GH20" s="137">
        <f>COUNTIF(GH5:GH19,TRUE)</f>
        <v>0</v>
      </c>
      <c r="GI20" s="137">
        <f>COUNTIF(GI5:GI19,TRUE)</f>
        <v>0</v>
      </c>
      <c r="GJ20" s="137">
        <f>COUNTIF(GJ5:GJ19,TRUE)</f>
        <v>0</v>
      </c>
      <c r="GK20" s="137">
        <f>COUNTIF(GK5:GK19,TRUE)</f>
        <v>0</v>
      </c>
      <c r="GL20" s="137">
        <f>COUNTIF(GL5:GL19,TRUE)</f>
        <v>0</v>
      </c>
      <c r="GM20" s="137">
        <f>COUNTIF(GM5:GM19,TRUE)</f>
        <v>0</v>
      </c>
      <c r="GN20" s="137">
        <f>COUNTIF(GN5:GN19,TRUE)</f>
        <v>0</v>
      </c>
      <c r="GO20" s="137">
        <f>COUNTIF(GO5:GO19,TRUE)</f>
        <v>0</v>
      </c>
      <c r="GP20" s="137">
        <f>COUNTIF(GP5:GP19,TRUE)</f>
        <v>0</v>
      </c>
      <c r="GQ20" s="137">
        <f>COUNTIF(GQ5:GQ19,TRUE)</f>
        <v>0</v>
      </c>
      <c r="GR20" s="137">
        <f>COUNTIF(GR5:GR19,TRUE)</f>
        <v>0</v>
      </c>
      <c r="GS20" s="137">
        <f>COUNTIF(GS5:GS19,TRUE)</f>
        <v>0</v>
      </c>
      <c r="GT20" s="137">
        <f>COUNTIF(GT5:GT19,TRUE)</f>
        <v>0</v>
      </c>
      <c r="GU20" s="137">
        <f>COUNTIF(GU5:GU19,TRUE)</f>
        <v>0</v>
      </c>
      <c r="GV20" s="137">
        <f>COUNTIF(GV5:GV19,TRUE)</f>
        <v>0</v>
      </c>
      <c r="GW20" s="137">
        <f>COUNTIF(GW5:GW19,TRUE)</f>
        <v>0</v>
      </c>
      <c r="GX20" s="137">
        <f>COUNTIF(GX5:GX19,TRUE)</f>
        <v>0</v>
      </c>
      <c r="GY20" s="137">
        <f>COUNTIF(GY5:GY19,TRUE)</f>
        <v>0</v>
      </c>
      <c r="GZ20" s="137">
        <f>COUNTIF(GZ5:GZ19,TRUE)</f>
        <v>0</v>
      </c>
      <c r="HA20" s="137">
        <f>COUNTIF(HA5:HA19,TRUE)</f>
        <v>0</v>
      </c>
      <c r="HB20" s="137">
        <f>COUNTIF(HB5:HB19,TRUE)</f>
        <v>0</v>
      </c>
    </row>
    <row r="21" ht="7.5" customHeight="1"/>
    <row r="22" ht="15" customHeight="1">
      <c r="A22" s="138" t="inlineStr">
        <is>
          <t>الحصة الجاية: هنعمل إيه؟</t>
        </is>
      </c>
      <c r="B22" s="4" t="n"/>
      <c r="C22" s="138" t="inlineStr">
        <is>
          <t>ميعادها حسب صفحة المواعيد</t>
        </is>
      </c>
      <c r="D22" s="13" t="n"/>
      <c r="E22" s="13" t="n"/>
      <c r="F22" s="4" t="n"/>
    </row>
    <row r="23" ht="42" customHeight="1">
      <c r="A23" s="139" t="n"/>
      <c r="B23" s="4" t="n"/>
      <c r="C23" s="140" t="str">
        <f>IF($HF$4="","مفيش ميعاد للمجموعة دي في صفحة المواعيد",$HF$4)</f>
        <v>مفيش ميعاد للمجموعة دي في صفحة المواعيد</v>
      </c>
      <c r="D23" s="13" t="n"/>
      <c r="E23" s="13" t="n"/>
      <c r="F23" s="4" t="n"/>
    </row>
    <row r="24" ht="15" customHeight="1">
      <c r="A24" s="138" t="inlineStr">
        <is>
          <t>ميعاد مختلف؟ (اختياري)</t>
        </is>
      </c>
      <c r="B24" s="4" t="n"/>
      <c r="C24" s="141" t="inlineStr">
        <is>
          <t>لو الحصة اتأجلت أو في حصة إضافية، اكتبي ميعادها في الخانة البيضا</t>
        </is>
      </c>
      <c r="D24" s="42" t="n"/>
      <c r="E24" s="42" t="n"/>
      <c r="F24" s="43" t="n"/>
    </row>
    <row r="25" ht="22.5" customHeight="1">
      <c r="A25" s="139" t="n"/>
      <c r="B25" s="4" t="n"/>
      <c r="C25" s="71" t="n"/>
      <c r="D25" s="73" t="n"/>
      <c r="E25" s="73" t="n"/>
      <c r="F25" s="72" t="n"/>
    </row>
    <row r="26" ht="10.5" customHeight="1"/>
    <row r="27" ht="21" customHeight="1">
      <c r="A27" s="76" t="inlineStr">
        <is>
          <t>الدرجات · نوع الامتحان</t>
        </is>
      </c>
      <c r="B27" s="4" t="n"/>
      <c r="C27" s="142" t="inlineStr">
        <is>
          <t>النسبة والترتيب على:</t>
        </is>
      </c>
      <c r="D27" s="13" t="n"/>
      <c r="E27" s="4" t="n"/>
      <c r="F27" s="15" t="inlineStr">
        <is>
          <t>الكل</t>
        </is>
      </c>
      <c r="G27" s="143" t="n"/>
      <c r="H27" s="4" t="n"/>
      <c r="I27" s="143" t="n"/>
      <c r="J27" s="4" t="n"/>
      <c r="K27" s="143" t="n"/>
      <c r="L27" s="4" t="n"/>
      <c r="M27" s="143" t="n"/>
      <c r="N27" s="4" t="n"/>
      <c r="O27" s="143" t="n"/>
      <c r="P27" s="4" t="n"/>
      <c r="Q27" s="143" t="n"/>
      <c r="R27" s="4" t="n"/>
      <c r="S27" s="143" t="n"/>
      <c r="T27" s="4" t="n"/>
      <c r="U27" s="143" t="n"/>
      <c r="V27" s="4" t="n"/>
      <c r="W27" s="144" t="inlineStr">
        <is>
          <t>ملاحظات
(سبب الغياب)</t>
        </is>
      </c>
      <c r="X27" s="143" t="n"/>
      <c r="Y27" s="4" t="n"/>
      <c r="Z27" s="143" t="n"/>
      <c r="AA27" s="4" t="n"/>
      <c r="AB27" s="143" t="n"/>
      <c r="AC27" s="4" t="n"/>
      <c r="AD27" s="143" t="n"/>
      <c r="AE27" s="4" t="n"/>
      <c r="AF27" s="143" t="n"/>
      <c r="AG27" s="4" t="n"/>
      <c r="AH27" s="143" t="n"/>
      <c r="AI27" s="4" t="n"/>
      <c r="AJ27" s="143" t="n"/>
      <c r="AK27" s="4" t="n"/>
      <c r="AL27" s="143" t="n"/>
      <c r="AM27" s="4" t="n"/>
      <c r="AN27" s="145" t="inlineStr">
        <is>
          <t>ملاحظات
(سبب الغياب)</t>
        </is>
      </c>
      <c r="AO27" s="143" t="n"/>
      <c r="AP27" s="4" t="n"/>
      <c r="AQ27" s="143" t="n"/>
      <c r="AR27" s="4" t="n"/>
      <c r="AS27" s="143" t="n"/>
      <c r="AT27" s="4" t="n"/>
      <c r="AU27" s="143" t="n"/>
      <c r="AV27" s="4" t="n"/>
      <c r="AW27" s="143" t="n"/>
      <c r="AX27" s="4" t="n"/>
      <c r="AY27" s="143" t="n"/>
      <c r="AZ27" s="4" t="n"/>
      <c r="BA27" s="143" t="n"/>
      <c r="BB27" s="4" t="n"/>
      <c r="BC27" s="143" t="n"/>
      <c r="BD27" s="4" t="n"/>
      <c r="BE27" s="146" t="inlineStr">
        <is>
          <t>ملاحظات
(سبب الغياب)</t>
        </is>
      </c>
      <c r="BF27" s="143" t="n"/>
      <c r="BG27" s="4" t="n"/>
      <c r="BH27" s="143" t="n"/>
      <c r="BI27" s="4" t="n"/>
      <c r="BJ27" s="143" t="n"/>
      <c r="BK27" s="4" t="n"/>
      <c r="BL27" s="143" t="n"/>
      <c r="BM27" s="4" t="n"/>
      <c r="BN27" s="143" t="n"/>
      <c r="BO27" s="4" t="n"/>
      <c r="BP27" s="143" t="n"/>
      <c r="BQ27" s="4" t="n"/>
      <c r="BR27" s="143" t="n"/>
      <c r="BS27" s="4" t="n"/>
      <c r="BT27" s="143" t="n"/>
      <c r="BU27" s="4" t="n"/>
      <c r="BV27" s="147" t="inlineStr">
        <is>
          <t>ملاحظات
(سبب الغياب)</t>
        </is>
      </c>
      <c r="BW27" s="143" t="n"/>
      <c r="BX27" s="4" t="n"/>
      <c r="BY27" s="143" t="n"/>
      <c r="BZ27" s="4" t="n"/>
      <c r="CA27" s="143" t="n"/>
      <c r="CB27" s="4" t="n"/>
      <c r="CC27" s="143" t="n"/>
      <c r="CD27" s="4" t="n"/>
      <c r="CE27" s="143" t="n"/>
      <c r="CF27" s="4" t="n"/>
      <c r="CG27" s="143" t="n"/>
      <c r="CH27" s="4" t="n"/>
      <c r="CI27" s="143" t="n"/>
      <c r="CJ27" s="4" t="n"/>
      <c r="CK27" s="143" t="n"/>
      <c r="CL27" s="4" t="n"/>
      <c r="CM27" s="148" t="inlineStr">
        <is>
          <t>ملاحظات
(سبب الغياب)</t>
        </is>
      </c>
      <c r="CN27" s="143" t="n"/>
      <c r="CO27" s="4" t="n"/>
      <c r="CP27" s="143" t="n"/>
      <c r="CQ27" s="4" t="n"/>
      <c r="CR27" s="143" t="n"/>
      <c r="CS27" s="4" t="n"/>
      <c r="CT27" s="143" t="n"/>
      <c r="CU27" s="4" t="n"/>
      <c r="CV27" s="143" t="n"/>
      <c r="CW27" s="4" t="n"/>
      <c r="CX27" s="143" t="n"/>
      <c r="CY27" s="4" t="n"/>
      <c r="CZ27" s="143" t="n"/>
      <c r="DA27" s="4" t="n"/>
      <c r="DB27" s="143" t="n"/>
      <c r="DC27" s="4" t="n"/>
      <c r="DD27" s="149" t="inlineStr">
        <is>
          <t>ملاحظات
(سبب الغياب)</t>
        </is>
      </c>
      <c r="DE27" s="143" t="n"/>
      <c r="DF27" s="4" t="n"/>
      <c r="DG27" s="143" t="n"/>
      <c r="DH27" s="4" t="n"/>
      <c r="DI27" s="143" t="n"/>
      <c r="DJ27" s="4" t="n"/>
      <c r="DK27" s="143" t="n"/>
      <c r="DL27" s="4" t="n"/>
      <c r="DM27" s="143" t="n"/>
      <c r="DN27" s="4" t="n"/>
      <c r="DO27" s="143" t="n"/>
      <c r="DP27" s="4" t="n"/>
      <c r="DQ27" s="143" t="n"/>
      <c r="DR27" s="4" t="n"/>
      <c r="DS27" s="143" t="n"/>
      <c r="DT27" s="4" t="n"/>
      <c r="DU27" s="150" t="inlineStr">
        <is>
          <t>ملاحظات
(سبب الغياب)</t>
        </is>
      </c>
      <c r="DV27" s="143" t="n"/>
      <c r="DW27" s="4" t="n"/>
      <c r="DX27" s="143" t="n"/>
      <c r="DY27" s="4" t="n"/>
      <c r="DZ27" s="143" t="n"/>
      <c r="EA27" s="4" t="n"/>
      <c r="EB27" s="143" t="n"/>
      <c r="EC27" s="4" t="n"/>
      <c r="ED27" s="143" t="n"/>
      <c r="EE27" s="4" t="n"/>
      <c r="EF27" s="143" t="n"/>
      <c r="EG27" s="4" t="n"/>
      <c r="EH27" s="143" t="n"/>
      <c r="EI27" s="4" t="n"/>
      <c r="EJ27" s="143" t="n"/>
      <c r="EK27" s="4" t="n"/>
      <c r="EL27" s="151" t="inlineStr">
        <is>
          <t>ملاحظات
(سبب الغياب)</t>
        </is>
      </c>
      <c r="EM27" s="143" t="n"/>
      <c r="EN27" s="4" t="n"/>
      <c r="EO27" s="143" t="n"/>
      <c r="EP27" s="4" t="n"/>
      <c r="EQ27" s="143" t="n"/>
      <c r="ER27" s="4" t="n"/>
      <c r="ES27" s="143" t="n"/>
      <c r="ET27" s="4" t="n"/>
      <c r="EU27" s="143" t="n"/>
      <c r="EV27" s="4" t="n"/>
      <c r="EW27" s="143" t="n"/>
      <c r="EX27" s="4" t="n"/>
      <c r="EY27" s="143" t="n"/>
      <c r="EZ27" s="4" t="n"/>
      <c r="FA27" s="143" t="n"/>
      <c r="FB27" s="4" t="n"/>
      <c r="FC27" s="152" t="inlineStr">
        <is>
          <t>ملاحظات
(سبب الغياب)</t>
        </is>
      </c>
      <c r="FD27" s="143" t="n"/>
      <c r="FE27" s="4" t="n"/>
      <c r="FF27" s="143" t="n"/>
      <c r="FG27" s="4" t="n"/>
      <c r="FH27" s="143" t="n"/>
      <c r="FI27" s="4" t="n"/>
      <c r="FJ27" s="143" t="n"/>
      <c r="FK27" s="4" t="n"/>
      <c r="FL27" s="143" t="n"/>
      <c r="FM27" s="4" t="n"/>
      <c r="FN27" s="143" t="n"/>
      <c r="FO27" s="4" t="n"/>
      <c r="FP27" s="143" t="n"/>
      <c r="FQ27" s="4" t="n"/>
      <c r="FR27" s="143" t="n"/>
      <c r="FS27" s="4" t="n"/>
      <c r="FT27" s="153" t="inlineStr">
        <is>
          <t>ملاحظات
(سبب الغياب)</t>
        </is>
      </c>
      <c r="FU27" s="143" t="n"/>
      <c r="FV27" s="4" t="n"/>
      <c r="FW27" s="143" t="n"/>
      <c r="FX27" s="4" t="n"/>
      <c r="FY27" s="143" t="n"/>
      <c r="FZ27" s="4" t="n"/>
      <c r="GA27" s="143" t="n"/>
      <c r="GB27" s="4" t="n"/>
      <c r="GC27" s="143" t="n"/>
      <c r="GD27" s="4" t="n"/>
      <c r="GE27" s="143" t="n"/>
      <c r="GF27" s="4" t="n"/>
      <c r="GG27" s="143" t="n"/>
      <c r="GH27" s="4" t="n"/>
      <c r="GI27" s="143" t="n"/>
      <c r="GJ27" s="4" t="n"/>
      <c r="GK27" s="154" t="inlineStr">
        <is>
          <t>ملاحظات
(سبب الغياب)</t>
        </is>
      </c>
      <c r="GL27" s="143" t="n"/>
      <c r="GM27" s="4" t="n"/>
      <c r="GN27" s="143" t="n"/>
      <c r="GO27" s="4" t="n"/>
      <c r="GP27" s="143" t="n"/>
      <c r="GQ27" s="4" t="n"/>
      <c r="GR27" s="143" t="n"/>
      <c r="GS27" s="4" t="n"/>
      <c r="GT27" s="143" t="n"/>
      <c r="GU27" s="4" t="n"/>
      <c r="GV27" s="143" t="n"/>
      <c r="GW27" s="4" t="n"/>
      <c r="GX27" s="143" t="n"/>
      <c r="GY27" s="4" t="n"/>
      <c r="GZ27" s="143" t="n"/>
      <c r="HA27" s="4" t="n"/>
      <c r="HB27" s="155" t="inlineStr">
        <is>
          <t>ملاحظات
(سبب الغياب)</t>
        </is>
      </c>
    </row>
    <row r="28" ht="21" customHeight="1">
      <c r="A28" s="142" t="inlineStr">
        <is>
          <t>الدرجة النهائية (من كام)</t>
        </is>
      </c>
      <c r="B28" s="4" t="n"/>
      <c r="C28" s="156" t="inlineStr">
        <is>
          <t>الدرجة ما بتتحسبش من غير نهائية</t>
        </is>
      </c>
      <c r="D28" s="13" t="n"/>
      <c r="E28" s="13" t="n"/>
      <c r="F28" s="4" t="n"/>
      <c r="G28" s="15" t="n"/>
      <c r="H28" s="15" t="n"/>
      <c r="I28" s="15" t="n"/>
      <c r="J28" s="15" t="n"/>
      <c r="K28" s="15" t="n"/>
      <c r="L28" s="15" t="n"/>
      <c r="M28" s="15" t="n"/>
      <c r="N28" s="15" t="n"/>
      <c r="O28" s="15" t="n"/>
      <c r="P28" s="15" t="n"/>
      <c r="Q28" s="15" t="n"/>
      <c r="R28" s="15" t="n"/>
      <c r="S28" s="15" t="n"/>
      <c r="T28" s="15" t="n"/>
      <c r="U28" s="15" t="n"/>
      <c r="V28" s="15" t="n"/>
      <c r="W28" s="75" t="n"/>
      <c r="X28" s="15" t="n"/>
      <c r="Y28" s="15" t="n"/>
      <c r="Z28" s="15" t="n"/>
      <c r="AA28" s="15" t="n"/>
      <c r="AB28" s="15" t="n"/>
      <c r="AC28" s="15" t="n"/>
      <c r="AD28" s="15" t="n"/>
      <c r="AE28" s="15" t="n"/>
      <c r="AF28" s="15" t="n"/>
      <c r="AG28" s="15" t="n"/>
      <c r="AH28" s="15" t="n"/>
      <c r="AI28" s="15" t="n"/>
      <c r="AJ28" s="15" t="n"/>
      <c r="AK28" s="15" t="n"/>
      <c r="AL28" s="15" t="n"/>
      <c r="AM28" s="15" t="n"/>
      <c r="AN28" s="75" t="n"/>
      <c r="AO28" s="15" t="n"/>
      <c r="AP28" s="15" t="n"/>
      <c r="AQ28" s="15" t="n"/>
      <c r="AR28" s="15" t="n"/>
      <c r="AS28" s="15" t="n"/>
      <c r="AT28" s="15" t="n"/>
      <c r="AU28" s="15" t="n"/>
      <c r="AV28" s="15" t="n"/>
      <c r="AW28" s="15" t="n"/>
      <c r="AX28" s="15" t="n"/>
      <c r="AY28" s="15" t="n"/>
      <c r="AZ28" s="15" t="n"/>
      <c r="BA28" s="15" t="n"/>
      <c r="BB28" s="15" t="n"/>
      <c r="BC28" s="15" t="n"/>
      <c r="BD28" s="15" t="n"/>
      <c r="BE28" s="75" t="n"/>
      <c r="BF28" s="15" t="n"/>
      <c r="BG28" s="15" t="n"/>
      <c r="BH28" s="15" t="n"/>
      <c r="BI28" s="15" t="n"/>
      <c r="BJ28" s="15" t="n"/>
      <c r="BK28" s="15" t="n"/>
      <c r="BL28" s="15" t="n"/>
      <c r="BM28" s="15" t="n"/>
      <c r="BN28" s="15" t="n"/>
      <c r="BO28" s="15" t="n"/>
      <c r="BP28" s="15" t="n"/>
      <c r="BQ28" s="15" t="n"/>
      <c r="BR28" s="15" t="n"/>
      <c r="BS28" s="15" t="n"/>
      <c r="BT28" s="15" t="n"/>
      <c r="BU28" s="15" t="n"/>
      <c r="BV28" s="75" t="n"/>
      <c r="BW28" s="15" t="n"/>
      <c r="BX28" s="15" t="n"/>
      <c r="BY28" s="15" t="n"/>
      <c r="BZ28" s="15" t="n"/>
      <c r="CA28" s="15" t="n"/>
      <c r="CB28" s="15" t="n"/>
      <c r="CC28" s="15" t="n"/>
      <c r="CD28" s="15" t="n"/>
      <c r="CE28" s="15" t="n"/>
      <c r="CF28" s="15" t="n"/>
      <c r="CG28" s="15" t="n"/>
      <c r="CH28" s="15" t="n"/>
      <c r="CI28" s="15" t="n"/>
      <c r="CJ28" s="15" t="n"/>
      <c r="CK28" s="15" t="n"/>
      <c r="CL28" s="15" t="n"/>
      <c r="CM28" s="75" t="n"/>
      <c r="CN28" s="15" t="n"/>
      <c r="CO28" s="15" t="n"/>
      <c r="CP28" s="15" t="n"/>
      <c r="CQ28" s="15" t="n"/>
      <c r="CR28" s="15" t="n"/>
      <c r="CS28" s="15" t="n"/>
      <c r="CT28" s="15" t="n"/>
      <c r="CU28" s="15" t="n"/>
      <c r="CV28" s="15" t="n"/>
      <c r="CW28" s="15" t="n"/>
      <c r="CX28" s="15" t="n"/>
      <c r="CY28" s="15" t="n"/>
      <c r="CZ28" s="15" t="n"/>
      <c r="DA28" s="15" t="n"/>
      <c r="DB28" s="15" t="n"/>
      <c r="DC28" s="15" t="n"/>
      <c r="DD28" s="75" t="n"/>
      <c r="DE28" s="15" t="n"/>
      <c r="DF28" s="15" t="n"/>
      <c r="DG28" s="15" t="n"/>
      <c r="DH28" s="15" t="n"/>
      <c r="DI28" s="15" t="n"/>
      <c r="DJ28" s="15" t="n"/>
      <c r="DK28" s="15" t="n"/>
      <c r="DL28" s="15" t="n"/>
      <c r="DM28" s="15" t="n"/>
      <c r="DN28" s="15" t="n"/>
      <c r="DO28" s="15" t="n"/>
      <c r="DP28" s="15" t="n"/>
      <c r="DQ28" s="15" t="n"/>
      <c r="DR28" s="15" t="n"/>
      <c r="DS28" s="15" t="n"/>
      <c r="DT28" s="15" t="n"/>
      <c r="DU28" s="75" t="n"/>
      <c r="DV28" s="15" t="n"/>
      <c r="DW28" s="15" t="n"/>
      <c r="DX28" s="15" t="n"/>
      <c r="DY28" s="15" t="n"/>
      <c r="DZ28" s="15" t="n"/>
      <c r="EA28" s="15" t="n"/>
      <c r="EB28" s="15" t="n"/>
      <c r="EC28" s="15" t="n"/>
      <c r="ED28" s="15" t="n"/>
      <c r="EE28" s="15" t="n"/>
      <c r="EF28" s="15" t="n"/>
      <c r="EG28" s="15" t="n"/>
      <c r="EH28" s="15" t="n"/>
      <c r="EI28" s="15" t="n"/>
      <c r="EJ28" s="15" t="n"/>
      <c r="EK28" s="15" t="n"/>
      <c r="EL28" s="75" t="n"/>
      <c r="EM28" s="15" t="n"/>
      <c r="EN28" s="15" t="n"/>
      <c r="EO28" s="15" t="n"/>
      <c r="EP28" s="15" t="n"/>
      <c r="EQ28" s="15" t="n"/>
      <c r="ER28" s="15" t="n"/>
      <c r="ES28" s="15" t="n"/>
      <c r="ET28" s="15" t="n"/>
      <c r="EU28" s="15" t="n"/>
      <c r="EV28" s="15" t="n"/>
      <c r="EW28" s="15" t="n"/>
      <c r="EX28" s="15" t="n"/>
      <c r="EY28" s="15" t="n"/>
      <c r="EZ28" s="15" t="n"/>
      <c r="FA28" s="15" t="n"/>
      <c r="FB28" s="15" t="n"/>
      <c r="FC28" s="75" t="n"/>
      <c r="FD28" s="15" t="n"/>
      <c r="FE28" s="15" t="n"/>
      <c r="FF28" s="15" t="n"/>
      <c r="FG28" s="15" t="n"/>
      <c r="FH28" s="15" t="n"/>
      <c r="FI28" s="15" t="n"/>
      <c r="FJ28" s="15" t="n"/>
      <c r="FK28" s="15" t="n"/>
      <c r="FL28" s="15" t="n"/>
      <c r="FM28" s="15" t="n"/>
      <c r="FN28" s="15" t="n"/>
      <c r="FO28" s="15" t="n"/>
      <c r="FP28" s="15" t="n"/>
      <c r="FQ28" s="15" t="n"/>
      <c r="FR28" s="15" t="n"/>
      <c r="FS28" s="15" t="n"/>
      <c r="FT28" s="75" t="n"/>
      <c r="FU28" s="15" t="n"/>
      <c r="FV28" s="15" t="n"/>
      <c r="FW28" s="15" t="n"/>
      <c r="FX28" s="15" t="n"/>
      <c r="FY28" s="15" t="n"/>
      <c r="FZ28" s="15" t="n"/>
      <c r="GA28" s="15" t="n"/>
      <c r="GB28" s="15" t="n"/>
      <c r="GC28" s="15" t="n"/>
      <c r="GD28" s="15" t="n"/>
      <c r="GE28" s="15" t="n"/>
      <c r="GF28" s="15" t="n"/>
      <c r="GG28" s="15" t="n"/>
      <c r="GH28" s="15" t="n"/>
      <c r="GI28" s="15" t="n"/>
      <c r="GJ28" s="15" t="n"/>
      <c r="GK28" s="75" t="n"/>
      <c r="GL28" s="15" t="n"/>
      <c r="GM28" s="15" t="n"/>
      <c r="GN28" s="15" t="n"/>
      <c r="GO28" s="15" t="n"/>
      <c r="GP28" s="15" t="n"/>
      <c r="GQ28" s="15" t="n"/>
      <c r="GR28" s="15" t="n"/>
      <c r="GS28" s="15" t="n"/>
      <c r="GT28" s="15" t="n"/>
      <c r="GU28" s="15" t="n"/>
      <c r="GV28" s="15" t="n"/>
      <c r="GW28" s="15" t="n"/>
      <c r="GX28" s="15" t="n"/>
      <c r="GY28" s="15" t="n"/>
      <c r="GZ28" s="15" t="n"/>
      <c r="HA28" s="15" t="n"/>
      <c r="HB28" s="75" t="n"/>
    </row>
    <row r="29" ht="16.5" customHeight="1">
      <c r="A29" s="76" t="inlineStr">
        <is>
          <t>م</t>
        </is>
      </c>
      <c r="B29" s="76" t="inlineStr">
        <is>
          <t>الاسم</t>
        </is>
      </c>
      <c r="C29" s="76" t="inlineStr">
        <is>
          <t>المجموع</t>
        </is>
      </c>
      <c r="D29" s="76" t="inlineStr">
        <is>
          <t>%</t>
        </is>
      </c>
      <c r="E29" s="76" t="inlineStr">
        <is>
          <t>الترتيب</t>
        </is>
      </c>
      <c r="F29" s="76" t="inlineStr">
        <is>
          <t>التقدير</t>
        </is>
      </c>
      <c r="G29" s="157" t="inlineStr">
        <is>
          <t>كويز</t>
        </is>
      </c>
      <c r="H29" s="158" t="inlineStr">
        <is>
          <t>امتحان</t>
        </is>
      </c>
      <c r="I29" s="157" t="inlineStr">
        <is>
          <t>كويز</t>
        </is>
      </c>
      <c r="J29" s="158" t="inlineStr">
        <is>
          <t>امتحان</t>
        </is>
      </c>
      <c r="K29" s="157" t="inlineStr">
        <is>
          <t>كويز</t>
        </is>
      </c>
      <c r="L29" s="158" t="inlineStr">
        <is>
          <t>امتحان</t>
        </is>
      </c>
      <c r="M29" s="157" t="inlineStr">
        <is>
          <t>كويز</t>
        </is>
      </c>
      <c r="N29" s="158" t="inlineStr">
        <is>
          <t>امتحان</t>
        </is>
      </c>
      <c r="O29" s="157" t="inlineStr">
        <is>
          <t>كويز</t>
        </is>
      </c>
      <c r="P29" s="158" t="inlineStr">
        <is>
          <t>امتحان</t>
        </is>
      </c>
      <c r="Q29" s="157" t="inlineStr">
        <is>
          <t>كويز</t>
        </is>
      </c>
      <c r="R29" s="158" t="inlineStr">
        <is>
          <t>امتحان</t>
        </is>
      </c>
      <c r="S29" s="157" t="inlineStr">
        <is>
          <t>كويز</t>
        </is>
      </c>
      <c r="T29" s="158" t="inlineStr">
        <is>
          <t>امتحان</t>
        </is>
      </c>
      <c r="U29" s="157" t="inlineStr">
        <is>
          <t>كويز</t>
        </is>
      </c>
      <c r="V29" s="158" t="inlineStr">
        <is>
          <t>امتحان</t>
        </is>
      </c>
      <c r="W29" s="59" t="inlineStr">
        <is>
          <t>ملاحظات</t>
        </is>
      </c>
      <c r="X29" s="159" t="inlineStr">
        <is>
          <t>كويز</t>
        </is>
      </c>
      <c r="Y29" s="160" t="inlineStr">
        <is>
          <t>امتحان</t>
        </is>
      </c>
      <c r="Z29" s="159" t="inlineStr">
        <is>
          <t>كويز</t>
        </is>
      </c>
      <c r="AA29" s="160" t="inlineStr">
        <is>
          <t>امتحان</t>
        </is>
      </c>
      <c r="AB29" s="159" t="inlineStr">
        <is>
          <t>كويز</t>
        </is>
      </c>
      <c r="AC29" s="160" t="inlineStr">
        <is>
          <t>امتحان</t>
        </is>
      </c>
      <c r="AD29" s="159" t="inlineStr">
        <is>
          <t>كويز</t>
        </is>
      </c>
      <c r="AE29" s="160" t="inlineStr">
        <is>
          <t>امتحان</t>
        </is>
      </c>
      <c r="AF29" s="159" t="inlineStr">
        <is>
          <t>كويز</t>
        </is>
      </c>
      <c r="AG29" s="160" t="inlineStr">
        <is>
          <t>امتحان</t>
        </is>
      </c>
      <c r="AH29" s="159" t="inlineStr">
        <is>
          <t>كويز</t>
        </is>
      </c>
      <c r="AI29" s="160" t="inlineStr">
        <is>
          <t>امتحان</t>
        </is>
      </c>
      <c r="AJ29" s="159" t="inlineStr">
        <is>
          <t>كويز</t>
        </is>
      </c>
      <c r="AK29" s="160" t="inlineStr">
        <is>
          <t>امتحان</t>
        </is>
      </c>
      <c r="AL29" s="159" t="inlineStr">
        <is>
          <t>كويز</t>
        </is>
      </c>
      <c r="AM29" s="160" t="inlineStr">
        <is>
          <t>امتحان</t>
        </is>
      </c>
      <c r="AN29" s="60" t="inlineStr">
        <is>
          <t>ملاحظات</t>
        </is>
      </c>
      <c r="AO29" s="161" t="inlineStr">
        <is>
          <t>كويز</t>
        </is>
      </c>
      <c r="AP29" s="162" t="inlineStr">
        <is>
          <t>امتحان</t>
        </is>
      </c>
      <c r="AQ29" s="161" t="inlineStr">
        <is>
          <t>كويز</t>
        </is>
      </c>
      <c r="AR29" s="162" t="inlineStr">
        <is>
          <t>امتحان</t>
        </is>
      </c>
      <c r="AS29" s="161" t="inlineStr">
        <is>
          <t>كويز</t>
        </is>
      </c>
      <c r="AT29" s="162" t="inlineStr">
        <is>
          <t>امتحان</t>
        </is>
      </c>
      <c r="AU29" s="161" t="inlineStr">
        <is>
          <t>كويز</t>
        </is>
      </c>
      <c r="AV29" s="162" t="inlineStr">
        <is>
          <t>امتحان</t>
        </is>
      </c>
      <c r="AW29" s="161" t="inlineStr">
        <is>
          <t>كويز</t>
        </is>
      </c>
      <c r="AX29" s="162" t="inlineStr">
        <is>
          <t>امتحان</t>
        </is>
      </c>
      <c r="AY29" s="161" t="inlineStr">
        <is>
          <t>كويز</t>
        </is>
      </c>
      <c r="AZ29" s="162" t="inlineStr">
        <is>
          <t>امتحان</t>
        </is>
      </c>
      <c r="BA29" s="161" t="inlineStr">
        <is>
          <t>كويز</t>
        </is>
      </c>
      <c r="BB29" s="162" t="inlineStr">
        <is>
          <t>امتحان</t>
        </is>
      </c>
      <c r="BC29" s="161" t="inlineStr">
        <is>
          <t>كويز</t>
        </is>
      </c>
      <c r="BD29" s="162" t="inlineStr">
        <is>
          <t>امتحان</t>
        </is>
      </c>
      <c r="BE29" s="61" t="inlineStr">
        <is>
          <t>ملاحظات</t>
        </is>
      </c>
      <c r="BF29" s="163" t="inlineStr">
        <is>
          <t>كويز</t>
        </is>
      </c>
      <c r="BG29" s="164" t="inlineStr">
        <is>
          <t>امتحان</t>
        </is>
      </c>
      <c r="BH29" s="163" t="inlineStr">
        <is>
          <t>كويز</t>
        </is>
      </c>
      <c r="BI29" s="164" t="inlineStr">
        <is>
          <t>امتحان</t>
        </is>
      </c>
      <c r="BJ29" s="163" t="inlineStr">
        <is>
          <t>كويز</t>
        </is>
      </c>
      <c r="BK29" s="164" t="inlineStr">
        <is>
          <t>امتحان</t>
        </is>
      </c>
      <c r="BL29" s="163" t="inlineStr">
        <is>
          <t>كويز</t>
        </is>
      </c>
      <c r="BM29" s="164" t="inlineStr">
        <is>
          <t>امتحان</t>
        </is>
      </c>
      <c r="BN29" s="163" t="inlineStr">
        <is>
          <t>كويز</t>
        </is>
      </c>
      <c r="BO29" s="164" t="inlineStr">
        <is>
          <t>امتحان</t>
        </is>
      </c>
      <c r="BP29" s="163" t="inlineStr">
        <is>
          <t>كويز</t>
        </is>
      </c>
      <c r="BQ29" s="164" t="inlineStr">
        <is>
          <t>امتحان</t>
        </is>
      </c>
      <c r="BR29" s="163" t="inlineStr">
        <is>
          <t>كويز</t>
        </is>
      </c>
      <c r="BS29" s="164" t="inlineStr">
        <is>
          <t>امتحان</t>
        </is>
      </c>
      <c r="BT29" s="163" t="inlineStr">
        <is>
          <t>كويز</t>
        </is>
      </c>
      <c r="BU29" s="164" t="inlineStr">
        <is>
          <t>امتحان</t>
        </is>
      </c>
      <c r="BV29" s="62" t="inlineStr">
        <is>
          <t>ملاحظات</t>
        </is>
      </c>
      <c r="BW29" s="165" t="inlineStr">
        <is>
          <t>كويز</t>
        </is>
      </c>
      <c r="BX29" s="166" t="inlineStr">
        <is>
          <t>امتحان</t>
        </is>
      </c>
      <c r="BY29" s="165" t="inlineStr">
        <is>
          <t>كويز</t>
        </is>
      </c>
      <c r="BZ29" s="166" t="inlineStr">
        <is>
          <t>امتحان</t>
        </is>
      </c>
      <c r="CA29" s="165" t="inlineStr">
        <is>
          <t>كويز</t>
        </is>
      </c>
      <c r="CB29" s="166" t="inlineStr">
        <is>
          <t>امتحان</t>
        </is>
      </c>
      <c r="CC29" s="165" t="inlineStr">
        <is>
          <t>كويز</t>
        </is>
      </c>
      <c r="CD29" s="166" t="inlineStr">
        <is>
          <t>امتحان</t>
        </is>
      </c>
      <c r="CE29" s="165" t="inlineStr">
        <is>
          <t>كويز</t>
        </is>
      </c>
      <c r="CF29" s="166" t="inlineStr">
        <is>
          <t>امتحان</t>
        </is>
      </c>
      <c r="CG29" s="165" t="inlineStr">
        <is>
          <t>كويز</t>
        </is>
      </c>
      <c r="CH29" s="166" t="inlineStr">
        <is>
          <t>امتحان</t>
        </is>
      </c>
      <c r="CI29" s="165" t="inlineStr">
        <is>
          <t>كويز</t>
        </is>
      </c>
      <c r="CJ29" s="166" t="inlineStr">
        <is>
          <t>امتحان</t>
        </is>
      </c>
      <c r="CK29" s="165" t="inlineStr">
        <is>
          <t>كويز</t>
        </is>
      </c>
      <c r="CL29" s="166" t="inlineStr">
        <is>
          <t>امتحان</t>
        </is>
      </c>
      <c r="CM29" s="63" t="inlineStr">
        <is>
          <t>ملاحظات</t>
        </is>
      </c>
      <c r="CN29" s="167" t="inlineStr">
        <is>
          <t>كويز</t>
        </is>
      </c>
      <c r="CO29" s="168" t="inlineStr">
        <is>
          <t>امتحان</t>
        </is>
      </c>
      <c r="CP29" s="167" t="inlineStr">
        <is>
          <t>كويز</t>
        </is>
      </c>
      <c r="CQ29" s="168" t="inlineStr">
        <is>
          <t>امتحان</t>
        </is>
      </c>
      <c r="CR29" s="167" t="inlineStr">
        <is>
          <t>كويز</t>
        </is>
      </c>
      <c r="CS29" s="168" t="inlineStr">
        <is>
          <t>امتحان</t>
        </is>
      </c>
      <c r="CT29" s="167" t="inlineStr">
        <is>
          <t>كويز</t>
        </is>
      </c>
      <c r="CU29" s="168" t="inlineStr">
        <is>
          <t>امتحان</t>
        </is>
      </c>
      <c r="CV29" s="167" t="inlineStr">
        <is>
          <t>كويز</t>
        </is>
      </c>
      <c r="CW29" s="168" t="inlineStr">
        <is>
          <t>امتحان</t>
        </is>
      </c>
      <c r="CX29" s="167" t="inlineStr">
        <is>
          <t>كويز</t>
        </is>
      </c>
      <c r="CY29" s="168" t="inlineStr">
        <is>
          <t>امتحان</t>
        </is>
      </c>
      <c r="CZ29" s="167" t="inlineStr">
        <is>
          <t>كويز</t>
        </is>
      </c>
      <c r="DA29" s="168" t="inlineStr">
        <is>
          <t>امتحان</t>
        </is>
      </c>
      <c r="DB29" s="167" t="inlineStr">
        <is>
          <t>كويز</t>
        </is>
      </c>
      <c r="DC29" s="168" t="inlineStr">
        <is>
          <t>امتحان</t>
        </is>
      </c>
      <c r="DD29" s="64" t="inlineStr">
        <is>
          <t>ملاحظات</t>
        </is>
      </c>
      <c r="DE29" s="169" t="inlineStr">
        <is>
          <t>كويز</t>
        </is>
      </c>
      <c r="DF29" s="170" t="inlineStr">
        <is>
          <t>امتحان</t>
        </is>
      </c>
      <c r="DG29" s="169" t="inlineStr">
        <is>
          <t>كويز</t>
        </is>
      </c>
      <c r="DH29" s="170" t="inlineStr">
        <is>
          <t>امتحان</t>
        </is>
      </c>
      <c r="DI29" s="169" t="inlineStr">
        <is>
          <t>كويز</t>
        </is>
      </c>
      <c r="DJ29" s="170" t="inlineStr">
        <is>
          <t>امتحان</t>
        </is>
      </c>
      <c r="DK29" s="169" t="inlineStr">
        <is>
          <t>كويز</t>
        </is>
      </c>
      <c r="DL29" s="170" t="inlineStr">
        <is>
          <t>امتحان</t>
        </is>
      </c>
      <c r="DM29" s="169" t="inlineStr">
        <is>
          <t>كويز</t>
        </is>
      </c>
      <c r="DN29" s="170" t="inlineStr">
        <is>
          <t>امتحان</t>
        </is>
      </c>
      <c r="DO29" s="169" t="inlineStr">
        <is>
          <t>كويز</t>
        </is>
      </c>
      <c r="DP29" s="170" t="inlineStr">
        <is>
          <t>امتحان</t>
        </is>
      </c>
      <c r="DQ29" s="169" t="inlineStr">
        <is>
          <t>كويز</t>
        </is>
      </c>
      <c r="DR29" s="170" t="inlineStr">
        <is>
          <t>امتحان</t>
        </is>
      </c>
      <c r="DS29" s="169" t="inlineStr">
        <is>
          <t>كويز</t>
        </is>
      </c>
      <c r="DT29" s="170" t="inlineStr">
        <is>
          <t>امتحان</t>
        </is>
      </c>
      <c r="DU29" s="65" t="inlineStr">
        <is>
          <t>ملاحظات</t>
        </is>
      </c>
      <c r="DV29" s="171" t="inlineStr">
        <is>
          <t>كويز</t>
        </is>
      </c>
      <c r="DW29" s="172" t="inlineStr">
        <is>
          <t>امتحان</t>
        </is>
      </c>
      <c r="DX29" s="171" t="inlineStr">
        <is>
          <t>كويز</t>
        </is>
      </c>
      <c r="DY29" s="172" t="inlineStr">
        <is>
          <t>امتحان</t>
        </is>
      </c>
      <c r="DZ29" s="171" t="inlineStr">
        <is>
          <t>كويز</t>
        </is>
      </c>
      <c r="EA29" s="172" t="inlineStr">
        <is>
          <t>امتحان</t>
        </is>
      </c>
      <c r="EB29" s="171" t="inlineStr">
        <is>
          <t>كويز</t>
        </is>
      </c>
      <c r="EC29" s="172" t="inlineStr">
        <is>
          <t>امتحان</t>
        </is>
      </c>
      <c r="ED29" s="171" t="inlineStr">
        <is>
          <t>كويز</t>
        </is>
      </c>
      <c r="EE29" s="172" t="inlineStr">
        <is>
          <t>امتحان</t>
        </is>
      </c>
      <c r="EF29" s="171" t="inlineStr">
        <is>
          <t>كويز</t>
        </is>
      </c>
      <c r="EG29" s="172" t="inlineStr">
        <is>
          <t>امتحان</t>
        </is>
      </c>
      <c r="EH29" s="171" t="inlineStr">
        <is>
          <t>كويز</t>
        </is>
      </c>
      <c r="EI29" s="172" t="inlineStr">
        <is>
          <t>امتحان</t>
        </is>
      </c>
      <c r="EJ29" s="171" t="inlineStr">
        <is>
          <t>كويز</t>
        </is>
      </c>
      <c r="EK29" s="172" t="inlineStr">
        <is>
          <t>امتحان</t>
        </is>
      </c>
      <c r="EL29" s="66" t="inlineStr">
        <is>
          <t>ملاحظات</t>
        </is>
      </c>
      <c r="EM29" s="173" t="inlineStr">
        <is>
          <t>كويز</t>
        </is>
      </c>
      <c r="EN29" s="174" t="inlineStr">
        <is>
          <t>امتحان</t>
        </is>
      </c>
      <c r="EO29" s="173" t="inlineStr">
        <is>
          <t>كويز</t>
        </is>
      </c>
      <c r="EP29" s="174" t="inlineStr">
        <is>
          <t>امتحان</t>
        </is>
      </c>
      <c r="EQ29" s="173" t="inlineStr">
        <is>
          <t>كويز</t>
        </is>
      </c>
      <c r="ER29" s="174" t="inlineStr">
        <is>
          <t>امتحان</t>
        </is>
      </c>
      <c r="ES29" s="173" t="inlineStr">
        <is>
          <t>كويز</t>
        </is>
      </c>
      <c r="ET29" s="174" t="inlineStr">
        <is>
          <t>امتحان</t>
        </is>
      </c>
      <c r="EU29" s="173" t="inlineStr">
        <is>
          <t>كويز</t>
        </is>
      </c>
      <c r="EV29" s="174" t="inlineStr">
        <is>
          <t>امتحان</t>
        </is>
      </c>
      <c r="EW29" s="173" t="inlineStr">
        <is>
          <t>كويز</t>
        </is>
      </c>
      <c r="EX29" s="174" t="inlineStr">
        <is>
          <t>امتحان</t>
        </is>
      </c>
      <c r="EY29" s="173" t="inlineStr">
        <is>
          <t>كويز</t>
        </is>
      </c>
      <c r="EZ29" s="174" t="inlineStr">
        <is>
          <t>امتحان</t>
        </is>
      </c>
      <c r="FA29" s="173" t="inlineStr">
        <is>
          <t>كويز</t>
        </is>
      </c>
      <c r="FB29" s="174" t="inlineStr">
        <is>
          <t>امتحان</t>
        </is>
      </c>
      <c r="FC29" s="67" t="inlineStr">
        <is>
          <t>ملاحظات</t>
        </is>
      </c>
      <c r="FD29" s="175" t="inlineStr">
        <is>
          <t>كويز</t>
        </is>
      </c>
      <c r="FE29" s="176" t="inlineStr">
        <is>
          <t>امتحان</t>
        </is>
      </c>
      <c r="FF29" s="175" t="inlineStr">
        <is>
          <t>كويز</t>
        </is>
      </c>
      <c r="FG29" s="176" t="inlineStr">
        <is>
          <t>امتحان</t>
        </is>
      </c>
      <c r="FH29" s="175" t="inlineStr">
        <is>
          <t>كويز</t>
        </is>
      </c>
      <c r="FI29" s="176" t="inlineStr">
        <is>
          <t>امتحان</t>
        </is>
      </c>
      <c r="FJ29" s="175" t="inlineStr">
        <is>
          <t>كويز</t>
        </is>
      </c>
      <c r="FK29" s="176" t="inlineStr">
        <is>
          <t>امتحان</t>
        </is>
      </c>
      <c r="FL29" s="175" t="inlineStr">
        <is>
          <t>كويز</t>
        </is>
      </c>
      <c r="FM29" s="176" t="inlineStr">
        <is>
          <t>امتحان</t>
        </is>
      </c>
      <c r="FN29" s="175" t="inlineStr">
        <is>
          <t>كويز</t>
        </is>
      </c>
      <c r="FO29" s="176" t="inlineStr">
        <is>
          <t>امتحان</t>
        </is>
      </c>
      <c r="FP29" s="175" t="inlineStr">
        <is>
          <t>كويز</t>
        </is>
      </c>
      <c r="FQ29" s="176" t="inlineStr">
        <is>
          <t>امتحان</t>
        </is>
      </c>
      <c r="FR29" s="175" t="inlineStr">
        <is>
          <t>كويز</t>
        </is>
      </c>
      <c r="FS29" s="176" t="inlineStr">
        <is>
          <t>امتحان</t>
        </is>
      </c>
      <c r="FT29" s="68" t="inlineStr">
        <is>
          <t>ملاحظات</t>
        </is>
      </c>
      <c r="FU29" s="177" t="inlineStr">
        <is>
          <t>كويز</t>
        </is>
      </c>
      <c r="FV29" s="178" t="inlineStr">
        <is>
          <t>امتحان</t>
        </is>
      </c>
      <c r="FW29" s="177" t="inlineStr">
        <is>
          <t>كويز</t>
        </is>
      </c>
      <c r="FX29" s="178" t="inlineStr">
        <is>
          <t>امتحان</t>
        </is>
      </c>
      <c r="FY29" s="177" t="inlineStr">
        <is>
          <t>كويز</t>
        </is>
      </c>
      <c r="FZ29" s="178" t="inlineStr">
        <is>
          <t>امتحان</t>
        </is>
      </c>
      <c r="GA29" s="177" t="inlineStr">
        <is>
          <t>كويز</t>
        </is>
      </c>
      <c r="GB29" s="178" t="inlineStr">
        <is>
          <t>امتحان</t>
        </is>
      </c>
      <c r="GC29" s="177" t="inlineStr">
        <is>
          <t>كويز</t>
        </is>
      </c>
      <c r="GD29" s="178" t="inlineStr">
        <is>
          <t>امتحان</t>
        </is>
      </c>
      <c r="GE29" s="177" t="inlineStr">
        <is>
          <t>كويز</t>
        </is>
      </c>
      <c r="GF29" s="178" t="inlineStr">
        <is>
          <t>امتحان</t>
        </is>
      </c>
      <c r="GG29" s="177" t="inlineStr">
        <is>
          <t>كويز</t>
        </is>
      </c>
      <c r="GH29" s="178" t="inlineStr">
        <is>
          <t>امتحان</t>
        </is>
      </c>
      <c r="GI29" s="177" t="inlineStr">
        <is>
          <t>كويز</t>
        </is>
      </c>
      <c r="GJ29" s="178" t="inlineStr">
        <is>
          <t>امتحان</t>
        </is>
      </c>
      <c r="GK29" s="69" t="inlineStr">
        <is>
          <t>ملاحظات</t>
        </is>
      </c>
      <c r="GL29" s="179" t="inlineStr">
        <is>
          <t>كويز</t>
        </is>
      </c>
      <c r="GM29" s="180" t="inlineStr">
        <is>
          <t>امتحان</t>
        </is>
      </c>
      <c r="GN29" s="179" t="inlineStr">
        <is>
          <t>كويز</t>
        </is>
      </c>
      <c r="GO29" s="180" t="inlineStr">
        <is>
          <t>امتحان</t>
        </is>
      </c>
      <c r="GP29" s="179" t="inlineStr">
        <is>
          <t>كويز</t>
        </is>
      </c>
      <c r="GQ29" s="180" t="inlineStr">
        <is>
          <t>امتحان</t>
        </is>
      </c>
      <c r="GR29" s="179" t="inlineStr">
        <is>
          <t>كويز</t>
        </is>
      </c>
      <c r="GS29" s="180" t="inlineStr">
        <is>
          <t>امتحان</t>
        </is>
      </c>
      <c r="GT29" s="179" t="inlineStr">
        <is>
          <t>كويز</t>
        </is>
      </c>
      <c r="GU29" s="180" t="inlineStr">
        <is>
          <t>امتحان</t>
        </is>
      </c>
      <c r="GV29" s="179" t="inlineStr">
        <is>
          <t>كويز</t>
        </is>
      </c>
      <c r="GW29" s="180" t="inlineStr">
        <is>
          <t>امتحان</t>
        </is>
      </c>
      <c r="GX29" s="179" t="inlineStr">
        <is>
          <t>كويز</t>
        </is>
      </c>
      <c r="GY29" s="180" t="inlineStr">
        <is>
          <t>امتحان</t>
        </is>
      </c>
      <c r="GZ29" s="179" t="inlineStr">
        <is>
          <t>كويز</t>
        </is>
      </c>
      <c r="HA29" s="180" t="inlineStr">
        <is>
          <t>امتحان</t>
        </is>
      </c>
      <c r="HB29" s="70" t="inlineStr">
        <is>
          <t>ملاحظات</t>
        </is>
      </c>
    </row>
    <row r="30" ht="22.5" customHeight="1">
      <c r="A30" s="36" t="n">
        <v>1</v>
      </c>
      <c r="B30" s="181" t="str">
        <f>IF($B5="","",$B5)</f>
        <v/>
      </c>
      <c r="C30" s="136" t="str">
        <f>IF(OR($B30="",$HD30=0),"",ROUND($HC30,2)&amp;" / "&amp;$HD30)</f>
        <v/>
      </c>
      <c r="D30" s="182" t="str">
        <f>IF(OR($B30="",$HD30=0),"",$HC30/$HD30)</f>
        <v/>
      </c>
      <c r="E30" s="98" t="str">
        <f>IF($D30="","",RANK($D30,$D$30:$D$44))</f>
        <v/>
      </c>
      <c r="F30" s="99" t="str">
        <f>IF($D30="","",IF($D30&gt;=0.85,"ممتاز",IF($D30&gt;=0.75,"جيد جداً",IF($D30&gt;=0.65,"جيد",IF($D30&gt;=0.5,"مقبول","ضعيف")))))</f>
        <v/>
      </c>
      <c r="G30" s="100" t="n"/>
      <c r="H30" s="101" t="n"/>
      <c r="I30" s="100" t="n"/>
      <c r="J30" s="101" t="n"/>
      <c r="K30" s="100" t="n"/>
      <c r="L30" s="101" t="n"/>
      <c r="M30" s="100" t="n"/>
      <c r="N30" s="101" t="n"/>
      <c r="O30" s="100" t="n"/>
      <c r="P30" s="101" t="n"/>
      <c r="Q30" s="100" t="n"/>
      <c r="R30" s="101" t="n"/>
      <c r="S30" s="100" t="n"/>
      <c r="T30" s="101" t="n"/>
      <c r="U30" s="100" t="n"/>
      <c r="V30" s="101" t="n"/>
      <c r="W30" s="183" t="n"/>
      <c r="X30" s="103" t="n"/>
      <c r="Y30" s="104" t="n"/>
      <c r="Z30" s="103" t="n"/>
      <c r="AA30" s="104" t="n"/>
      <c r="AB30" s="103" t="n"/>
      <c r="AC30" s="104" t="n"/>
      <c r="AD30" s="103" t="n"/>
      <c r="AE30" s="104" t="n"/>
      <c r="AF30" s="103" t="n"/>
      <c r="AG30" s="104" t="n"/>
      <c r="AH30" s="103" t="n"/>
      <c r="AI30" s="104" t="n"/>
      <c r="AJ30" s="103" t="n"/>
      <c r="AK30" s="104" t="n"/>
      <c r="AL30" s="103" t="n"/>
      <c r="AM30" s="104" t="n"/>
      <c r="AN30" s="184" t="n"/>
      <c r="AO30" s="106" t="n"/>
      <c r="AP30" s="107" t="n"/>
      <c r="AQ30" s="106" t="n"/>
      <c r="AR30" s="107" t="n"/>
      <c r="AS30" s="106" t="n"/>
      <c r="AT30" s="107" t="n"/>
      <c r="AU30" s="106" t="n"/>
      <c r="AV30" s="107" t="n"/>
      <c r="AW30" s="106" t="n"/>
      <c r="AX30" s="107" t="n"/>
      <c r="AY30" s="106" t="n"/>
      <c r="AZ30" s="107" t="n"/>
      <c r="BA30" s="106" t="n"/>
      <c r="BB30" s="107" t="n"/>
      <c r="BC30" s="106" t="n"/>
      <c r="BD30" s="107" t="n"/>
      <c r="BE30" s="185" t="n"/>
      <c r="BF30" s="109" t="n"/>
      <c r="BG30" s="110" t="n"/>
      <c r="BH30" s="109" t="n"/>
      <c r="BI30" s="110" t="n"/>
      <c r="BJ30" s="109" t="n"/>
      <c r="BK30" s="110" t="n"/>
      <c r="BL30" s="109" t="n"/>
      <c r="BM30" s="110" t="n"/>
      <c r="BN30" s="109" t="n"/>
      <c r="BO30" s="110" t="n"/>
      <c r="BP30" s="109" t="n"/>
      <c r="BQ30" s="110" t="n"/>
      <c r="BR30" s="109" t="n"/>
      <c r="BS30" s="110" t="n"/>
      <c r="BT30" s="109" t="n"/>
      <c r="BU30" s="110" t="n"/>
      <c r="BV30" s="186" t="n"/>
      <c r="BW30" s="112" t="n"/>
      <c r="BX30" s="113" t="n"/>
      <c r="BY30" s="112" t="n"/>
      <c r="BZ30" s="113" t="n"/>
      <c r="CA30" s="112" t="n"/>
      <c r="CB30" s="113" t="n"/>
      <c r="CC30" s="112" t="n"/>
      <c r="CD30" s="113" t="n"/>
      <c r="CE30" s="112" t="n"/>
      <c r="CF30" s="113" t="n"/>
      <c r="CG30" s="112" t="n"/>
      <c r="CH30" s="113" t="n"/>
      <c r="CI30" s="112" t="n"/>
      <c r="CJ30" s="113" t="n"/>
      <c r="CK30" s="112" t="n"/>
      <c r="CL30" s="113" t="n"/>
      <c r="CM30" s="187" t="n"/>
      <c r="CN30" s="115" t="n"/>
      <c r="CO30" s="116" t="n"/>
      <c r="CP30" s="115" t="n"/>
      <c r="CQ30" s="116" t="n"/>
      <c r="CR30" s="115" t="n"/>
      <c r="CS30" s="116" t="n"/>
      <c r="CT30" s="115" t="n"/>
      <c r="CU30" s="116" t="n"/>
      <c r="CV30" s="115" t="n"/>
      <c r="CW30" s="116" t="n"/>
      <c r="CX30" s="115" t="n"/>
      <c r="CY30" s="116" t="n"/>
      <c r="CZ30" s="115" t="n"/>
      <c r="DA30" s="116" t="n"/>
      <c r="DB30" s="115" t="n"/>
      <c r="DC30" s="116" t="n"/>
      <c r="DD30" s="188" t="n"/>
      <c r="DE30" s="118" t="n"/>
      <c r="DF30" s="119" t="n"/>
      <c r="DG30" s="118" t="n"/>
      <c r="DH30" s="119" t="n"/>
      <c r="DI30" s="118" t="n"/>
      <c r="DJ30" s="119" t="n"/>
      <c r="DK30" s="118" t="n"/>
      <c r="DL30" s="119" t="n"/>
      <c r="DM30" s="118" t="n"/>
      <c r="DN30" s="119" t="n"/>
      <c r="DO30" s="118" t="n"/>
      <c r="DP30" s="119" t="n"/>
      <c r="DQ30" s="118" t="n"/>
      <c r="DR30" s="119" t="n"/>
      <c r="DS30" s="118" t="n"/>
      <c r="DT30" s="119" t="n"/>
      <c r="DU30" s="189" t="n"/>
      <c r="DV30" s="121" t="n"/>
      <c r="DW30" s="122" t="n"/>
      <c r="DX30" s="121" t="n"/>
      <c r="DY30" s="122" t="n"/>
      <c r="DZ30" s="121" t="n"/>
      <c r="EA30" s="122" t="n"/>
      <c r="EB30" s="121" t="n"/>
      <c r="EC30" s="122" t="n"/>
      <c r="ED30" s="121" t="n"/>
      <c r="EE30" s="122" t="n"/>
      <c r="EF30" s="121" t="n"/>
      <c r="EG30" s="122" t="n"/>
      <c r="EH30" s="121" t="n"/>
      <c r="EI30" s="122" t="n"/>
      <c r="EJ30" s="121" t="n"/>
      <c r="EK30" s="122" t="n"/>
      <c r="EL30" s="190" t="n"/>
      <c r="EM30" s="124" t="n"/>
      <c r="EN30" s="125" t="n"/>
      <c r="EO30" s="124" t="n"/>
      <c r="EP30" s="125" t="n"/>
      <c r="EQ30" s="124" t="n"/>
      <c r="ER30" s="125" t="n"/>
      <c r="ES30" s="124" t="n"/>
      <c r="ET30" s="125" t="n"/>
      <c r="EU30" s="124" t="n"/>
      <c r="EV30" s="125" t="n"/>
      <c r="EW30" s="124" t="n"/>
      <c r="EX30" s="125" t="n"/>
      <c r="EY30" s="124" t="n"/>
      <c r="EZ30" s="125" t="n"/>
      <c r="FA30" s="124" t="n"/>
      <c r="FB30" s="125" t="n"/>
      <c r="FC30" s="191" t="n"/>
      <c r="FD30" s="127" t="n"/>
      <c r="FE30" s="128" t="n"/>
      <c r="FF30" s="127" t="n"/>
      <c r="FG30" s="128" t="n"/>
      <c r="FH30" s="127" t="n"/>
      <c r="FI30" s="128" t="n"/>
      <c r="FJ30" s="127" t="n"/>
      <c r="FK30" s="128" t="n"/>
      <c r="FL30" s="127" t="n"/>
      <c r="FM30" s="128" t="n"/>
      <c r="FN30" s="127" t="n"/>
      <c r="FO30" s="128" t="n"/>
      <c r="FP30" s="127" t="n"/>
      <c r="FQ30" s="128" t="n"/>
      <c r="FR30" s="127" t="n"/>
      <c r="FS30" s="128" t="n"/>
      <c r="FT30" s="192" t="n"/>
      <c r="FU30" s="130" t="n"/>
      <c r="FV30" s="131" t="n"/>
      <c r="FW30" s="130" t="n"/>
      <c r="FX30" s="131" t="n"/>
      <c r="FY30" s="130" t="n"/>
      <c r="FZ30" s="131" t="n"/>
      <c r="GA30" s="130" t="n"/>
      <c r="GB30" s="131" t="n"/>
      <c r="GC30" s="130" t="n"/>
      <c r="GD30" s="131" t="n"/>
      <c r="GE30" s="130" t="n"/>
      <c r="GF30" s="131" t="n"/>
      <c r="GG30" s="130" t="n"/>
      <c r="GH30" s="131" t="n"/>
      <c r="GI30" s="130" t="n"/>
      <c r="GJ30" s="131" t="n"/>
      <c r="GK30" s="193" t="n"/>
      <c r="GL30" s="133" t="n"/>
      <c r="GM30" s="134" t="n"/>
      <c r="GN30" s="133" t="n"/>
      <c r="GO30" s="134" t="n"/>
      <c r="GP30" s="133" t="n"/>
      <c r="GQ30" s="134" t="n"/>
      <c r="GR30" s="133" t="n"/>
      <c r="GS30" s="134" t="n"/>
      <c r="GT30" s="133" t="n"/>
      <c r="GU30" s="134" t="n"/>
      <c r="GV30" s="133" t="n"/>
      <c r="GW30" s="134" t="n"/>
      <c r="GX30" s="133" t="n"/>
      <c r="GY30" s="134" t="n"/>
      <c r="GZ30" s="133" t="n"/>
      <c r="HA30" s="134" t="n"/>
      <c r="HB30" s="194" t="n"/>
      <c r="HC30">
        <f>SUMIFS($G30:$HB30,$G$46:$HB$46,"&gt;="&amp;$HD$1,$G$46:$HB$46,"&lt;="&amp;$HD$2,$G$29:$HB$29,"&lt;&gt;ملاحظات",$G$28:$HB$28,"&gt;0")</f>
        <v>0</v>
      </c>
      <c r="HD30">
        <f>SUMIFS($G$28:$HB$28,$G$46:$HB$46,"&gt;="&amp;$HD$1,$G$46:$HB$46,"&lt;="&amp;$HD$2,$G$29:$HB$29,"&lt;&gt;ملاحظات",$G30:$HB30,"&gt;=0")</f>
        <v>0</v>
      </c>
    </row>
    <row r="31" ht="22.5" customHeight="1">
      <c r="A31" s="36" t="n">
        <v>2</v>
      </c>
      <c r="B31" s="181" t="str">
        <f>IF($B6="","",$B6)</f>
        <v/>
      </c>
      <c r="C31" s="136" t="str">
        <f>IF(OR($B31="",$HD31=0),"",ROUND($HC31,2)&amp;" / "&amp;$HD31)</f>
        <v/>
      </c>
      <c r="D31" s="182" t="str">
        <f>IF(OR($B31="",$HD31=0),"",$HC31/$HD31)</f>
        <v/>
      </c>
      <c r="E31" s="98" t="str">
        <f>IF($D31="","",RANK($D31,$D$30:$D$44))</f>
        <v/>
      </c>
      <c r="F31" s="99" t="str">
        <f>IF($D31="","",IF($D31&gt;=0.85,"ممتاز",IF($D31&gt;=0.75,"جيد جداً",IF($D31&gt;=0.65,"جيد",IF($D31&gt;=0.5,"مقبول","ضعيف")))))</f>
        <v/>
      </c>
      <c r="G31" s="100" t="n"/>
      <c r="H31" s="101" t="n"/>
      <c r="I31" s="100" t="n"/>
      <c r="J31" s="101" t="n"/>
      <c r="K31" s="100" t="n"/>
      <c r="L31" s="101" t="n"/>
      <c r="M31" s="100" t="n"/>
      <c r="N31" s="101" t="n"/>
      <c r="O31" s="100" t="n"/>
      <c r="P31" s="101" t="n"/>
      <c r="Q31" s="100" t="n"/>
      <c r="R31" s="101" t="n"/>
      <c r="S31" s="100" t="n"/>
      <c r="T31" s="101" t="n"/>
      <c r="U31" s="100" t="n"/>
      <c r="V31" s="101" t="n"/>
      <c r="W31" s="183" t="n"/>
      <c r="X31" s="103" t="n"/>
      <c r="Y31" s="104" t="n"/>
      <c r="Z31" s="103" t="n"/>
      <c r="AA31" s="104" t="n"/>
      <c r="AB31" s="103" t="n"/>
      <c r="AC31" s="104" t="n"/>
      <c r="AD31" s="103" t="n"/>
      <c r="AE31" s="104" t="n"/>
      <c r="AF31" s="103" t="n"/>
      <c r="AG31" s="104" t="n"/>
      <c r="AH31" s="103" t="n"/>
      <c r="AI31" s="104" t="n"/>
      <c r="AJ31" s="103" t="n"/>
      <c r="AK31" s="104" t="n"/>
      <c r="AL31" s="103" t="n"/>
      <c r="AM31" s="104" t="n"/>
      <c r="AN31" s="184" t="n"/>
      <c r="AO31" s="106" t="n"/>
      <c r="AP31" s="107" t="n"/>
      <c r="AQ31" s="106" t="n"/>
      <c r="AR31" s="107" t="n"/>
      <c r="AS31" s="106" t="n"/>
      <c r="AT31" s="107" t="n"/>
      <c r="AU31" s="106" t="n"/>
      <c r="AV31" s="107" t="n"/>
      <c r="AW31" s="106" t="n"/>
      <c r="AX31" s="107" t="n"/>
      <c r="AY31" s="106" t="n"/>
      <c r="AZ31" s="107" t="n"/>
      <c r="BA31" s="106" t="n"/>
      <c r="BB31" s="107" t="n"/>
      <c r="BC31" s="106" t="n"/>
      <c r="BD31" s="107" t="n"/>
      <c r="BE31" s="185" t="n"/>
      <c r="BF31" s="109" t="n"/>
      <c r="BG31" s="110" t="n"/>
      <c r="BH31" s="109" t="n"/>
      <c r="BI31" s="110" t="n"/>
      <c r="BJ31" s="109" t="n"/>
      <c r="BK31" s="110" t="n"/>
      <c r="BL31" s="109" t="n"/>
      <c r="BM31" s="110" t="n"/>
      <c r="BN31" s="109" t="n"/>
      <c r="BO31" s="110" t="n"/>
      <c r="BP31" s="109" t="n"/>
      <c r="BQ31" s="110" t="n"/>
      <c r="BR31" s="109" t="n"/>
      <c r="BS31" s="110" t="n"/>
      <c r="BT31" s="109" t="n"/>
      <c r="BU31" s="110" t="n"/>
      <c r="BV31" s="186" t="n"/>
      <c r="BW31" s="112" t="n"/>
      <c r="BX31" s="113" t="n"/>
      <c r="BY31" s="112" t="n"/>
      <c r="BZ31" s="113" t="n"/>
      <c r="CA31" s="112" t="n"/>
      <c r="CB31" s="113" t="n"/>
      <c r="CC31" s="112" t="n"/>
      <c r="CD31" s="113" t="n"/>
      <c r="CE31" s="112" t="n"/>
      <c r="CF31" s="113" t="n"/>
      <c r="CG31" s="112" t="n"/>
      <c r="CH31" s="113" t="n"/>
      <c r="CI31" s="112" t="n"/>
      <c r="CJ31" s="113" t="n"/>
      <c r="CK31" s="112" t="n"/>
      <c r="CL31" s="113" t="n"/>
      <c r="CM31" s="187" t="n"/>
      <c r="CN31" s="115" t="n"/>
      <c r="CO31" s="116" t="n"/>
      <c r="CP31" s="115" t="n"/>
      <c r="CQ31" s="116" t="n"/>
      <c r="CR31" s="115" t="n"/>
      <c r="CS31" s="116" t="n"/>
      <c r="CT31" s="115" t="n"/>
      <c r="CU31" s="116" t="n"/>
      <c r="CV31" s="115" t="n"/>
      <c r="CW31" s="116" t="n"/>
      <c r="CX31" s="115" t="n"/>
      <c r="CY31" s="116" t="n"/>
      <c r="CZ31" s="115" t="n"/>
      <c r="DA31" s="116" t="n"/>
      <c r="DB31" s="115" t="n"/>
      <c r="DC31" s="116" t="n"/>
      <c r="DD31" s="188" t="n"/>
      <c r="DE31" s="118" t="n"/>
      <c r="DF31" s="119" t="n"/>
      <c r="DG31" s="118" t="n"/>
      <c r="DH31" s="119" t="n"/>
      <c r="DI31" s="118" t="n"/>
      <c r="DJ31" s="119" t="n"/>
      <c r="DK31" s="118" t="n"/>
      <c r="DL31" s="119" t="n"/>
      <c r="DM31" s="118" t="n"/>
      <c r="DN31" s="119" t="n"/>
      <c r="DO31" s="118" t="n"/>
      <c r="DP31" s="119" t="n"/>
      <c r="DQ31" s="118" t="n"/>
      <c r="DR31" s="119" t="n"/>
      <c r="DS31" s="118" t="n"/>
      <c r="DT31" s="119" t="n"/>
      <c r="DU31" s="189" t="n"/>
      <c r="DV31" s="121" t="n"/>
      <c r="DW31" s="122" t="n"/>
      <c r="DX31" s="121" t="n"/>
      <c r="DY31" s="122" t="n"/>
      <c r="DZ31" s="121" t="n"/>
      <c r="EA31" s="122" t="n"/>
      <c r="EB31" s="121" t="n"/>
      <c r="EC31" s="122" t="n"/>
      <c r="ED31" s="121" t="n"/>
      <c r="EE31" s="122" t="n"/>
      <c r="EF31" s="121" t="n"/>
      <c r="EG31" s="122" t="n"/>
      <c r="EH31" s="121" t="n"/>
      <c r="EI31" s="122" t="n"/>
      <c r="EJ31" s="121" t="n"/>
      <c r="EK31" s="122" t="n"/>
      <c r="EL31" s="190" t="n"/>
      <c r="EM31" s="124" t="n"/>
      <c r="EN31" s="125" t="n"/>
      <c r="EO31" s="124" t="n"/>
      <c r="EP31" s="125" t="n"/>
      <c r="EQ31" s="124" t="n"/>
      <c r="ER31" s="125" t="n"/>
      <c r="ES31" s="124" t="n"/>
      <c r="ET31" s="125" t="n"/>
      <c r="EU31" s="124" t="n"/>
      <c r="EV31" s="125" t="n"/>
      <c r="EW31" s="124" t="n"/>
      <c r="EX31" s="125" t="n"/>
      <c r="EY31" s="124" t="n"/>
      <c r="EZ31" s="125" t="n"/>
      <c r="FA31" s="124" t="n"/>
      <c r="FB31" s="125" t="n"/>
      <c r="FC31" s="191" t="n"/>
      <c r="FD31" s="127" t="n"/>
      <c r="FE31" s="128" t="n"/>
      <c r="FF31" s="127" t="n"/>
      <c r="FG31" s="128" t="n"/>
      <c r="FH31" s="127" t="n"/>
      <c r="FI31" s="128" t="n"/>
      <c r="FJ31" s="127" t="n"/>
      <c r="FK31" s="128" t="n"/>
      <c r="FL31" s="127" t="n"/>
      <c r="FM31" s="128" t="n"/>
      <c r="FN31" s="127" t="n"/>
      <c r="FO31" s="128" t="n"/>
      <c r="FP31" s="127" t="n"/>
      <c r="FQ31" s="128" t="n"/>
      <c r="FR31" s="127" t="n"/>
      <c r="FS31" s="128" t="n"/>
      <c r="FT31" s="192" t="n"/>
      <c r="FU31" s="130" t="n"/>
      <c r="FV31" s="131" t="n"/>
      <c r="FW31" s="130" t="n"/>
      <c r="FX31" s="131" t="n"/>
      <c r="FY31" s="130" t="n"/>
      <c r="FZ31" s="131" t="n"/>
      <c r="GA31" s="130" t="n"/>
      <c r="GB31" s="131" t="n"/>
      <c r="GC31" s="130" t="n"/>
      <c r="GD31" s="131" t="n"/>
      <c r="GE31" s="130" t="n"/>
      <c r="GF31" s="131" t="n"/>
      <c r="GG31" s="130" t="n"/>
      <c r="GH31" s="131" t="n"/>
      <c r="GI31" s="130" t="n"/>
      <c r="GJ31" s="131" t="n"/>
      <c r="GK31" s="193" t="n"/>
      <c r="GL31" s="133" t="n"/>
      <c r="GM31" s="134" t="n"/>
      <c r="GN31" s="133" t="n"/>
      <c r="GO31" s="134" t="n"/>
      <c r="GP31" s="133" t="n"/>
      <c r="GQ31" s="134" t="n"/>
      <c r="GR31" s="133" t="n"/>
      <c r="GS31" s="134" t="n"/>
      <c r="GT31" s="133" t="n"/>
      <c r="GU31" s="134" t="n"/>
      <c r="GV31" s="133" t="n"/>
      <c r="GW31" s="134" t="n"/>
      <c r="GX31" s="133" t="n"/>
      <c r="GY31" s="134" t="n"/>
      <c r="GZ31" s="133" t="n"/>
      <c r="HA31" s="134" t="n"/>
      <c r="HB31" s="194" t="n"/>
      <c r="HC31">
        <f>SUMIFS($G31:$HB31,$G$46:$HB$46,"&gt;="&amp;$HD$1,$G$46:$HB$46,"&lt;="&amp;$HD$2,$G$29:$HB$29,"&lt;&gt;ملاحظات",$G$28:$HB$28,"&gt;0")</f>
        <v>0</v>
      </c>
      <c r="HD31">
        <f>SUMIFS($G$28:$HB$28,$G$46:$HB$46,"&gt;="&amp;$HD$1,$G$46:$HB$46,"&lt;="&amp;$HD$2,$G$29:$HB$29,"&lt;&gt;ملاحظات",$G31:$HB31,"&gt;=0")</f>
        <v>0</v>
      </c>
    </row>
    <row r="32" ht="22.5" customHeight="1">
      <c r="A32" s="36" t="n">
        <v>3</v>
      </c>
      <c r="B32" s="181" t="str">
        <f>IF($B7="","",$B7)</f>
        <v/>
      </c>
      <c r="C32" s="136" t="str">
        <f>IF(OR($B32="",$HD32=0),"",ROUND($HC32,2)&amp;" / "&amp;$HD32)</f>
        <v/>
      </c>
      <c r="D32" s="182" t="str">
        <f>IF(OR($B32="",$HD32=0),"",$HC32/$HD32)</f>
        <v/>
      </c>
      <c r="E32" s="98" t="str">
        <f>IF($D32="","",RANK($D32,$D$30:$D$44))</f>
        <v/>
      </c>
      <c r="F32" s="99" t="str">
        <f>IF($D32="","",IF($D32&gt;=0.85,"ممتاز",IF($D32&gt;=0.75,"جيد جداً",IF($D32&gt;=0.65,"جيد",IF($D32&gt;=0.5,"مقبول","ضعيف")))))</f>
        <v/>
      </c>
      <c r="G32" s="100" t="n"/>
      <c r="H32" s="101" t="n"/>
      <c r="I32" s="100" t="n"/>
      <c r="J32" s="101" t="n"/>
      <c r="K32" s="100" t="n"/>
      <c r="L32" s="101" t="n"/>
      <c r="M32" s="100" t="n"/>
      <c r="N32" s="101" t="n"/>
      <c r="O32" s="100" t="n"/>
      <c r="P32" s="101" t="n"/>
      <c r="Q32" s="100" t="n"/>
      <c r="R32" s="101" t="n"/>
      <c r="S32" s="100" t="n"/>
      <c r="T32" s="101" t="n"/>
      <c r="U32" s="100" t="n"/>
      <c r="V32" s="101" t="n"/>
      <c r="W32" s="183" t="n"/>
      <c r="X32" s="103" t="n"/>
      <c r="Y32" s="104" t="n"/>
      <c r="Z32" s="103" t="n"/>
      <c r="AA32" s="104" t="n"/>
      <c r="AB32" s="103" t="n"/>
      <c r="AC32" s="104" t="n"/>
      <c r="AD32" s="103" t="n"/>
      <c r="AE32" s="104" t="n"/>
      <c r="AF32" s="103" t="n"/>
      <c r="AG32" s="104" t="n"/>
      <c r="AH32" s="103" t="n"/>
      <c r="AI32" s="104" t="n"/>
      <c r="AJ32" s="103" t="n"/>
      <c r="AK32" s="104" t="n"/>
      <c r="AL32" s="103" t="n"/>
      <c r="AM32" s="104" t="n"/>
      <c r="AN32" s="184" t="n"/>
      <c r="AO32" s="106" t="n"/>
      <c r="AP32" s="107" t="n"/>
      <c r="AQ32" s="106" t="n"/>
      <c r="AR32" s="107" t="n"/>
      <c r="AS32" s="106" t="n"/>
      <c r="AT32" s="107" t="n"/>
      <c r="AU32" s="106" t="n"/>
      <c r="AV32" s="107" t="n"/>
      <c r="AW32" s="106" t="n"/>
      <c r="AX32" s="107" t="n"/>
      <c r="AY32" s="106" t="n"/>
      <c r="AZ32" s="107" t="n"/>
      <c r="BA32" s="106" t="n"/>
      <c r="BB32" s="107" t="n"/>
      <c r="BC32" s="106" t="n"/>
      <c r="BD32" s="107" t="n"/>
      <c r="BE32" s="185" t="n"/>
      <c r="BF32" s="109" t="n"/>
      <c r="BG32" s="110" t="n"/>
      <c r="BH32" s="109" t="n"/>
      <c r="BI32" s="110" t="n"/>
      <c r="BJ32" s="109" t="n"/>
      <c r="BK32" s="110" t="n"/>
      <c r="BL32" s="109" t="n"/>
      <c r="BM32" s="110" t="n"/>
      <c r="BN32" s="109" t="n"/>
      <c r="BO32" s="110" t="n"/>
      <c r="BP32" s="109" t="n"/>
      <c r="BQ32" s="110" t="n"/>
      <c r="BR32" s="109" t="n"/>
      <c r="BS32" s="110" t="n"/>
      <c r="BT32" s="109" t="n"/>
      <c r="BU32" s="110" t="n"/>
      <c r="BV32" s="186" t="n"/>
      <c r="BW32" s="112" t="n"/>
      <c r="BX32" s="113" t="n"/>
      <c r="BY32" s="112" t="n"/>
      <c r="BZ32" s="113" t="n"/>
      <c r="CA32" s="112" t="n"/>
      <c r="CB32" s="113" t="n"/>
      <c r="CC32" s="112" t="n"/>
      <c r="CD32" s="113" t="n"/>
      <c r="CE32" s="112" t="n"/>
      <c r="CF32" s="113" t="n"/>
      <c r="CG32" s="112" t="n"/>
      <c r="CH32" s="113" t="n"/>
      <c r="CI32" s="112" t="n"/>
      <c r="CJ32" s="113" t="n"/>
      <c r="CK32" s="112" t="n"/>
      <c r="CL32" s="113" t="n"/>
      <c r="CM32" s="187" t="n"/>
      <c r="CN32" s="115" t="n"/>
      <c r="CO32" s="116" t="n"/>
      <c r="CP32" s="115" t="n"/>
      <c r="CQ32" s="116" t="n"/>
      <c r="CR32" s="115" t="n"/>
      <c r="CS32" s="116" t="n"/>
      <c r="CT32" s="115" t="n"/>
      <c r="CU32" s="116" t="n"/>
      <c r="CV32" s="115" t="n"/>
      <c r="CW32" s="116" t="n"/>
      <c r="CX32" s="115" t="n"/>
      <c r="CY32" s="116" t="n"/>
      <c r="CZ32" s="115" t="n"/>
      <c r="DA32" s="116" t="n"/>
      <c r="DB32" s="115" t="n"/>
      <c r="DC32" s="116" t="n"/>
      <c r="DD32" s="188" t="n"/>
      <c r="DE32" s="118" t="n"/>
      <c r="DF32" s="119" t="n"/>
      <c r="DG32" s="118" t="n"/>
      <c r="DH32" s="119" t="n"/>
      <c r="DI32" s="118" t="n"/>
      <c r="DJ32" s="119" t="n"/>
      <c r="DK32" s="118" t="n"/>
      <c r="DL32" s="119" t="n"/>
      <c r="DM32" s="118" t="n"/>
      <c r="DN32" s="119" t="n"/>
      <c r="DO32" s="118" t="n"/>
      <c r="DP32" s="119" t="n"/>
      <c r="DQ32" s="118" t="n"/>
      <c r="DR32" s="119" t="n"/>
      <c r="DS32" s="118" t="n"/>
      <c r="DT32" s="119" t="n"/>
      <c r="DU32" s="189" t="n"/>
      <c r="DV32" s="121" t="n"/>
      <c r="DW32" s="122" t="n"/>
      <c r="DX32" s="121" t="n"/>
      <c r="DY32" s="122" t="n"/>
      <c r="DZ32" s="121" t="n"/>
      <c r="EA32" s="122" t="n"/>
      <c r="EB32" s="121" t="n"/>
      <c r="EC32" s="122" t="n"/>
      <c r="ED32" s="121" t="n"/>
      <c r="EE32" s="122" t="n"/>
      <c r="EF32" s="121" t="n"/>
      <c r="EG32" s="122" t="n"/>
      <c r="EH32" s="121" t="n"/>
      <c r="EI32" s="122" t="n"/>
      <c r="EJ32" s="121" t="n"/>
      <c r="EK32" s="122" t="n"/>
      <c r="EL32" s="190" t="n"/>
      <c r="EM32" s="124" t="n"/>
      <c r="EN32" s="125" t="n"/>
      <c r="EO32" s="124" t="n"/>
      <c r="EP32" s="125" t="n"/>
      <c r="EQ32" s="124" t="n"/>
      <c r="ER32" s="125" t="n"/>
      <c r="ES32" s="124" t="n"/>
      <c r="ET32" s="125" t="n"/>
      <c r="EU32" s="124" t="n"/>
      <c r="EV32" s="125" t="n"/>
      <c r="EW32" s="124" t="n"/>
      <c r="EX32" s="125" t="n"/>
      <c r="EY32" s="124" t="n"/>
      <c r="EZ32" s="125" t="n"/>
      <c r="FA32" s="124" t="n"/>
      <c r="FB32" s="125" t="n"/>
      <c r="FC32" s="191" t="n"/>
      <c r="FD32" s="127" t="n"/>
      <c r="FE32" s="128" t="n"/>
      <c r="FF32" s="127" t="n"/>
      <c r="FG32" s="128" t="n"/>
      <c r="FH32" s="127" t="n"/>
      <c r="FI32" s="128" t="n"/>
      <c r="FJ32" s="127" t="n"/>
      <c r="FK32" s="128" t="n"/>
      <c r="FL32" s="127" t="n"/>
      <c r="FM32" s="128" t="n"/>
      <c r="FN32" s="127" t="n"/>
      <c r="FO32" s="128" t="n"/>
      <c r="FP32" s="127" t="n"/>
      <c r="FQ32" s="128" t="n"/>
      <c r="FR32" s="127" t="n"/>
      <c r="FS32" s="128" t="n"/>
      <c r="FT32" s="192" t="n"/>
      <c r="FU32" s="130" t="n"/>
      <c r="FV32" s="131" t="n"/>
      <c r="FW32" s="130" t="n"/>
      <c r="FX32" s="131" t="n"/>
      <c r="FY32" s="130" t="n"/>
      <c r="FZ32" s="131" t="n"/>
      <c r="GA32" s="130" t="n"/>
      <c r="GB32" s="131" t="n"/>
      <c r="GC32" s="130" t="n"/>
      <c r="GD32" s="131" t="n"/>
      <c r="GE32" s="130" t="n"/>
      <c r="GF32" s="131" t="n"/>
      <c r="GG32" s="130" t="n"/>
      <c r="GH32" s="131" t="n"/>
      <c r="GI32" s="130" t="n"/>
      <c r="GJ32" s="131" t="n"/>
      <c r="GK32" s="193" t="n"/>
      <c r="GL32" s="133" t="n"/>
      <c r="GM32" s="134" t="n"/>
      <c r="GN32" s="133" t="n"/>
      <c r="GO32" s="134" t="n"/>
      <c r="GP32" s="133" t="n"/>
      <c r="GQ32" s="134" t="n"/>
      <c r="GR32" s="133" t="n"/>
      <c r="GS32" s="134" t="n"/>
      <c r="GT32" s="133" t="n"/>
      <c r="GU32" s="134" t="n"/>
      <c r="GV32" s="133" t="n"/>
      <c r="GW32" s="134" t="n"/>
      <c r="GX32" s="133" t="n"/>
      <c r="GY32" s="134" t="n"/>
      <c r="GZ32" s="133" t="n"/>
      <c r="HA32" s="134" t="n"/>
      <c r="HB32" s="194" t="n"/>
      <c r="HC32">
        <f>SUMIFS($G32:$HB32,$G$46:$HB$46,"&gt;="&amp;$HD$1,$G$46:$HB$46,"&lt;="&amp;$HD$2,$G$29:$HB$29,"&lt;&gt;ملاحظات",$G$28:$HB$28,"&gt;0")</f>
        <v>0</v>
      </c>
      <c r="HD32">
        <f>SUMIFS($G$28:$HB$28,$G$46:$HB$46,"&gt;="&amp;$HD$1,$G$46:$HB$46,"&lt;="&amp;$HD$2,$G$29:$HB$29,"&lt;&gt;ملاحظات",$G32:$HB32,"&gt;=0")</f>
        <v>0</v>
      </c>
    </row>
    <row r="33" ht="22.5" customHeight="1">
      <c r="A33" s="36" t="n">
        <v>4</v>
      </c>
      <c r="B33" s="181" t="str">
        <f>IF($B8="","",$B8)</f>
        <v/>
      </c>
      <c r="C33" s="136" t="str">
        <f>IF(OR($B33="",$HD33=0),"",ROUND($HC33,2)&amp;" / "&amp;$HD33)</f>
        <v/>
      </c>
      <c r="D33" s="182" t="str">
        <f>IF(OR($B33="",$HD33=0),"",$HC33/$HD33)</f>
        <v/>
      </c>
      <c r="E33" s="98" t="str">
        <f>IF($D33="","",RANK($D33,$D$30:$D$44))</f>
        <v/>
      </c>
      <c r="F33" s="99" t="str">
        <f>IF($D33="","",IF($D33&gt;=0.85,"ممتاز",IF($D33&gt;=0.75,"جيد جداً",IF($D33&gt;=0.65,"جيد",IF($D33&gt;=0.5,"مقبول","ضعيف")))))</f>
        <v/>
      </c>
      <c r="G33" s="100" t="n"/>
      <c r="H33" s="101" t="n"/>
      <c r="I33" s="100" t="n"/>
      <c r="J33" s="101" t="n"/>
      <c r="K33" s="100" t="n"/>
      <c r="L33" s="101" t="n"/>
      <c r="M33" s="100" t="n"/>
      <c r="N33" s="101" t="n"/>
      <c r="O33" s="100" t="n"/>
      <c r="P33" s="101" t="n"/>
      <c r="Q33" s="100" t="n"/>
      <c r="R33" s="101" t="n"/>
      <c r="S33" s="100" t="n"/>
      <c r="T33" s="101" t="n"/>
      <c r="U33" s="100" t="n"/>
      <c r="V33" s="101" t="n"/>
      <c r="W33" s="183" t="n"/>
      <c r="X33" s="103" t="n"/>
      <c r="Y33" s="104" t="n"/>
      <c r="Z33" s="103" t="n"/>
      <c r="AA33" s="104" t="n"/>
      <c r="AB33" s="103" t="n"/>
      <c r="AC33" s="104" t="n"/>
      <c r="AD33" s="103" t="n"/>
      <c r="AE33" s="104" t="n"/>
      <c r="AF33" s="103" t="n"/>
      <c r="AG33" s="104" t="n"/>
      <c r="AH33" s="103" t="n"/>
      <c r="AI33" s="104" t="n"/>
      <c r="AJ33" s="103" t="n"/>
      <c r="AK33" s="104" t="n"/>
      <c r="AL33" s="103" t="n"/>
      <c r="AM33" s="104" t="n"/>
      <c r="AN33" s="184" t="n"/>
      <c r="AO33" s="106" t="n"/>
      <c r="AP33" s="107" t="n"/>
      <c r="AQ33" s="106" t="n"/>
      <c r="AR33" s="107" t="n"/>
      <c r="AS33" s="106" t="n"/>
      <c r="AT33" s="107" t="n"/>
      <c r="AU33" s="106" t="n"/>
      <c r="AV33" s="107" t="n"/>
      <c r="AW33" s="106" t="n"/>
      <c r="AX33" s="107" t="n"/>
      <c r="AY33" s="106" t="n"/>
      <c r="AZ33" s="107" t="n"/>
      <c r="BA33" s="106" t="n"/>
      <c r="BB33" s="107" t="n"/>
      <c r="BC33" s="106" t="n"/>
      <c r="BD33" s="107" t="n"/>
      <c r="BE33" s="185" t="n"/>
      <c r="BF33" s="109" t="n"/>
      <c r="BG33" s="110" t="n"/>
      <c r="BH33" s="109" t="n"/>
      <c r="BI33" s="110" t="n"/>
      <c r="BJ33" s="109" t="n"/>
      <c r="BK33" s="110" t="n"/>
      <c r="BL33" s="109" t="n"/>
      <c r="BM33" s="110" t="n"/>
      <c r="BN33" s="109" t="n"/>
      <c r="BO33" s="110" t="n"/>
      <c r="BP33" s="109" t="n"/>
      <c r="BQ33" s="110" t="n"/>
      <c r="BR33" s="109" t="n"/>
      <c r="BS33" s="110" t="n"/>
      <c r="BT33" s="109" t="n"/>
      <c r="BU33" s="110" t="n"/>
      <c r="BV33" s="186" t="n"/>
      <c r="BW33" s="112" t="n"/>
      <c r="BX33" s="113" t="n"/>
      <c r="BY33" s="112" t="n"/>
      <c r="BZ33" s="113" t="n"/>
      <c r="CA33" s="112" t="n"/>
      <c r="CB33" s="113" t="n"/>
      <c r="CC33" s="112" t="n"/>
      <c r="CD33" s="113" t="n"/>
      <c r="CE33" s="112" t="n"/>
      <c r="CF33" s="113" t="n"/>
      <c r="CG33" s="112" t="n"/>
      <c r="CH33" s="113" t="n"/>
      <c r="CI33" s="112" t="n"/>
      <c r="CJ33" s="113" t="n"/>
      <c r="CK33" s="112" t="n"/>
      <c r="CL33" s="113" t="n"/>
      <c r="CM33" s="187" t="n"/>
      <c r="CN33" s="115" t="n"/>
      <c r="CO33" s="116" t="n"/>
      <c r="CP33" s="115" t="n"/>
      <c r="CQ33" s="116" t="n"/>
      <c r="CR33" s="115" t="n"/>
      <c r="CS33" s="116" t="n"/>
      <c r="CT33" s="115" t="n"/>
      <c r="CU33" s="116" t="n"/>
      <c r="CV33" s="115" t="n"/>
      <c r="CW33" s="116" t="n"/>
      <c r="CX33" s="115" t="n"/>
      <c r="CY33" s="116" t="n"/>
      <c r="CZ33" s="115" t="n"/>
      <c r="DA33" s="116" t="n"/>
      <c r="DB33" s="115" t="n"/>
      <c r="DC33" s="116" t="n"/>
      <c r="DD33" s="188" t="n"/>
      <c r="DE33" s="118" t="n"/>
      <c r="DF33" s="119" t="n"/>
      <c r="DG33" s="118" t="n"/>
      <c r="DH33" s="119" t="n"/>
      <c r="DI33" s="118" t="n"/>
      <c r="DJ33" s="119" t="n"/>
      <c r="DK33" s="118" t="n"/>
      <c r="DL33" s="119" t="n"/>
      <c r="DM33" s="118" t="n"/>
      <c r="DN33" s="119" t="n"/>
      <c r="DO33" s="118" t="n"/>
      <c r="DP33" s="119" t="n"/>
      <c r="DQ33" s="118" t="n"/>
      <c r="DR33" s="119" t="n"/>
      <c r="DS33" s="118" t="n"/>
      <c r="DT33" s="119" t="n"/>
      <c r="DU33" s="189" t="n"/>
      <c r="DV33" s="121" t="n"/>
      <c r="DW33" s="122" t="n"/>
      <c r="DX33" s="121" t="n"/>
      <c r="DY33" s="122" t="n"/>
      <c r="DZ33" s="121" t="n"/>
      <c r="EA33" s="122" t="n"/>
      <c r="EB33" s="121" t="n"/>
      <c r="EC33" s="122" t="n"/>
      <c r="ED33" s="121" t="n"/>
      <c r="EE33" s="122" t="n"/>
      <c r="EF33" s="121" t="n"/>
      <c r="EG33" s="122" t="n"/>
      <c r="EH33" s="121" t="n"/>
      <c r="EI33" s="122" t="n"/>
      <c r="EJ33" s="121" t="n"/>
      <c r="EK33" s="122" t="n"/>
      <c r="EL33" s="190" t="n"/>
      <c r="EM33" s="124" t="n"/>
      <c r="EN33" s="125" t="n"/>
      <c r="EO33" s="124" t="n"/>
      <c r="EP33" s="125" t="n"/>
      <c r="EQ33" s="124" t="n"/>
      <c r="ER33" s="125" t="n"/>
      <c r="ES33" s="124" t="n"/>
      <c r="ET33" s="125" t="n"/>
      <c r="EU33" s="124" t="n"/>
      <c r="EV33" s="125" t="n"/>
      <c r="EW33" s="124" t="n"/>
      <c r="EX33" s="125" t="n"/>
      <c r="EY33" s="124" t="n"/>
      <c r="EZ33" s="125" t="n"/>
      <c r="FA33" s="124" t="n"/>
      <c r="FB33" s="125" t="n"/>
      <c r="FC33" s="191" t="n"/>
      <c r="FD33" s="127" t="n"/>
      <c r="FE33" s="128" t="n"/>
      <c r="FF33" s="127" t="n"/>
      <c r="FG33" s="128" t="n"/>
      <c r="FH33" s="127" t="n"/>
      <c r="FI33" s="128" t="n"/>
      <c r="FJ33" s="127" t="n"/>
      <c r="FK33" s="128" t="n"/>
      <c r="FL33" s="127" t="n"/>
      <c r="FM33" s="128" t="n"/>
      <c r="FN33" s="127" t="n"/>
      <c r="FO33" s="128" t="n"/>
      <c r="FP33" s="127" t="n"/>
      <c r="FQ33" s="128" t="n"/>
      <c r="FR33" s="127" t="n"/>
      <c r="FS33" s="128" t="n"/>
      <c r="FT33" s="192" t="n"/>
      <c r="FU33" s="130" t="n"/>
      <c r="FV33" s="131" t="n"/>
      <c r="FW33" s="130" t="n"/>
      <c r="FX33" s="131" t="n"/>
      <c r="FY33" s="130" t="n"/>
      <c r="FZ33" s="131" t="n"/>
      <c r="GA33" s="130" t="n"/>
      <c r="GB33" s="131" t="n"/>
      <c r="GC33" s="130" t="n"/>
      <c r="GD33" s="131" t="n"/>
      <c r="GE33" s="130" t="n"/>
      <c r="GF33" s="131" t="n"/>
      <c r="GG33" s="130" t="n"/>
      <c r="GH33" s="131" t="n"/>
      <c r="GI33" s="130" t="n"/>
      <c r="GJ33" s="131" t="n"/>
      <c r="GK33" s="193" t="n"/>
      <c r="GL33" s="133" t="n"/>
      <c r="GM33" s="134" t="n"/>
      <c r="GN33" s="133" t="n"/>
      <c r="GO33" s="134" t="n"/>
      <c r="GP33" s="133" t="n"/>
      <c r="GQ33" s="134" t="n"/>
      <c r="GR33" s="133" t="n"/>
      <c r="GS33" s="134" t="n"/>
      <c r="GT33" s="133" t="n"/>
      <c r="GU33" s="134" t="n"/>
      <c r="GV33" s="133" t="n"/>
      <c r="GW33" s="134" t="n"/>
      <c r="GX33" s="133" t="n"/>
      <c r="GY33" s="134" t="n"/>
      <c r="GZ33" s="133" t="n"/>
      <c r="HA33" s="134" t="n"/>
      <c r="HB33" s="194" t="n"/>
      <c r="HC33">
        <f>SUMIFS($G33:$HB33,$G$46:$HB$46,"&gt;="&amp;$HD$1,$G$46:$HB$46,"&lt;="&amp;$HD$2,$G$29:$HB$29,"&lt;&gt;ملاحظات",$G$28:$HB$28,"&gt;0")</f>
        <v>0</v>
      </c>
      <c r="HD33">
        <f>SUMIFS($G$28:$HB$28,$G$46:$HB$46,"&gt;="&amp;$HD$1,$G$46:$HB$46,"&lt;="&amp;$HD$2,$G$29:$HB$29,"&lt;&gt;ملاحظات",$G33:$HB33,"&gt;=0")</f>
        <v>0</v>
      </c>
    </row>
    <row r="34" ht="22.5" customHeight="1">
      <c r="A34" s="36" t="n">
        <v>5</v>
      </c>
      <c r="B34" s="181" t="str">
        <f>IF($B9="","",$B9)</f>
        <v/>
      </c>
      <c r="C34" s="136" t="str">
        <f>IF(OR($B34="",$HD34=0),"",ROUND($HC34,2)&amp;" / "&amp;$HD34)</f>
        <v/>
      </c>
      <c r="D34" s="182" t="str">
        <f>IF(OR($B34="",$HD34=0),"",$HC34/$HD34)</f>
        <v/>
      </c>
      <c r="E34" s="98" t="str">
        <f>IF($D34="","",RANK($D34,$D$30:$D$44))</f>
        <v/>
      </c>
      <c r="F34" s="99" t="str">
        <f>IF($D34="","",IF($D34&gt;=0.85,"ممتاز",IF($D34&gt;=0.75,"جيد جداً",IF($D34&gt;=0.65,"جيد",IF($D34&gt;=0.5,"مقبول","ضعيف")))))</f>
        <v/>
      </c>
      <c r="G34" s="100" t="n"/>
      <c r="H34" s="101" t="n"/>
      <c r="I34" s="100" t="n"/>
      <c r="J34" s="101" t="n"/>
      <c r="K34" s="100" t="n"/>
      <c r="L34" s="101" t="n"/>
      <c r="M34" s="100" t="n"/>
      <c r="N34" s="101" t="n"/>
      <c r="O34" s="100" t="n"/>
      <c r="P34" s="101" t="n"/>
      <c r="Q34" s="100" t="n"/>
      <c r="R34" s="101" t="n"/>
      <c r="S34" s="100" t="n"/>
      <c r="T34" s="101" t="n"/>
      <c r="U34" s="100" t="n"/>
      <c r="V34" s="101" t="n"/>
      <c r="W34" s="183" t="n"/>
      <c r="X34" s="103" t="n"/>
      <c r="Y34" s="104" t="n"/>
      <c r="Z34" s="103" t="n"/>
      <c r="AA34" s="104" t="n"/>
      <c r="AB34" s="103" t="n"/>
      <c r="AC34" s="104" t="n"/>
      <c r="AD34" s="103" t="n"/>
      <c r="AE34" s="104" t="n"/>
      <c r="AF34" s="103" t="n"/>
      <c r="AG34" s="104" t="n"/>
      <c r="AH34" s="103" t="n"/>
      <c r="AI34" s="104" t="n"/>
      <c r="AJ34" s="103" t="n"/>
      <c r="AK34" s="104" t="n"/>
      <c r="AL34" s="103" t="n"/>
      <c r="AM34" s="104" t="n"/>
      <c r="AN34" s="184" t="n"/>
      <c r="AO34" s="106" t="n"/>
      <c r="AP34" s="107" t="n"/>
      <c r="AQ34" s="106" t="n"/>
      <c r="AR34" s="107" t="n"/>
      <c r="AS34" s="106" t="n"/>
      <c r="AT34" s="107" t="n"/>
      <c r="AU34" s="106" t="n"/>
      <c r="AV34" s="107" t="n"/>
      <c r="AW34" s="106" t="n"/>
      <c r="AX34" s="107" t="n"/>
      <c r="AY34" s="106" t="n"/>
      <c r="AZ34" s="107" t="n"/>
      <c r="BA34" s="106" t="n"/>
      <c r="BB34" s="107" t="n"/>
      <c r="BC34" s="106" t="n"/>
      <c r="BD34" s="107" t="n"/>
      <c r="BE34" s="185" t="n"/>
      <c r="BF34" s="109" t="n"/>
      <c r="BG34" s="110" t="n"/>
      <c r="BH34" s="109" t="n"/>
      <c r="BI34" s="110" t="n"/>
      <c r="BJ34" s="109" t="n"/>
      <c r="BK34" s="110" t="n"/>
      <c r="BL34" s="109" t="n"/>
      <c r="BM34" s="110" t="n"/>
      <c r="BN34" s="109" t="n"/>
      <c r="BO34" s="110" t="n"/>
      <c r="BP34" s="109" t="n"/>
      <c r="BQ34" s="110" t="n"/>
      <c r="BR34" s="109" t="n"/>
      <c r="BS34" s="110" t="n"/>
      <c r="BT34" s="109" t="n"/>
      <c r="BU34" s="110" t="n"/>
      <c r="BV34" s="186" t="n"/>
      <c r="BW34" s="112" t="n"/>
      <c r="BX34" s="113" t="n"/>
      <c r="BY34" s="112" t="n"/>
      <c r="BZ34" s="113" t="n"/>
      <c r="CA34" s="112" t="n"/>
      <c r="CB34" s="113" t="n"/>
      <c r="CC34" s="112" t="n"/>
      <c r="CD34" s="113" t="n"/>
      <c r="CE34" s="112" t="n"/>
      <c r="CF34" s="113" t="n"/>
      <c r="CG34" s="112" t="n"/>
      <c r="CH34" s="113" t="n"/>
      <c r="CI34" s="112" t="n"/>
      <c r="CJ34" s="113" t="n"/>
      <c r="CK34" s="112" t="n"/>
      <c r="CL34" s="113" t="n"/>
      <c r="CM34" s="187" t="n"/>
      <c r="CN34" s="115" t="n"/>
      <c r="CO34" s="116" t="n"/>
      <c r="CP34" s="115" t="n"/>
      <c r="CQ34" s="116" t="n"/>
      <c r="CR34" s="115" t="n"/>
      <c r="CS34" s="116" t="n"/>
      <c r="CT34" s="115" t="n"/>
      <c r="CU34" s="116" t="n"/>
      <c r="CV34" s="115" t="n"/>
      <c r="CW34" s="116" t="n"/>
      <c r="CX34" s="115" t="n"/>
      <c r="CY34" s="116" t="n"/>
      <c r="CZ34" s="115" t="n"/>
      <c r="DA34" s="116" t="n"/>
      <c r="DB34" s="115" t="n"/>
      <c r="DC34" s="116" t="n"/>
      <c r="DD34" s="188" t="n"/>
      <c r="DE34" s="118" t="n"/>
      <c r="DF34" s="119" t="n"/>
      <c r="DG34" s="118" t="n"/>
      <c r="DH34" s="119" t="n"/>
      <c r="DI34" s="118" t="n"/>
      <c r="DJ34" s="119" t="n"/>
      <c r="DK34" s="118" t="n"/>
      <c r="DL34" s="119" t="n"/>
      <c r="DM34" s="118" t="n"/>
      <c r="DN34" s="119" t="n"/>
      <c r="DO34" s="118" t="n"/>
      <c r="DP34" s="119" t="n"/>
      <c r="DQ34" s="118" t="n"/>
      <c r="DR34" s="119" t="n"/>
      <c r="DS34" s="118" t="n"/>
      <c r="DT34" s="119" t="n"/>
      <c r="DU34" s="189" t="n"/>
      <c r="DV34" s="121" t="n"/>
      <c r="DW34" s="122" t="n"/>
      <c r="DX34" s="121" t="n"/>
      <c r="DY34" s="122" t="n"/>
      <c r="DZ34" s="121" t="n"/>
      <c r="EA34" s="122" t="n"/>
      <c r="EB34" s="121" t="n"/>
      <c r="EC34" s="122" t="n"/>
      <c r="ED34" s="121" t="n"/>
      <c r="EE34" s="122" t="n"/>
      <c r="EF34" s="121" t="n"/>
      <c r="EG34" s="122" t="n"/>
      <c r="EH34" s="121" t="n"/>
      <c r="EI34" s="122" t="n"/>
      <c r="EJ34" s="121" t="n"/>
      <c r="EK34" s="122" t="n"/>
      <c r="EL34" s="190" t="n"/>
      <c r="EM34" s="124" t="n"/>
      <c r="EN34" s="125" t="n"/>
      <c r="EO34" s="124" t="n"/>
      <c r="EP34" s="125" t="n"/>
      <c r="EQ34" s="124" t="n"/>
      <c r="ER34" s="125" t="n"/>
      <c r="ES34" s="124" t="n"/>
      <c r="ET34" s="125" t="n"/>
      <c r="EU34" s="124" t="n"/>
      <c r="EV34" s="125" t="n"/>
      <c r="EW34" s="124" t="n"/>
      <c r="EX34" s="125" t="n"/>
      <c r="EY34" s="124" t="n"/>
      <c r="EZ34" s="125" t="n"/>
      <c r="FA34" s="124" t="n"/>
      <c r="FB34" s="125" t="n"/>
      <c r="FC34" s="191" t="n"/>
      <c r="FD34" s="127" t="n"/>
      <c r="FE34" s="128" t="n"/>
      <c r="FF34" s="127" t="n"/>
      <c r="FG34" s="128" t="n"/>
      <c r="FH34" s="127" t="n"/>
      <c r="FI34" s="128" t="n"/>
      <c r="FJ34" s="127" t="n"/>
      <c r="FK34" s="128" t="n"/>
      <c r="FL34" s="127" t="n"/>
      <c r="FM34" s="128" t="n"/>
      <c r="FN34" s="127" t="n"/>
      <c r="FO34" s="128" t="n"/>
      <c r="FP34" s="127" t="n"/>
      <c r="FQ34" s="128" t="n"/>
      <c r="FR34" s="127" t="n"/>
      <c r="FS34" s="128" t="n"/>
      <c r="FT34" s="192" t="n"/>
      <c r="FU34" s="130" t="n"/>
      <c r="FV34" s="131" t="n"/>
      <c r="FW34" s="130" t="n"/>
      <c r="FX34" s="131" t="n"/>
      <c r="FY34" s="130" t="n"/>
      <c r="FZ34" s="131" t="n"/>
      <c r="GA34" s="130" t="n"/>
      <c r="GB34" s="131" t="n"/>
      <c r="GC34" s="130" t="n"/>
      <c r="GD34" s="131" t="n"/>
      <c r="GE34" s="130" t="n"/>
      <c r="GF34" s="131" t="n"/>
      <c r="GG34" s="130" t="n"/>
      <c r="GH34" s="131" t="n"/>
      <c r="GI34" s="130" t="n"/>
      <c r="GJ34" s="131" t="n"/>
      <c r="GK34" s="193" t="n"/>
      <c r="GL34" s="133" t="n"/>
      <c r="GM34" s="134" t="n"/>
      <c r="GN34" s="133" t="n"/>
      <c r="GO34" s="134" t="n"/>
      <c r="GP34" s="133" t="n"/>
      <c r="GQ34" s="134" t="n"/>
      <c r="GR34" s="133" t="n"/>
      <c r="GS34" s="134" t="n"/>
      <c r="GT34" s="133" t="n"/>
      <c r="GU34" s="134" t="n"/>
      <c r="GV34" s="133" t="n"/>
      <c r="GW34" s="134" t="n"/>
      <c r="GX34" s="133" t="n"/>
      <c r="GY34" s="134" t="n"/>
      <c r="GZ34" s="133" t="n"/>
      <c r="HA34" s="134" t="n"/>
      <c r="HB34" s="194" t="n"/>
      <c r="HC34">
        <f>SUMIFS($G34:$HB34,$G$46:$HB$46,"&gt;="&amp;$HD$1,$G$46:$HB$46,"&lt;="&amp;$HD$2,$G$29:$HB$29,"&lt;&gt;ملاحظات",$G$28:$HB$28,"&gt;0")</f>
        <v>0</v>
      </c>
      <c r="HD34">
        <f>SUMIFS($G$28:$HB$28,$G$46:$HB$46,"&gt;="&amp;$HD$1,$G$46:$HB$46,"&lt;="&amp;$HD$2,$G$29:$HB$29,"&lt;&gt;ملاحظات",$G34:$HB34,"&gt;=0")</f>
        <v>0</v>
      </c>
    </row>
    <row r="35" ht="22.5" customHeight="1">
      <c r="A35" s="36" t="n">
        <v>6</v>
      </c>
      <c r="B35" s="181" t="str">
        <f>IF($B10="","",$B10)</f>
        <v/>
      </c>
      <c r="C35" s="136" t="str">
        <f>IF(OR($B35="",$HD35=0),"",ROUND($HC35,2)&amp;" / "&amp;$HD35)</f>
        <v/>
      </c>
      <c r="D35" s="182" t="str">
        <f>IF(OR($B35="",$HD35=0),"",$HC35/$HD35)</f>
        <v/>
      </c>
      <c r="E35" s="98" t="str">
        <f>IF($D35="","",RANK($D35,$D$30:$D$44))</f>
        <v/>
      </c>
      <c r="F35" s="99" t="str">
        <f>IF($D35="","",IF($D35&gt;=0.85,"ممتاز",IF($D35&gt;=0.75,"جيد جداً",IF($D35&gt;=0.65,"جيد",IF($D35&gt;=0.5,"مقبول","ضعيف")))))</f>
        <v/>
      </c>
      <c r="G35" s="100" t="n"/>
      <c r="H35" s="101" t="n"/>
      <c r="I35" s="100" t="n"/>
      <c r="J35" s="101" t="n"/>
      <c r="K35" s="100" t="n"/>
      <c r="L35" s="101" t="n"/>
      <c r="M35" s="100" t="n"/>
      <c r="N35" s="101" t="n"/>
      <c r="O35" s="100" t="n"/>
      <c r="P35" s="101" t="n"/>
      <c r="Q35" s="100" t="n"/>
      <c r="R35" s="101" t="n"/>
      <c r="S35" s="100" t="n"/>
      <c r="T35" s="101" t="n"/>
      <c r="U35" s="100" t="n"/>
      <c r="V35" s="101" t="n"/>
      <c r="W35" s="183" t="n"/>
      <c r="X35" s="103" t="n"/>
      <c r="Y35" s="104" t="n"/>
      <c r="Z35" s="103" t="n"/>
      <c r="AA35" s="104" t="n"/>
      <c r="AB35" s="103" t="n"/>
      <c r="AC35" s="104" t="n"/>
      <c r="AD35" s="103" t="n"/>
      <c r="AE35" s="104" t="n"/>
      <c r="AF35" s="103" t="n"/>
      <c r="AG35" s="104" t="n"/>
      <c r="AH35" s="103" t="n"/>
      <c r="AI35" s="104" t="n"/>
      <c r="AJ35" s="103" t="n"/>
      <c r="AK35" s="104" t="n"/>
      <c r="AL35" s="103" t="n"/>
      <c r="AM35" s="104" t="n"/>
      <c r="AN35" s="184" t="n"/>
      <c r="AO35" s="106" t="n"/>
      <c r="AP35" s="107" t="n"/>
      <c r="AQ35" s="106" t="n"/>
      <c r="AR35" s="107" t="n"/>
      <c r="AS35" s="106" t="n"/>
      <c r="AT35" s="107" t="n"/>
      <c r="AU35" s="106" t="n"/>
      <c r="AV35" s="107" t="n"/>
      <c r="AW35" s="106" t="n"/>
      <c r="AX35" s="107" t="n"/>
      <c r="AY35" s="106" t="n"/>
      <c r="AZ35" s="107" t="n"/>
      <c r="BA35" s="106" t="n"/>
      <c r="BB35" s="107" t="n"/>
      <c r="BC35" s="106" t="n"/>
      <c r="BD35" s="107" t="n"/>
      <c r="BE35" s="185" t="n"/>
      <c r="BF35" s="109" t="n"/>
      <c r="BG35" s="110" t="n"/>
      <c r="BH35" s="109" t="n"/>
      <c r="BI35" s="110" t="n"/>
      <c r="BJ35" s="109" t="n"/>
      <c r="BK35" s="110" t="n"/>
      <c r="BL35" s="109" t="n"/>
      <c r="BM35" s="110" t="n"/>
      <c r="BN35" s="109" t="n"/>
      <c r="BO35" s="110" t="n"/>
      <c r="BP35" s="109" t="n"/>
      <c r="BQ35" s="110" t="n"/>
      <c r="BR35" s="109" t="n"/>
      <c r="BS35" s="110" t="n"/>
      <c r="BT35" s="109" t="n"/>
      <c r="BU35" s="110" t="n"/>
      <c r="BV35" s="186" t="n"/>
      <c r="BW35" s="112" t="n"/>
      <c r="BX35" s="113" t="n"/>
      <c r="BY35" s="112" t="n"/>
      <c r="BZ35" s="113" t="n"/>
      <c r="CA35" s="112" t="n"/>
      <c r="CB35" s="113" t="n"/>
      <c r="CC35" s="112" t="n"/>
      <c r="CD35" s="113" t="n"/>
      <c r="CE35" s="112" t="n"/>
      <c r="CF35" s="113" t="n"/>
      <c r="CG35" s="112" t="n"/>
      <c r="CH35" s="113" t="n"/>
      <c r="CI35" s="112" t="n"/>
      <c r="CJ35" s="113" t="n"/>
      <c r="CK35" s="112" t="n"/>
      <c r="CL35" s="113" t="n"/>
      <c r="CM35" s="187" t="n"/>
      <c r="CN35" s="115" t="n"/>
      <c r="CO35" s="116" t="n"/>
      <c r="CP35" s="115" t="n"/>
      <c r="CQ35" s="116" t="n"/>
      <c r="CR35" s="115" t="n"/>
      <c r="CS35" s="116" t="n"/>
      <c r="CT35" s="115" t="n"/>
      <c r="CU35" s="116" t="n"/>
      <c r="CV35" s="115" t="n"/>
      <c r="CW35" s="116" t="n"/>
      <c r="CX35" s="115" t="n"/>
      <c r="CY35" s="116" t="n"/>
      <c r="CZ35" s="115" t="n"/>
      <c r="DA35" s="116" t="n"/>
      <c r="DB35" s="115" t="n"/>
      <c r="DC35" s="116" t="n"/>
      <c r="DD35" s="188" t="n"/>
      <c r="DE35" s="118" t="n"/>
      <c r="DF35" s="119" t="n"/>
      <c r="DG35" s="118" t="n"/>
      <c r="DH35" s="119" t="n"/>
      <c r="DI35" s="118" t="n"/>
      <c r="DJ35" s="119" t="n"/>
      <c r="DK35" s="118" t="n"/>
      <c r="DL35" s="119" t="n"/>
      <c r="DM35" s="118" t="n"/>
      <c r="DN35" s="119" t="n"/>
      <c r="DO35" s="118" t="n"/>
      <c r="DP35" s="119" t="n"/>
      <c r="DQ35" s="118" t="n"/>
      <c r="DR35" s="119" t="n"/>
      <c r="DS35" s="118" t="n"/>
      <c r="DT35" s="119" t="n"/>
      <c r="DU35" s="189" t="n"/>
      <c r="DV35" s="121" t="n"/>
      <c r="DW35" s="122" t="n"/>
      <c r="DX35" s="121" t="n"/>
      <c r="DY35" s="122" t="n"/>
      <c r="DZ35" s="121" t="n"/>
      <c r="EA35" s="122" t="n"/>
      <c r="EB35" s="121" t="n"/>
      <c r="EC35" s="122" t="n"/>
      <c r="ED35" s="121" t="n"/>
      <c r="EE35" s="122" t="n"/>
      <c r="EF35" s="121" t="n"/>
      <c r="EG35" s="122" t="n"/>
      <c r="EH35" s="121" t="n"/>
      <c r="EI35" s="122" t="n"/>
      <c r="EJ35" s="121" t="n"/>
      <c r="EK35" s="122" t="n"/>
      <c r="EL35" s="190" t="n"/>
      <c r="EM35" s="124" t="n"/>
      <c r="EN35" s="125" t="n"/>
      <c r="EO35" s="124" t="n"/>
      <c r="EP35" s="125" t="n"/>
      <c r="EQ35" s="124" t="n"/>
      <c r="ER35" s="125" t="n"/>
      <c r="ES35" s="124" t="n"/>
      <c r="ET35" s="125" t="n"/>
      <c r="EU35" s="124" t="n"/>
      <c r="EV35" s="125" t="n"/>
      <c r="EW35" s="124" t="n"/>
      <c r="EX35" s="125" t="n"/>
      <c r="EY35" s="124" t="n"/>
      <c r="EZ35" s="125" t="n"/>
      <c r="FA35" s="124" t="n"/>
      <c r="FB35" s="125" t="n"/>
      <c r="FC35" s="191" t="n"/>
      <c r="FD35" s="127" t="n"/>
      <c r="FE35" s="128" t="n"/>
      <c r="FF35" s="127" t="n"/>
      <c r="FG35" s="128" t="n"/>
      <c r="FH35" s="127" t="n"/>
      <c r="FI35" s="128" t="n"/>
      <c r="FJ35" s="127" t="n"/>
      <c r="FK35" s="128" t="n"/>
      <c r="FL35" s="127" t="n"/>
      <c r="FM35" s="128" t="n"/>
      <c r="FN35" s="127" t="n"/>
      <c r="FO35" s="128" t="n"/>
      <c r="FP35" s="127" t="n"/>
      <c r="FQ35" s="128" t="n"/>
      <c r="FR35" s="127" t="n"/>
      <c r="FS35" s="128" t="n"/>
      <c r="FT35" s="192" t="n"/>
      <c r="FU35" s="130" t="n"/>
      <c r="FV35" s="131" t="n"/>
      <c r="FW35" s="130" t="n"/>
      <c r="FX35" s="131" t="n"/>
      <c r="FY35" s="130" t="n"/>
      <c r="FZ35" s="131" t="n"/>
      <c r="GA35" s="130" t="n"/>
      <c r="GB35" s="131" t="n"/>
      <c r="GC35" s="130" t="n"/>
      <c r="GD35" s="131" t="n"/>
      <c r="GE35" s="130" t="n"/>
      <c r="GF35" s="131" t="n"/>
      <c r="GG35" s="130" t="n"/>
      <c r="GH35" s="131" t="n"/>
      <c r="GI35" s="130" t="n"/>
      <c r="GJ35" s="131" t="n"/>
      <c r="GK35" s="193" t="n"/>
      <c r="GL35" s="133" t="n"/>
      <c r="GM35" s="134" t="n"/>
      <c r="GN35" s="133" t="n"/>
      <c r="GO35" s="134" t="n"/>
      <c r="GP35" s="133" t="n"/>
      <c r="GQ35" s="134" t="n"/>
      <c r="GR35" s="133" t="n"/>
      <c r="GS35" s="134" t="n"/>
      <c r="GT35" s="133" t="n"/>
      <c r="GU35" s="134" t="n"/>
      <c r="GV35" s="133" t="n"/>
      <c r="GW35" s="134" t="n"/>
      <c r="GX35" s="133" t="n"/>
      <c r="GY35" s="134" t="n"/>
      <c r="GZ35" s="133" t="n"/>
      <c r="HA35" s="134" t="n"/>
      <c r="HB35" s="194" t="n"/>
      <c r="HC35">
        <f>SUMIFS($G35:$HB35,$G$46:$HB$46,"&gt;="&amp;$HD$1,$G$46:$HB$46,"&lt;="&amp;$HD$2,$G$29:$HB$29,"&lt;&gt;ملاحظات",$G$28:$HB$28,"&gt;0")</f>
        <v>0</v>
      </c>
      <c r="HD35">
        <f>SUMIFS($G$28:$HB$28,$G$46:$HB$46,"&gt;="&amp;$HD$1,$G$46:$HB$46,"&lt;="&amp;$HD$2,$G$29:$HB$29,"&lt;&gt;ملاحظات",$G35:$HB35,"&gt;=0")</f>
        <v>0</v>
      </c>
    </row>
    <row r="36" ht="22.5" customHeight="1">
      <c r="A36" s="36" t="n">
        <v>7</v>
      </c>
      <c r="B36" s="181" t="str">
        <f>IF($B11="","",$B11)</f>
        <v/>
      </c>
      <c r="C36" s="136" t="str">
        <f>IF(OR($B36="",$HD36=0),"",ROUND($HC36,2)&amp;" / "&amp;$HD36)</f>
        <v/>
      </c>
      <c r="D36" s="182" t="str">
        <f>IF(OR($B36="",$HD36=0),"",$HC36/$HD36)</f>
        <v/>
      </c>
      <c r="E36" s="98" t="str">
        <f>IF($D36="","",RANK($D36,$D$30:$D$44))</f>
        <v/>
      </c>
      <c r="F36" s="99" t="str">
        <f>IF($D36="","",IF($D36&gt;=0.85,"ممتاز",IF($D36&gt;=0.75,"جيد جداً",IF($D36&gt;=0.65,"جيد",IF($D36&gt;=0.5,"مقبول","ضعيف")))))</f>
        <v/>
      </c>
      <c r="G36" s="100" t="n"/>
      <c r="H36" s="101" t="n"/>
      <c r="I36" s="100" t="n"/>
      <c r="J36" s="101" t="n"/>
      <c r="K36" s="100" t="n"/>
      <c r="L36" s="101" t="n"/>
      <c r="M36" s="100" t="n"/>
      <c r="N36" s="101" t="n"/>
      <c r="O36" s="100" t="n"/>
      <c r="P36" s="101" t="n"/>
      <c r="Q36" s="100" t="n"/>
      <c r="R36" s="101" t="n"/>
      <c r="S36" s="100" t="n"/>
      <c r="T36" s="101" t="n"/>
      <c r="U36" s="100" t="n"/>
      <c r="V36" s="101" t="n"/>
      <c r="W36" s="183" t="n"/>
      <c r="X36" s="103" t="n"/>
      <c r="Y36" s="104" t="n"/>
      <c r="Z36" s="103" t="n"/>
      <c r="AA36" s="104" t="n"/>
      <c r="AB36" s="103" t="n"/>
      <c r="AC36" s="104" t="n"/>
      <c r="AD36" s="103" t="n"/>
      <c r="AE36" s="104" t="n"/>
      <c r="AF36" s="103" t="n"/>
      <c r="AG36" s="104" t="n"/>
      <c r="AH36" s="103" t="n"/>
      <c r="AI36" s="104" t="n"/>
      <c r="AJ36" s="103" t="n"/>
      <c r="AK36" s="104" t="n"/>
      <c r="AL36" s="103" t="n"/>
      <c r="AM36" s="104" t="n"/>
      <c r="AN36" s="184" t="n"/>
      <c r="AO36" s="106" t="n"/>
      <c r="AP36" s="107" t="n"/>
      <c r="AQ36" s="106" t="n"/>
      <c r="AR36" s="107" t="n"/>
      <c r="AS36" s="106" t="n"/>
      <c r="AT36" s="107" t="n"/>
      <c r="AU36" s="106" t="n"/>
      <c r="AV36" s="107" t="n"/>
      <c r="AW36" s="106" t="n"/>
      <c r="AX36" s="107" t="n"/>
      <c r="AY36" s="106" t="n"/>
      <c r="AZ36" s="107" t="n"/>
      <c r="BA36" s="106" t="n"/>
      <c r="BB36" s="107" t="n"/>
      <c r="BC36" s="106" t="n"/>
      <c r="BD36" s="107" t="n"/>
      <c r="BE36" s="185" t="n"/>
      <c r="BF36" s="109" t="n"/>
      <c r="BG36" s="110" t="n"/>
      <c r="BH36" s="109" t="n"/>
      <c r="BI36" s="110" t="n"/>
      <c r="BJ36" s="109" t="n"/>
      <c r="BK36" s="110" t="n"/>
      <c r="BL36" s="109" t="n"/>
      <c r="BM36" s="110" t="n"/>
      <c r="BN36" s="109" t="n"/>
      <c r="BO36" s="110" t="n"/>
      <c r="BP36" s="109" t="n"/>
      <c r="BQ36" s="110" t="n"/>
      <c r="BR36" s="109" t="n"/>
      <c r="BS36" s="110" t="n"/>
      <c r="BT36" s="109" t="n"/>
      <c r="BU36" s="110" t="n"/>
      <c r="BV36" s="186" t="n"/>
      <c r="BW36" s="112" t="n"/>
      <c r="BX36" s="113" t="n"/>
      <c r="BY36" s="112" t="n"/>
      <c r="BZ36" s="113" t="n"/>
      <c r="CA36" s="112" t="n"/>
      <c r="CB36" s="113" t="n"/>
      <c r="CC36" s="112" t="n"/>
      <c r="CD36" s="113" t="n"/>
      <c r="CE36" s="112" t="n"/>
      <c r="CF36" s="113" t="n"/>
      <c r="CG36" s="112" t="n"/>
      <c r="CH36" s="113" t="n"/>
      <c r="CI36" s="112" t="n"/>
      <c r="CJ36" s="113" t="n"/>
      <c r="CK36" s="112" t="n"/>
      <c r="CL36" s="113" t="n"/>
      <c r="CM36" s="187" t="n"/>
      <c r="CN36" s="115" t="n"/>
      <c r="CO36" s="116" t="n"/>
      <c r="CP36" s="115" t="n"/>
      <c r="CQ36" s="116" t="n"/>
      <c r="CR36" s="115" t="n"/>
      <c r="CS36" s="116" t="n"/>
      <c r="CT36" s="115" t="n"/>
      <c r="CU36" s="116" t="n"/>
      <c r="CV36" s="115" t="n"/>
      <c r="CW36" s="116" t="n"/>
      <c r="CX36" s="115" t="n"/>
      <c r="CY36" s="116" t="n"/>
      <c r="CZ36" s="115" t="n"/>
      <c r="DA36" s="116" t="n"/>
      <c r="DB36" s="115" t="n"/>
      <c r="DC36" s="116" t="n"/>
      <c r="DD36" s="188" t="n"/>
      <c r="DE36" s="118" t="n"/>
      <c r="DF36" s="119" t="n"/>
      <c r="DG36" s="118" t="n"/>
      <c r="DH36" s="119" t="n"/>
      <c r="DI36" s="118" t="n"/>
      <c r="DJ36" s="119" t="n"/>
      <c r="DK36" s="118" t="n"/>
      <c r="DL36" s="119" t="n"/>
      <c r="DM36" s="118" t="n"/>
      <c r="DN36" s="119" t="n"/>
      <c r="DO36" s="118" t="n"/>
      <c r="DP36" s="119" t="n"/>
      <c r="DQ36" s="118" t="n"/>
      <c r="DR36" s="119" t="n"/>
      <c r="DS36" s="118" t="n"/>
      <c r="DT36" s="119" t="n"/>
      <c r="DU36" s="189" t="n"/>
      <c r="DV36" s="121" t="n"/>
      <c r="DW36" s="122" t="n"/>
      <c r="DX36" s="121" t="n"/>
      <c r="DY36" s="122" t="n"/>
      <c r="DZ36" s="121" t="n"/>
      <c r="EA36" s="122" t="n"/>
      <c r="EB36" s="121" t="n"/>
      <c r="EC36" s="122" t="n"/>
      <c r="ED36" s="121" t="n"/>
      <c r="EE36" s="122" t="n"/>
      <c r="EF36" s="121" t="n"/>
      <c r="EG36" s="122" t="n"/>
      <c r="EH36" s="121" t="n"/>
      <c r="EI36" s="122" t="n"/>
      <c r="EJ36" s="121" t="n"/>
      <c r="EK36" s="122" t="n"/>
      <c r="EL36" s="190" t="n"/>
      <c r="EM36" s="124" t="n"/>
      <c r="EN36" s="125" t="n"/>
      <c r="EO36" s="124" t="n"/>
      <c r="EP36" s="125" t="n"/>
      <c r="EQ36" s="124" t="n"/>
      <c r="ER36" s="125" t="n"/>
      <c r="ES36" s="124" t="n"/>
      <c r="ET36" s="125" t="n"/>
      <c r="EU36" s="124" t="n"/>
      <c r="EV36" s="125" t="n"/>
      <c r="EW36" s="124" t="n"/>
      <c r="EX36" s="125" t="n"/>
      <c r="EY36" s="124" t="n"/>
      <c r="EZ36" s="125" t="n"/>
      <c r="FA36" s="124" t="n"/>
      <c r="FB36" s="125" t="n"/>
      <c r="FC36" s="191" t="n"/>
      <c r="FD36" s="127" t="n"/>
      <c r="FE36" s="128" t="n"/>
      <c r="FF36" s="127" t="n"/>
      <c r="FG36" s="128" t="n"/>
      <c r="FH36" s="127" t="n"/>
      <c r="FI36" s="128" t="n"/>
      <c r="FJ36" s="127" t="n"/>
      <c r="FK36" s="128" t="n"/>
      <c r="FL36" s="127" t="n"/>
      <c r="FM36" s="128" t="n"/>
      <c r="FN36" s="127" t="n"/>
      <c r="FO36" s="128" t="n"/>
      <c r="FP36" s="127" t="n"/>
      <c r="FQ36" s="128" t="n"/>
      <c r="FR36" s="127" t="n"/>
      <c r="FS36" s="128" t="n"/>
      <c r="FT36" s="192" t="n"/>
      <c r="FU36" s="130" t="n"/>
      <c r="FV36" s="131" t="n"/>
      <c r="FW36" s="130" t="n"/>
      <c r="FX36" s="131" t="n"/>
      <c r="FY36" s="130" t="n"/>
      <c r="FZ36" s="131" t="n"/>
      <c r="GA36" s="130" t="n"/>
      <c r="GB36" s="131" t="n"/>
      <c r="GC36" s="130" t="n"/>
      <c r="GD36" s="131" t="n"/>
      <c r="GE36" s="130" t="n"/>
      <c r="GF36" s="131" t="n"/>
      <c r="GG36" s="130" t="n"/>
      <c r="GH36" s="131" t="n"/>
      <c r="GI36" s="130" t="n"/>
      <c r="GJ36" s="131" t="n"/>
      <c r="GK36" s="193" t="n"/>
      <c r="GL36" s="133" t="n"/>
      <c r="GM36" s="134" t="n"/>
      <c r="GN36" s="133" t="n"/>
      <c r="GO36" s="134" t="n"/>
      <c r="GP36" s="133" t="n"/>
      <c r="GQ36" s="134" t="n"/>
      <c r="GR36" s="133" t="n"/>
      <c r="GS36" s="134" t="n"/>
      <c r="GT36" s="133" t="n"/>
      <c r="GU36" s="134" t="n"/>
      <c r="GV36" s="133" t="n"/>
      <c r="GW36" s="134" t="n"/>
      <c r="GX36" s="133" t="n"/>
      <c r="GY36" s="134" t="n"/>
      <c r="GZ36" s="133" t="n"/>
      <c r="HA36" s="134" t="n"/>
      <c r="HB36" s="194" t="n"/>
      <c r="HC36">
        <f>SUMIFS($G36:$HB36,$G$46:$HB$46,"&gt;="&amp;$HD$1,$G$46:$HB$46,"&lt;="&amp;$HD$2,$G$29:$HB$29,"&lt;&gt;ملاحظات",$G$28:$HB$28,"&gt;0")</f>
        <v>0</v>
      </c>
      <c r="HD36">
        <f>SUMIFS($G$28:$HB$28,$G$46:$HB$46,"&gt;="&amp;$HD$1,$G$46:$HB$46,"&lt;="&amp;$HD$2,$G$29:$HB$29,"&lt;&gt;ملاحظات",$G36:$HB36,"&gt;=0")</f>
        <v>0</v>
      </c>
    </row>
    <row r="37" ht="22.5" customHeight="1">
      <c r="A37" s="36" t="n">
        <v>8</v>
      </c>
      <c r="B37" s="181" t="str">
        <f>IF($B12="","",$B12)</f>
        <v/>
      </c>
      <c r="C37" s="136" t="str">
        <f>IF(OR($B37="",$HD37=0),"",ROUND($HC37,2)&amp;" / "&amp;$HD37)</f>
        <v/>
      </c>
      <c r="D37" s="182" t="str">
        <f>IF(OR($B37="",$HD37=0),"",$HC37/$HD37)</f>
        <v/>
      </c>
      <c r="E37" s="98" t="str">
        <f>IF($D37="","",RANK($D37,$D$30:$D$44))</f>
        <v/>
      </c>
      <c r="F37" s="99" t="str">
        <f>IF($D37="","",IF($D37&gt;=0.85,"ممتاز",IF($D37&gt;=0.75,"جيد جداً",IF($D37&gt;=0.65,"جيد",IF($D37&gt;=0.5,"مقبول","ضعيف")))))</f>
        <v/>
      </c>
      <c r="G37" s="100" t="n"/>
      <c r="H37" s="101" t="n"/>
      <c r="I37" s="100" t="n"/>
      <c r="J37" s="101" t="n"/>
      <c r="K37" s="100" t="n"/>
      <c r="L37" s="101" t="n"/>
      <c r="M37" s="100" t="n"/>
      <c r="N37" s="101" t="n"/>
      <c r="O37" s="100" t="n"/>
      <c r="P37" s="101" t="n"/>
      <c r="Q37" s="100" t="n"/>
      <c r="R37" s="101" t="n"/>
      <c r="S37" s="100" t="n"/>
      <c r="T37" s="101" t="n"/>
      <c r="U37" s="100" t="n"/>
      <c r="V37" s="101" t="n"/>
      <c r="W37" s="183" t="n"/>
      <c r="X37" s="103" t="n"/>
      <c r="Y37" s="104" t="n"/>
      <c r="Z37" s="103" t="n"/>
      <c r="AA37" s="104" t="n"/>
      <c r="AB37" s="103" t="n"/>
      <c r="AC37" s="104" t="n"/>
      <c r="AD37" s="103" t="n"/>
      <c r="AE37" s="104" t="n"/>
      <c r="AF37" s="103" t="n"/>
      <c r="AG37" s="104" t="n"/>
      <c r="AH37" s="103" t="n"/>
      <c r="AI37" s="104" t="n"/>
      <c r="AJ37" s="103" t="n"/>
      <c r="AK37" s="104" t="n"/>
      <c r="AL37" s="103" t="n"/>
      <c r="AM37" s="104" t="n"/>
      <c r="AN37" s="184" t="n"/>
      <c r="AO37" s="106" t="n"/>
      <c r="AP37" s="107" t="n"/>
      <c r="AQ37" s="106" t="n"/>
      <c r="AR37" s="107" t="n"/>
      <c r="AS37" s="106" t="n"/>
      <c r="AT37" s="107" t="n"/>
      <c r="AU37" s="106" t="n"/>
      <c r="AV37" s="107" t="n"/>
      <c r="AW37" s="106" t="n"/>
      <c r="AX37" s="107" t="n"/>
      <c r="AY37" s="106" t="n"/>
      <c r="AZ37" s="107" t="n"/>
      <c r="BA37" s="106" t="n"/>
      <c r="BB37" s="107" t="n"/>
      <c r="BC37" s="106" t="n"/>
      <c r="BD37" s="107" t="n"/>
      <c r="BE37" s="185" t="n"/>
      <c r="BF37" s="109" t="n"/>
      <c r="BG37" s="110" t="n"/>
      <c r="BH37" s="109" t="n"/>
      <c r="BI37" s="110" t="n"/>
      <c r="BJ37" s="109" t="n"/>
      <c r="BK37" s="110" t="n"/>
      <c r="BL37" s="109" t="n"/>
      <c r="BM37" s="110" t="n"/>
      <c r="BN37" s="109" t="n"/>
      <c r="BO37" s="110" t="n"/>
      <c r="BP37" s="109" t="n"/>
      <c r="BQ37" s="110" t="n"/>
      <c r="BR37" s="109" t="n"/>
      <c r="BS37" s="110" t="n"/>
      <c r="BT37" s="109" t="n"/>
      <c r="BU37" s="110" t="n"/>
      <c r="BV37" s="186" t="n"/>
      <c r="BW37" s="112" t="n"/>
      <c r="BX37" s="113" t="n"/>
      <c r="BY37" s="112" t="n"/>
      <c r="BZ37" s="113" t="n"/>
      <c r="CA37" s="112" t="n"/>
      <c r="CB37" s="113" t="n"/>
      <c r="CC37" s="112" t="n"/>
      <c r="CD37" s="113" t="n"/>
      <c r="CE37" s="112" t="n"/>
      <c r="CF37" s="113" t="n"/>
      <c r="CG37" s="112" t="n"/>
      <c r="CH37" s="113" t="n"/>
      <c r="CI37" s="112" t="n"/>
      <c r="CJ37" s="113" t="n"/>
      <c r="CK37" s="112" t="n"/>
      <c r="CL37" s="113" t="n"/>
      <c r="CM37" s="187" t="n"/>
      <c r="CN37" s="115" t="n"/>
      <c r="CO37" s="116" t="n"/>
      <c r="CP37" s="115" t="n"/>
      <c r="CQ37" s="116" t="n"/>
      <c r="CR37" s="115" t="n"/>
      <c r="CS37" s="116" t="n"/>
      <c r="CT37" s="115" t="n"/>
      <c r="CU37" s="116" t="n"/>
      <c r="CV37" s="115" t="n"/>
      <c r="CW37" s="116" t="n"/>
      <c r="CX37" s="115" t="n"/>
      <c r="CY37" s="116" t="n"/>
      <c r="CZ37" s="115" t="n"/>
      <c r="DA37" s="116" t="n"/>
      <c r="DB37" s="115" t="n"/>
      <c r="DC37" s="116" t="n"/>
      <c r="DD37" s="188" t="n"/>
      <c r="DE37" s="118" t="n"/>
      <c r="DF37" s="119" t="n"/>
      <c r="DG37" s="118" t="n"/>
      <c r="DH37" s="119" t="n"/>
      <c r="DI37" s="118" t="n"/>
      <c r="DJ37" s="119" t="n"/>
      <c r="DK37" s="118" t="n"/>
      <c r="DL37" s="119" t="n"/>
      <c r="DM37" s="118" t="n"/>
      <c r="DN37" s="119" t="n"/>
      <c r="DO37" s="118" t="n"/>
      <c r="DP37" s="119" t="n"/>
      <c r="DQ37" s="118" t="n"/>
      <c r="DR37" s="119" t="n"/>
      <c r="DS37" s="118" t="n"/>
      <c r="DT37" s="119" t="n"/>
      <c r="DU37" s="189" t="n"/>
      <c r="DV37" s="121" t="n"/>
      <c r="DW37" s="122" t="n"/>
      <c r="DX37" s="121" t="n"/>
      <c r="DY37" s="122" t="n"/>
      <c r="DZ37" s="121" t="n"/>
      <c r="EA37" s="122" t="n"/>
      <c r="EB37" s="121" t="n"/>
      <c r="EC37" s="122" t="n"/>
      <c r="ED37" s="121" t="n"/>
      <c r="EE37" s="122" t="n"/>
      <c r="EF37" s="121" t="n"/>
      <c r="EG37" s="122" t="n"/>
      <c r="EH37" s="121" t="n"/>
      <c r="EI37" s="122" t="n"/>
      <c r="EJ37" s="121" t="n"/>
      <c r="EK37" s="122" t="n"/>
      <c r="EL37" s="190" t="n"/>
      <c r="EM37" s="124" t="n"/>
      <c r="EN37" s="125" t="n"/>
      <c r="EO37" s="124" t="n"/>
      <c r="EP37" s="125" t="n"/>
      <c r="EQ37" s="124" t="n"/>
      <c r="ER37" s="125" t="n"/>
      <c r="ES37" s="124" t="n"/>
      <c r="ET37" s="125" t="n"/>
      <c r="EU37" s="124" t="n"/>
      <c r="EV37" s="125" t="n"/>
      <c r="EW37" s="124" t="n"/>
      <c r="EX37" s="125" t="n"/>
      <c r="EY37" s="124" t="n"/>
      <c r="EZ37" s="125" t="n"/>
      <c r="FA37" s="124" t="n"/>
      <c r="FB37" s="125" t="n"/>
      <c r="FC37" s="191" t="n"/>
      <c r="FD37" s="127" t="n"/>
      <c r="FE37" s="128" t="n"/>
      <c r="FF37" s="127" t="n"/>
      <c r="FG37" s="128" t="n"/>
      <c r="FH37" s="127" t="n"/>
      <c r="FI37" s="128" t="n"/>
      <c r="FJ37" s="127" t="n"/>
      <c r="FK37" s="128" t="n"/>
      <c r="FL37" s="127" t="n"/>
      <c r="FM37" s="128" t="n"/>
      <c r="FN37" s="127" t="n"/>
      <c r="FO37" s="128" t="n"/>
      <c r="FP37" s="127" t="n"/>
      <c r="FQ37" s="128" t="n"/>
      <c r="FR37" s="127" t="n"/>
      <c r="FS37" s="128" t="n"/>
      <c r="FT37" s="192" t="n"/>
      <c r="FU37" s="130" t="n"/>
      <c r="FV37" s="131" t="n"/>
      <c r="FW37" s="130" t="n"/>
      <c r="FX37" s="131" t="n"/>
      <c r="FY37" s="130" t="n"/>
      <c r="FZ37" s="131" t="n"/>
      <c r="GA37" s="130" t="n"/>
      <c r="GB37" s="131" t="n"/>
      <c r="GC37" s="130" t="n"/>
      <c r="GD37" s="131" t="n"/>
      <c r="GE37" s="130" t="n"/>
      <c r="GF37" s="131" t="n"/>
      <c r="GG37" s="130" t="n"/>
      <c r="GH37" s="131" t="n"/>
      <c r="GI37" s="130" t="n"/>
      <c r="GJ37" s="131" t="n"/>
      <c r="GK37" s="193" t="n"/>
      <c r="GL37" s="133" t="n"/>
      <c r="GM37" s="134" t="n"/>
      <c r="GN37" s="133" t="n"/>
      <c r="GO37" s="134" t="n"/>
      <c r="GP37" s="133" t="n"/>
      <c r="GQ37" s="134" t="n"/>
      <c r="GR37" s="133" t="n"/>
      <c r="GS37" s="134" t="n"/>
      <c r="GT37" s="133" t="n"/>
      <c r="GU37" s="134" t="n"/>
      <c r="GV37" s="133" t="n"/>
      <c r="GW37" s="134" t="n"/>
      <c r="GX37" s="133" t="n"/>
      <c r="GY37" s="134" t="n"/>
      <c r="GZ37" s="133" t="n"/>
      <c r="HA37" s="134" t="n"/>
      <c r="HB37" s="194" t="n"/>
      <c r="HC37">
        <f>SUMIFS($G37:$HB37,$G$46:$HB$46,"&gt;="&amp;$HD$1,$G$46:$HB$46,"&lt;="&amp;$HD$2,$G$29:$HB$29,"&lt;&gt;ملاحظات",$G$28:$HB$28,"&gt;0")</f>
        <v>0</v>
      </c>
      <c r="HD37">
        <f>SUMIFS($G$28:$HB$28,$G$46:$HB$46,"&gt;="&amp;$HD$1,$G$46:$HB$46,"&lt;="&amp;$HD$2,$G$29:$HB$29,"&lt;&gt;ملاحظات",$G37:$HB37,"&gt;=0")</f>
        <v>0</v>
      </c>
    </row>
    <row r="38" ht="22.5" customHeight="1">
      <c r="A38" s="36" t="n">
        <v>9</v>
      </c>
      <c r="B38" s="181" t="str">
        <f>IF($B13="","",$B13)</f>
        <v/>
      </c>
      <c r="C38" s="136" t="str">
        <f>IF(OR($B38="",$HD38=0),"",ROUND($HC38,2)&amp;" / "&amp;$HD38)</f>
        <v/>
      </c>
      <c r="D38" s="182" t="str">
        <f>IF(OR($B38="",$HD38=0),"",$HC38/$HD38)</f>
        <v/>
      </c>
      <c r="E38" s="98" t="str">
        <f>IF($D38="","",RANK($D38,$D$30:$D$44))</f>
        <v/>
      </c>
      <c r="F38" s="99" t="str">
        <f>IF($D38="","",IF($D38&gt;=0.85,"ممتاز",IF($D38&gt;=0.75,"جيد جداً",IF($D38&gt;=0.65,"جيد",IF($D38&gt;=0.5,"مقبول","ضعيف")))))</f>
        <v/>
      </c>
      <c r="G38" s="100" t="n"/>
      <c r="H38" s="101" t="n"/>
      <c r="I38" s="100" t="n"/>
      <c r="J38" s="101" t="n"/>
      <c r="K38" s="100" t="n"/>
      <c r="L38" s="101" t="n"/>
      <c r="M38" s="100" t="n"/>
      <c r="N38" s="101" t="n"/>
      <c r="O38" s="100" t="n"/>
      <c r="P38" s="101" t="n"/>
      <c r="Q38" s="100" t="n"/>
      <c r="R38" s="101" t="n"/>
      <c r="S38" s="100" t="n"/>
      <c r="T38" s="101" t="n"/>
      <c r="U38" s="100" t="n"/>
      <c r="V38" s="101" t="n"/>
      <c r="W38" s="183" t="n"/>
      <c r="X38" s="103" t="n"/>
      <c r="Y38" s="104" t="n"/>
      <c r="Z38" s="103" t="n"/>
      <c r="AA38" s="104" t="n"/>
      <c r="AB38" s="103" t="n"/>
      <c r="AC38" s="104" t="n"/>
      <c r="AD38" s="103" t="n"/>
      <c r="AE38" s="104" t="n"/>
      <c r="AF38" s="103" t="n"/>
      <c r="AG38" s="104" t="n"/>
      <c r="AH38" s="103" t="n"/>
      <c r="AI38" s="104" t="n"/>
      <c r="AJ38" s="103" t="n"/>
      <c r="AK38" s="104" t="n"/>
      <c r="AL38" s="103" t="n"/>
      <c r="AM38" s="104" t="n"/>
      <c r="AN38" s="184" t="n"/>
      <c r="AO38" s="106" t="n"/>
      <c r="AP38" s="107" t="n"/>
      <c r="AQ38" s="106" t="n"/>
      <c r="AR38" s="107" t="n"/>
      <c r="AS38" s="106" t="n"/>
      <c r="AT38" s="107" t="n"/>
      <c r="AU38" s="106" t="n"/>
      <c r="AV38" s="107" t="n"/>
      <c r="AW38" s="106" t="n"/>
      <c r="AX38" s="107" t="n"/>
      <c r="AY38" s="106" t="n"/>
      <c r="AZ38" s="107" t="n"/>
      <c r="BA38" s="106" t="n"/>
      <c r="BB38" s="107" t="n"/>
      <c r="BC38" s="106" t="n"/>
      <c r="BD38" s="107" t="n"/>
      <c r="BE38" s="185" t="n"/>
      <c r="BF38" s="109" t="n"/>
      <c r="BG38" s="110" t="n"/>
      <c r="BH38" s="109" t="n"/>
      <c r="BI38" s="110" t="n"/>
      <c r="BJ38" s="109" t="n"/>
      <c r="BK38" s="110" t="n"/>
      <c r="BL38" s="109" t="n"/>
      <c r="BM38" s="110" t="n"/>
      <c r="BN38" s="109" t="n"/>
      <c r="BO38" s="110" t="n"/>
      <c r="BP38" s="109" t="n"/>
      <c r="BQ38" s="110" t="n"/>
      <c r="BR38" s="109" t="n"/>
      <c r="BS38" s="110" t="n"/>
      <c r="BT38" s="109" t="n"/>
      <c r="BU38" s="110" t="n"/>
      <c r="BV38" s="186" t="n"/>
      <c r="BW38" s="112" t="n"/>
      <c r="BX38" s="113" t="n"/>
      <c r="BY38" s="112" t="n"/>
      <c r="BZ38" s="113" t="n"/>
      <c r="CA38" s="112" t="n"/>
      <c r="CB38" s="113" t="n"/>
      <c r="CC38" s="112" t="n"/>
      <c r="CD38" s="113" t="n"/>
      <c r="CE38" s="112" t="n"/>
      <c r="CF38" s="113" t="n"/>
      <c r="CG38" s="112" t="n"/>
      <c r="CH38" s="113" t="n"/>
      <c r="CI38" s="112" t="n"/>
      <c r="CJ38" s="113" t="n"/>
      <c r="CK38" s="112" t="n"/>
      <c r="CL38" s="113" t="n"/>
      <c r="CM38" s="187" t="n"/>
      <c r="CN38" s="115" t="n"/>
      <c r="CO38" s="116" t="n"/>
      <c r="CP38" s="115" t="n"/>
      <c r="CQ38" s="116" t="n"/>
      <c r="CR38" s="115" t="n"/>
      <c r="CS38" s="116" t="n"/>
      <c r="CT38" s="115" t="n"/>
      <c r="CU38" s="116" t="n"/>
      <c r="CV38" s="115" t="n"/>
      <c r="CW38" s="116" t="n"/>
      <c r="CX38" s="115" t="n"/>
      <c r="CY38" s="116" t="n"/>
      <c r="CZ38" s="115" t="n"/>
      <c r="DA38" s="116" t="n"/>
      <c r="DB38" s="115" t="n"/>
      <c r="DC38" s="116" t="n"/>
      <c r="DD38" s="188" t="n"/>
      <c r="DE38" s="118" t="n"/>
      <c r="DF38" s="119" t="n"/>
      <c r="DG38" s="118" t="n"/>
      <c r="DH38" s="119" t="n"/>
      <c r="DI38" s="118" t="n"/>
      <c r="DJ38" s="119" t="n"/>
      <c r="DK38" s="118" t="n"/>
      <c r="DL38" s="119" t="n"/>
      <c r="DM38" s="118" t="n"/>
      <c r="DN38" s="119" t="n"/>
      <c r="DO38" s="118" t="n"/>
      <c r="DP38" s="119" t="n"/>
      <c r="DQ38" s="118" t="n"/>
      <c r="DR38" s="119" t="n"/>
      <c r="DS38" s="118" t="n"/>
      <c r="DT38" s="119" t="n"/>
      <c r="DU38" s="189" t="n"/>
      <c r="DV38" s="121" t="n"/>
      <c r="DW38" s="122" t="n"/>
      <c r="DX38" s="121" t="n"/>
      <c r="DY38" s="122" t="n"/>
      <c r="DZ38" s="121" t="n"/>
      <c r="EA38" s="122" t="n"/>
      <c r="EB38" s="121" t="n"/>
      <c r="EC38" s="122" t="n"/>
      <c r="ED38" s="121" t="n"/>
      <c r="EE38" s="122" t="n"/>
      <c r="EF38" s="121" t="n"/>
      <c r="EG38" s="122" t="n"/>
      <c r="EH38" s="121" t="n"/>
      <c r="EI38" s="122" t="n"/>
      <c r="EJ38" s="121" t="n"/>
      <c r="EK38" s="122" t="n"/>
      <c r="EL38" s="190" t="n"/>
      <c r="EM38" s="124" t="n"/>
      <c r="EN38" s="125" t="n"/>
      <c r="EO38" s="124" t="n"/>
      <c r="EP38" s="125" t="n"/>
      <c r="EQ38" s="124" t="n"/>
      <c r="ER38" s="125" t="n"/>
      <c r="ES38" s="124" t="n"/>
      <c r="ET38" s="125" t="n"/>
      <c r="EU38" s="124" t="n"/>
      <c r="EV38" s="125" t="n"/>
      <c r="EW38" s="124" t="n"/>
      <c r="EX38" s="125" t="n"/>
      <c r="EY38" s="124" t="n"/>
      <c r="EZ38" s="125" t="n"/>
      <c r="FA38" s="124" t="n"/>
      <c r="FB38" s="125" t="n"/>
      <c r="FC38" s="191" t="n"/>
      <c r="FD38" s="127" t="n"/>
      <c r="FE38" s="128" t="n"/>
      <c r="FF38" s="127" t="n"/>
      <c r="FG38" s="128" t="n"/>
      <c r="FH38" s="127" t="n"/>
      <c r="FI38" s="128" t="n"/>
      <c r="FJ38" s="127" t="n"/>
      <c r="FK38" s="128" t="n"/>
      <c r="FL38" s="127" t="n"/>
      <c r="FM38" s="128" t="n"/>
      <c r="FN38" s="127" t="n"/>
      <c r="FO38" s="128" t="n"/>
      <c r="FP38" s="127" t="n"/>
      <c r="FQ38" s="128" t="n"/>
      <c r="FR38" s="127" t="n"/>
      <c r="FS38" s="128" t="n"/>
      <c r="FT38" s="192" t="n"/>
      <c r="FU38" s="130" t="n"/>
      <c r="FV38" s="131" t="n"/>
      <c r="FW38" s="130" t="n"/>
      <c r="FX38" s="131" t="n"/>
      <c r="FY38" s="130" t="n"/>
      <c r="FZ38" s="131" t="n"/>
      <c r="GA38" s="130" t="n"/>
      <c r="GB38" s="131" t="n"/>
      <c r="GC38" s="130" t="n"/>
      <c r="GD38" s="131" t="n"/>
      <c r="GE38" s="130" t="n"/>
      <c r="GF38" s="131" t="n"/>
      <c r="GG38" s="130" t="n"/>
      <c r="GH38" s="131" t="n"/>
      <c r="GI38" s="130" t="n"/>
      <c r="GJ38" s="131" t="n"/>
      <c r="GK38" s="193" t="n"/>
      <c r="GL38" s="133" t="n"/>
      <c r="GM38" s="134" t="n"/>
      <c r="GN38" s="133" t="n"/>
      <c r="GO38" s="134" t="n"/>
      <c r="GP38" s="133" t="n"/>
      <c r="GQ38" s="134" t="n"/>
      <c r="GR38" s="133" t="n"/>
      <c r="GS38" s="134" t="n"/>
      <c r="GT38" s="133" t="n"/>
      <c r="GU38" s="134" t="n"/>
      <c r="GV38" s="133" t="n"/>
      <c r="GW38" s="134" t="n"/>
      <c r="GX38" s="133" t="n"/>
      <c r="GY38" s="134" t="n"/>
      <c r="GZ38" s="133" t="n"/>
      <c r="HA38" s="134" t="n"/>
      <c r="HB38" s="194" t="n"/>
      <c r="HC38">
        <f>SUMIFS($G38:$HB38,$G$46:$HB$46,"&gt;="&amp;$HD$1,$G$46:$HB$46,"&lt;="&amp;$HD$2,$G$29:$HB$29,"&lt;&gt;ملاحظات",$G$28:$HB$28,"&gt;0")</f>
        <v>0</v>
      </c>
      <c r="HD38">
        <f>SUMIFS($G$28:$HB$28,$G$46:$HB$46,"&gt;="&amp;$HD$1,$G$46:$HB$46,"&lt;="&amp;$HD$2,$G$29:$HB$29,"&lt;&gt;ملاحظات",$G38:$HB38,"&gt;=0")</f>
        <v>0</v>
      </c>
    </row>
    <row r="39" ht="22.5" customHeight="1">
      <c r="A39" s="36" t="n">
        <v>10</v>
      </c>
      <c r="B39" s="181" t="str">
        <f>IF($B14="","",$B14)</f>
        <v/>
      </c>
      <c r="C39" s="136" t="str">
        <f>IF(OR($B39="",$HD39=0),"",ROUND($HC39,2)&amp;" / "&amp;$HD39)</f>
        <v/>
      </c>
      <c r="D39" s="182" t="str">
        <f>IF(OR($B39="",$HD39=0),"",$HC39/$HD39)</f>
        <v/>
      </c>
      <c r="E39" s="98" t="str">
        <f>IF($D39="","",RANK($D39,$D$30:$D$44))</f>
        <v/>
      </c>
      <c r="F39" s="99" t="str">
        <f>IF($D39="","",IF($D39&gt;=0.85,"ممتاز",IF($D39&gt;=0.75,"جيد جداً",IF($D39&gt;=0.65,"جيد",IF($D39&gt;=0.5,"مقبول","ضعيف")))))</f>
        <v/>
      </c>
      <c r="G39" s="100" t="n"/>
      <c r="H39" s="101" t="n"/>
      <c r="I39" s="100" t="n"/>
      <c r="J39" s="101" t="n"/>
      <c r="K39" s="100" t="n"/>
      <c r="L39" s="101" t="n"/>
      <c r="M39" s="100" t="n"/>
      <c r="N39" s="101" t="n"/>
      <c r="O39" s="100" t="n"/>
      <c r="P39" s="101" t="n"/>
      <c r="Q39" s="100" t="n"/>
      <c r="R39" s="101" t="n"/>
      <c r="S39" s="100" t="n"/>
      <c r="T39" s="101" t="n"/>
      <c r="U39" s="100" t="n"/>
      <c r="V39" s="101" t="n"/>
      <c r="W39" s="183" t="n"/>
      <c r="X39" s="103" t="n"/>
      <c r="Y39" s="104" t="n"/>
      <c r="Z39" s="103" t="n"/>
      <c r="AA39" s="104" t="n"/>
      <c r="AB39" s="103" t="n"/>
      <c r="AC39" s="104" t="n"/>
      <c r="AD39" s="103" t="n"/>
      <c r="AE39" s="104" t="n"/>
      <c r="AF39" s="103" t="n"/>
      <c r="AG39" s="104" t="n"/>
      <c r="AH39" s="103" t="n"/>
      <c r="AI39" s="104" t="n"/>
      <c r="AJ39" s="103" t="n"/>
      <c r="AK39" s="104" t="n"/>
      <c r="AL39" s="103" t="n"/>
      <c r="AM39" s="104" t="n"/>
      <c r="AN39" s="184" t="n"/>
      <c r="AO39" s="106" t="n"/>
      <c r="AP39" s="107" t="n"/>
      <c r="AQ39" s="106" t="n"/>
      <c r="AR39" s="107" t="n"/>
      <c r="AS39" s="106" t="n"/>
      <c r="AT39" s="107" t="n"/>
      <c r="AU39" s="106" t="n"/>
      <c r="AV39" s="107" t="n"/>
      <c r="AW39" s="106" t="n"/>
      <c r="AX39" s="107" t="n"/>
      <c r="AY39" s="106" t="n"/>
      <c r="AZ39" s="107" t="n"/>
      <c r="BA39" s="106" t="n"/>
      <c r="BB39" s="107" t="n"/>
      <c r="BC39" s="106" t="n"/>
      <c r="BD39" s="107" t="n"/>
      <c r="BE39" s="185" t="n"/>
      <c r="BF39" s="109" t="n"/>
      <c r="BG39" s="110" t="n"/>
      <c r="BH39" s="109" t="n"/>
      <c r="BI39" s="110" t="n"/>
      <c r="BJ39" s="109" t="n"/>
      <c r="BK39" s="110" t="n"/>
      <c r="BL39" s="109" t="n"/>
      <c r="BM39" s="110" t="n"/>
      <c r="BN39" s="109" t="n"/>
      <c r="BO39" s="110" t="n"/>
      <c r="BP39" s="109" t="n"/>
      <c r="BQ39" s="110" t="n"/>
      <c r="BR39" s="109" t="n"/>
      <c r="BS39" s="110" t="n"/>
      <c r="BT39" s="109" t="n"/>
      <c r="BU39" s="110" t="n"/>
      <c r="BV39" s="186" t="n"/>
      <c r="BW39" s="112" t="n"/>
      <c r="BX39" s="113" t="n"/>
      <c r="BY39" s="112" t="n"/>
      <c r="BZ39" s="113" t="n"/>
      <c r="CA39" s="112" t="n"/>
      <c r="CB39" s="113" t="n"/>
      <c r="CC39" s="112" t="n"/>
      <c r="CD39" s="113" t="n"/>
      <c r="CE39" s="112" t="n"/>
      <c r="CF39" s="113" t="n"/>
      <c r="CG39" s="112" t="n"/>
      <c r="CH39" s="113" t="n"/>
      <c r="CI39" s="112" t="n"/>
      <c r="CJ39" s="113" t="n"/>
      <c r="CK39" s="112" t="n"/>
      <c r="CL39" s="113" t="n"/>
      <c r="CM39" s="187" t="n"/>
      <c r="CN39" s="115" t="n"/>
      <c r="CO39" s="116" t="n"/>
      <c r="CP39" s="115" t="n"/>
      <c r="CQ39" s="116" t="n"/>
      <c r="CR39" s="115" t="n"/>
      <c r="CS39" s="116" t="n"/>
      <c r="CT39" s="115" t="n"/>
      <c r="CU39" s="116" t="n"/>
      <c r="CV39" s="115" t="n"/>
      <c r="CW39" s="116" t="n"/>
      <c r="CX39" s="115" t="n"/>
      <c r="CY39" s="116" t="n"/>
      <c r="CZ39" s="115" t="n"/>
      <c r="DA39" s="116" t="n"/>
      <c r="DB39" s="115" t="n"/>
      <c r="DC39" s="116" t="n"/>
      <c r="DD39" s="188" t="n"/>
      <c r="DE39" s="118" t="n"/>
      <c r="DF39" s="119" t="n"/>
      <c r="DG39" s="118" t="n"/>
      <c r="DH39" s="119" t="n"/>
      <c r="DI39" s="118" t="n"/>
      <c r="DJ39" s="119" t="n"/>
      <c r="DK39" s="118" t="n"/>
      <c r="DL39" s="119" t="n"/>
      <c r="DM39" s="118" t="n"/>
      <c r="DN39" s="119" t="n"/>
      <c r="DO39" s="118" t="n"/>
      <c r="DP39" s="119" t="n"/>
      <c r="DQ39" s="118" t="n"/>
      <c r="DR39" s="119" t="n"/>
      <c r="DS39" s="118" t="n"/>
      <c r="DT39" s="119" t="n"/>
      <c r="DU39" s="189" t="n"/>
      <c r="DV39" s="121" t="n"/>
      <c r="DW39" s="122" t="n"/>
      <c r="DX39" s="121" t="n"/>
      <c r="DY39" s="122" t="n"/>
      <c r="DZ39" s="121" t="n"/>
      <c r="EA39" s="122" t="n"/>
      <c r="EB39" s="121" t="n"/>
      <c r="EC39" s="122" t="n"/>
      <c r="ED39" s="121" t="n"/>
      <c r="EE39" s="122" t="n"/>
      <c r="EF39" s="121" t="n"/>
      <c r="EG39" s="122" t="n"/>
      <c r="EH39" s="121" t="n"/>
      <c r="EI39" s="122" t="n"/>
      <c r="EJ39" s="121" t="n"/>
      <c r="EK39" s="122" t="n"/>
      <c r="EL39" s="190" t="n"/>
      <c r="EM39" s="124" t="n"/>
      <c r="EN39" s="125" t="n"/>
      <c r="EO39" s="124" t="n"/>
      <c r="EP39" s="125" t="n"/>
      <c r="EQ39" s="124" t="n"/>
      <c r="ER39" s="125" t="n"/>
      <c r="ES39" s="124" t="n"/>
      <c r="ET39" s="125" t="n"/>
      <c r="EU39" s="124" t="n"/>
      <c r="EV39" s="125" t="n"/>
      <c r="EW39" s="124" t="n"/>
      <c r="EX39" s="125" t="n"/>
      <c r="EY39" s="124" t="n"/>
      <c r="EZ39" s="125" t="n"/>
      <c r="FA39" s="124" t="n"/>
      <c r="FB39" s="125" t="n"/>
      <c r="FC39" s="191" t="n"/>
      <c r="FD39" s="127" t="n"/>
      <c r="FE39" s="128" t="n"/>
      <c r="FF39" s="127" t="n"/>
      <c r="FG39" s="128" t="n"/>
      <c r="FH39" s="127" t="n"/>
      <c r="FI39" s="128" t="n"/>
      <c r="FJ39" s="127" t="n"/>
      <c r="FK39" s="128" t="n"/>
      <c r="FL39" s="127" t="n"/>
      <c r="FM39" s="128" t="n"/>
      <c r="FN39" s="127" t="n"/>
      <c r="FO39" s="128" t="n"/>
      <c r="FP39" s="127" t="n"/>
      <c r="FQ39" s="128" t="n"/>
      <c r="FR39" s="127" t="n"/>
      <c r="FS39" s="128" t="n"/>
      <c r="FT39" s="192" t="n"/>
      <c r="FU39" s="130" t="n"/>
      <c r="FV39" s="131" t="n"/>
      <c r="FW39" s="130" t="n"/>
      <c r="FX39" s="131" t="n"/>
      <c r="FY39" s="130" t="n"/>
      <c r="FZ39" s="131" t="n"/>
      <c r="GA39" s="130" t="n"/>
      <c r="GB39" s="131" t="n"/>
      <c r="GC39" s="130" t="n"/>
      <c r="GD39" s="131" t="n"/>
      <c r="GE39" s="130" t="n"/>
      <c r="GF39" s="131" t="n"/>
      <c r="GG39" s="130" t="n"/>
      <c r="GH39" s="131" t="n"/>
      <c r="GI39" s="130" t="n"/>
      <c r="GJ39" s="131" t="n"/>
      <c r="GK39" s="193" t="n"/>
      <c r="GL39" s="133" t="n"/>
      <c r="GM39" s="134" t="n"/>
      <c r="GN39" s="133" t="n"/>
      <c r="GO39" s="134" t="n"/>
      <c r="GP39" s="133" t="n"/>
      <c r="GQ39" s="134" t="n"/>
      <c r="GR39" s="133" t="n"/>
      <c r="GS39" s="134" t="n"/>
      <c r="GT39" s="133" t="n"/>
      <c r="GU39" s="134" t="n"/>
      <c r="GV39" s="133" t="n"/>
      <c r="GW39" s="134" t="n"/>
      <c r="GX39" s="133" t="n"/>
      <c r="GY39" s="134" t="n"/>
      <c r="GZ39" s="133" t="n"/>
      <c r="HA39" s="134" t="n"/>
      <c r="HB39" s="194" t="n"/>
      <c r="HC39">
        <f>SUMIFS($G39:$HB39,$G$46:$HB$46,"&gt;="&amp;$HD$1,$G$46:$HB$46,"&lt;="&amp;$HD$2,$G$29:$HB$29,"&lt;&gt;ملاحظات",$G$28:$HB$28,"&gt;0")</f>
        <v>0</v>
      </c>
      <c r="HD39">
        <f>SUMIFS($G$28:$HB$28,$G$46:$HB$46,"&gt;="&amp;$HD$1,$G$46:$HB$46,"&lt;="&amp;$HD$2,$G$29:$HB$29,"&lt;&gt;ملاحظات",$G39:$HB39,"&gt;=0")</f>
        <v>0</v>
      </c>
    </row>
    <row r="40" ht="22.5" customHeight="1">
      <c r="A40" s="36" t="n">
        <v>11</v>
      </c>
      <c r="B40" s="181" t="str">
        <f>IF($B15="","",$B15)</f>
        <v/>
      </c>
      <c r="C40" s="136" t="str">
        <f>IF(OR($B40="",$HD40=0),"",ROUND($HC40,2)&amp;" / "&amp;$HD40)</f>
        <v/>
      </c>
      <c r="D40" s="182" t="str">
        <f>IF(OR($B40="",$HD40=0),"",$HC40/$HD40)</f>
        <v/>
      </c>
      <c r="E40" s="98" t="str">
        <f>IF($D40="","",RANK($D40,$D$30:$D$44))</f>
        <v/>
      </c>
      <c r="F40" s="99" t="str">
        <f>IF($D40="","",IF($D40&gt;=0.85,"ممتاز",IF($D40&gt;=0.75,"جيد جداً",IF($D40&gt;=0.65,"جيد",IF($D40&gt;=0.5,"مقبول","ضعيف")))))</f>
        <v/>
      </c>
      <c r="G40" s="100" t="n"/>
      <c r="H40" s="101" t="n"/>
      <c r="I40" s="100" t="n"/>
      <c r="J40" s="101" t="n"/>
      <c r="K40" s="100" t="n"/>
      <c r="L40" s="101" t="n"/>
      <c r="M40" s="100" t="n"/>
      <c r="N40" s="101" t="n"/>
      <c r="O40" s="100" t="n"/>
      <c r="P40" s="101" t="n"/>
      <c r="Q40" s="100" t="n"/>
      <c r="R40" s="101" t="n"/>
      <c r="S40" s="100" t="n"/>
      <c r="T40" s="101" t="n"/>
      <c r="U40" s="100" t="n"/>
      <c r="V40" s="101" t="n"/>
      <c r="W40" s="183" t="n"/>
      <c r="X40" s="103" t="n"/>
      <c r="Y40" s="104" t="n"/>
      <c r="Z40" s="103" t="n"/>
      <c r="AA40" s="104" t="n"/>
      <c r="AB40" s="103" t="n"/>
      <c r="AC40" s="104" t="n"/>
      <c r="AD40" s="103" t="n"/>
      <c r="AE40" s="104" t="n"/>
      <c r="AF40" s="103" t="n"/>
      <c r="AG40" s="104" t="n"/>
      <c r="AH40" s="103" t="n"/>
      <c r="AI40" s="104" t="n"/>
      <c r="AJ40" s="103" t="n"/>
      <c r="AK40" s="104" t="n"/>
      <c r="AL40" s="103" t="n"/>
      <c r="AM40" s="104" t="n"/>
      <c r="AN40" s="184" t="n"/>
      <c r="AO40" s="106" t="n"/>
      <c r="AP40" s="107" t="n"/>
      <c r="AQ40" s="106" t="n"/>
      <c r="AR40" s="107" t="n"/>
      <c r="AS40" s="106" t="n"/>
      <c r="AT40" s="107" t="n"/>
      <c r="AU40" s="106" t="n"/>
      <c r="AV40" s="107" t="n"/>
      <c r="AW40" s="106" t="n"/>
      <c r="AX40" s="107" t="n"/>
      <c r="AY40" s="106" t="n"/>
      <c r="AZ40" s="107" t="n"/>
      <c r="BA40" s="106" t="n"/>
      <c r="BB40" s="107" t="n"/>
      <c r="BC40" s="106" t="n"/>
      <c r="BD40" s="107" t="n"/>
      <c r="BE40" s="185" t="n"/>
      <c r="BF40" s="109" t="n"/>
      <c r="BG40" s="110" t="n"/>
      <c r="BH40" s="109" t="n"/>
      <c r="BI40" s="110" t="n"/>
      <c r="BJ40" s="109" t="n"/>
      <c r="BK40" s="110" t="n"/>
      <c r="BL40" s="109" t="n"/>
      <c r="BM40" s="110" t="n"/>
      <c r="BN40" s="109" t="n"/>
      <c r="BO40" s="110" t="n"/>
      <c r="BP40" s="109" t="n"/>
      <c r="BQ40" s="110" t="n"/>
      <c r="BR40" s="109" t="n"/>
      <c r="BS40" s="110" t="n"/>
      <c r="BT40" s="109" t="n"/>
      <c r="BU40" s="110" t="n"/>
      <c r="BV40" s="186" t="n"/>
      <c r="BW40" s="112" t="n"/>
      <c r="BX40" s="113" t="n"/>
      <c r="BY40" s="112" t="n"/>
      <c r="BZ40" s="113" t="n"/>
      <c r="CA40" s="112" t="n"/>
      <c r="CB40" s="113" t="n"/>
      <c r="CC40" s="112" t="n"/>
      <c r="CD40" s="113" t="n"/>
      <c r="CE40" s="112" t="n"/>
      <c r="CF40" s="113" t="n"/>
      <c r="CG40" s="112" t="n"/>
      <c r="CH40" s="113" t="n"/>
      <c r="CI40" s="112" t="n"/>
      <c r="CJ40" s="113" t="n"/>
      <c r="CK40" s="112" t="n"/>
      <c r="CL40" s="113" t="n"/>
      <c r="CM40" s="187" t="n"/>
      <c r="CN40" s="115" t="n"/>
      <c r="CO40" s="116" t="n"/>
      <c r="CP40" s="115" t="n"/>
      <c r="CQ40" s="116" t="n"/>
      <c r="CR40" s="115" t="n"/>
      <c r="CS40" s="116" t="n"/>
      <c r="CT40" s="115" t="n"/>
      <c r="CU40" s="116" t="n"/>
      <c r="CV40" s="115" t="n"/>
      <c r="CW40" s="116" t="n"/>
      <c r="CX40" s="115" t="n"/>
      <c r="CY40" s="116" t="n"/>
      <c r="CZ40" s="115" t="n"/>
      <c r="DA40" s="116" t="n"/>
      <c r="DB40" s="115" t="n"/>
      <c r="DC40" s="116" t="n"/>
      <c r="DD40" s="188" t="n"/>
      <c r="DE40" s="118" t="n"/>
      <c r="DF40" s="119" t="n"/>
      <c r="DG40" s="118" t="n"/>
      <c r="DH40" s="119" t="n"/>
      <c r="DI40" s="118" t="n"/>
      <c r="DJ40" s="119" t="n"/>
      <c r="DK40" s="118" t="n"/>
      <c r="DL40" s="119" t="n"/>
      <c r="DM40" s="118" t="n"/>
      <c r="DN40" s="119" t="n"/>
      <c r="DO40" s="118" t="n"/>
      <c r="DP40" s="119" t="n"/>
      <c r="DQ40" s="118" t="n"/>
      <c r="DR40" s="119" t="n"/>
      <c r="DS40" s="118" t="n"/>
      <c r="DT40" s="119" t="n"/>
      <c r="DU40" s="189" t="n"/>
      <c r="DV40" s="121" t="n"/>
      <c r="DW40" s="122" t="n"/>
      <c r="DX40" s="121" t="n"/>
      <c r="DY40" s="122" t="n"/>
      <c r="DZ40" s="121" t="n"/>
      <c r="EA40" s="122" t="n"/>
      <c r="EB40" s="121" t="n"/>
      <c r="EC40" s="122" t="n"/>
      <c r="ED40" s="121" t="n"/>
      <c r="EE40" s="122" t="n"/>
      <c r="EF40" s="121" t="n"/>
      <c r="EG40" s="122" t="n"/>
      <c r="EH40" s="121" t="n"/>
      <c r="EI40" s="122" t="n"/>
      <c r="EJ40" s="121" t="n"/>
      <c r="EK40" s="122" t="n"/>
      <c r="EL40" s="190" t="n"/>
      <c r="EM40" s="124" t="n"/>
      <c r="EN40" s="125" t="n"/>
      <c r="EO40" s="124" t="n"/>
      <c r="EP40" s="125" t="n"/>
      <c r="EQ40" s="124" t="n"/>
      <c r="ER40" s="125" t="n"/>
      <c r="ES40" s="124" t="n"/>
      <c r="ET40" s="125" t="n"/>
      <c r="EU40" s="124" t="n"/>
      <c r="EV40" s="125" t="n"/>
      <c r="EW40" s="124" t="n"/>
      <c r="EX40" s="125" t="n"/>
      <c r="EY40" s="124" t="n"/>
      <c r="EZ40" s="125" t="n"/>
      <c r="FA40" s="124" t="n"/>
      <c r="FB40" s="125" t="n"/>
      <c r="FC40" s="191" t="n"/>
      <c r="FD40" s="127" t="n"/>
      <c r="FE40" s="128" t="n"/>
      <c r="FF40" s="127" t="n"/>
      <c r="FG40" s="128" t="n"/>
      <c r="FH40" s="127" t="n"/>
      <c r="FI40" s="128" t="n"/>
      <c r="FJ40" s="127" t="n"/>
      <c r="FK40" s="128" t="n"/>
      <c r="FL40" s="127" t="n"/>
      <c r="FM40" s="128" t="n"/>
      <c r="FN40" s="127" t="n"/>
      <c r="FO40" s="128" t="n"/>
      <c r="FP40" s="127" t="n"/>
      <c r="FQ40" s="128" t="n"/>
      <c r="FR40" s="127" t="n"/>
      <c r="FS40" s="128" t="n"/>
      <c r="FT40" s="192" t="n"/>
      <c r="FU40" s="130" t="n"/>
      <c r="FV40" s="131" t="n"/>
      <c r="FW40" s="130" t="n"/>
      <c r="FX40" s="131" t="n"/>
      <c r="FY40" s="130" t="n"/>
      <c r="FZ40" s="131" t="n"/>
      <c r="GA40" s="130" t="n"/>
      <c r="GB40" s="131" t="n"/>
      <c r="GC40" s="130" t="n"/>
      <c r="GD40" s="131" t="n"/>
      <c r="GE40" s="130" t="n"/>
      <c r="GF40" s="131" t="n"/>
      <c r="GG40" s="130" t="n"/>
      <c r="GH40" s="131" t="n"/>
      <c r="GI40" s="130" t="n"/>
      <c r="GJ40" s="131" t="n"/>
      <c r="GK40" s="193" t="n"/>
      <c r="GL40" s="133" t="n"/>
      <c r="GM40" s="134" t="n"/>
      <c r="GN40" s="133" t="n"/>
      <c r="GO40" s="134" t="n"/>
      <c r="GP40" s="133" t="n"/>
      <c r="GQ40" s="134" t="n"/>
      <c r="GR40" s="133" t="n"/>
      <c r="GS40" s="134" t="n"/>
      <c r="GT40" s="133" t="n"/>
      <c r="GU40" s="134" t="n"/>
      <c r="GV40" s="133" t="n"/>
      <c r="GW40" s="134" t="n"/>
      <c r="GX40" s="133" t="n"/>
      <c r="GY40" s="134" t="n"/>
      <c r="GZ40" s="133" t="n"/>
      <c r="HA40" s="134" t="n"/>
      <c r="HB40" s="194" t="n"/>
      <c r="HC40">
        <f>SUMIFS($G40:$HB40,$G$46:$HB$46,"&gt;="&amp;$HD$1,$G$46:$HB$46,"&lt;="&amp;$HD$2,$G$29:$HB$29,"&lt;&gt;ملاحظات",$G$28:$HB$28,"&gt;0")</f>
        <v>0</v>
      </c>
      <c r="HD40">
        <f>SUMIFS($G$28:$HB$28,$G$46:$HB$46,"&gt;="&amp;$HD$1,$G$46:$HB$46,"&lt;="&amp;$HD$2,$G$29:$HB$29,"&lt;&gt;ملاحظات",$G40:$HB40,"&gt;=0")</f>
        <v>0</v>
      </c>
    </row>
    <row r="41" ht="22.5" customHeight="1">
      <c r="A41" s="36" t="n">
        <v>12</v>
      </c>
      <c r="B41" s="181" t="str">
        <f>IF($B16="","",$B16)</f>
        <v/>
      </c>
      <c r="C41" s="136" t="str">
        <f>IF(OR($B41="",$HD41=0),"",ROUND($HC41,2)&amp;" / "&amp;$HD41)</f>
        <v/>
      </c>
      <c r="D41" s="182" t="str">
        <f>IF(OR($B41="",$HD41=0),"",$HC41/$HD41)</f>
        <v/>
      </c>
      <c r="E41" s="98" t="str">
        <f>IF($D41="","",RANK($D41,$D$30:$D$44))</f>
        <v/>
      </c>
      <c r="F41" s="99" t="str">
        <f>IF($D41="","",IF($D41&gt;=0.85,"ممتاز",IF($D41&gt;=0.75,"جيد جداً",IF($D41&gt;=0.65,"جيد",IF($D41&gt;=0.5,"مقبول","ضعيف")))))</f>
        <v/>
      </c>
      <c r="G41" s="100" t="n"/>
      <c r="H41" s="101" t="n"/>
      <c r="I41" s="100" t="n"/>
      <c r="J41" s="101" t="n"/>
      <c r="K41" s="100" t="n"/>
      <c r="L41" s="101" t="n"/>
      <c r="M41" s="100" t="n"/>
      <c r="N41" s="101" t="n"/>
      <c r="O41" s="100" t="n"/>
      <c r="P41" s="101" t="n"/>
      <c r="Q41" s="100" t="n"/>
      <c r="R41" s="101" t="n"/>
      <c r="S41" s="100" t="n"/>
      <c r="T41" s="101" t="n"/>
      <c r="U41" s="100" t="n"/>
      <c r="V41" s="101" t="n"/>
      <c r="W41" s="183" t="n"/>
      <c r="X41" s="103" t="n"/>
      <c r="Y41" s="104" t="n"/>
      <c r="Z41" s="103" t="n"/>
      <c r="AA41" s="104" t="n"/>
      <c r="AB41" s="103" t="n"/>
      <c r="AC41" s="104" t="n"/>
      <c r="AD41" s="103" t="n"/>
      <c r="AE41" s="104" t="n"/>
      <c r="AF41" s="103" t="n"/>
      <c r="AG41" s="104" t="n"/>
      <c r="AH41" s="103" t="n"/>
      <c r="AI41" s="104" t="n"/>
      <c r="AJ41" s="103" t="n"/>
      <c r="AK41" s="104" t="n"/>
      <c r="AL41" s="103" t="n"/>
      <c r="AM41" s="104" t="n"/>
      <c r="AN41" s="184" t="n"/>
      <c r="AO41" s="106" t="n"/>
      <c r="AP41" s="107" t="n"/>
      <c r="AQ41" s="106" t="n"/>
      <c r="AR41" s="107" t="n"/>
      <c r="AS41" s="106" t="n"/>
      <c r="AT41" s="107" t="n"/>
      <c r="AU41" s="106" t="n"/>
      <c r="AV41" s="107" t="n"/>
      <c r="AW41" s="106" t="n"/>
      <c r="AX41" s="107" t="n"/>
      <c r="AY41" s="106" t="n"/>
      <c r="AZ41" s="107" t="n"/>
      <c r="BA41" s="106" t="n"/>
      <c r="BB41" s="107" t="n"/>
      <c r="BC41" s="106" t="n"/>
      <c r="BD41" s="107" t="n"/>
      <c r="BE41" s="185" t="n"/>
      <c r="BF41" s="109" t="n"/>
      <c r="BG41" s="110" t="n"/>
      <c r="BH41" s="109" t="n"/>
      <c r="BI41" s="110" t="n"/>
      <c r="BJ41" s="109" t="n"/>
      <c r="BK41" s="110" t="n"/>
      <c r="BL41" s="109" t="n"/>
      <c r="BM41" s="110" t="n"/>
      <c r="BN41" s="109" t="n"/>
      <c r="BO41" s="110" t="n"/>
      <c r="BP41" s="109" t="n"/>
      <c r="BQ41" s="110" t="n"/>
      <c r="BR41" s="109" t="n"/>
      <c r="BS41" s="110" t="n"/>
      <c r="BT41" s="109" t="n"/>
      <c r="BU41" s="110" t="n"/>
      <c r="BV41" s="186" t="n"/>
      <c r="BW41" s="112" t="n"/>
      <c r="BX41" s="113" t="n"/>
      <c r="BY41" s="112" t="n"/>
      <c r="BZ41" s="113" t="n"/>
      <c r="CA41" s="112" t="n"/>
      <c r="CB41" s="113" t="n"/>
      <c r="CC41" s="112" t="n"/>
      <c r="CD41" s="113" t="n"/>
      <c r="CE41" s="112" t="n"/>
      <c r="CF41" s="113" t="n"/>
      <c r="CG41" s="112" t="n"/>
      <c r="CH41" s="113" t="n"/>
      <c r="CI41" s="112" t="n"/>
      <c r="CJ41" s="113" t="n"/>
      <c r="CK41" s="112" t="n"/>
      <c r="CL41" s="113" t="n"/>
      <c r="CM41" s="187" t="n"/>
      <c r="CN41" s="115" t="n"/>
      <c r="CO41" s="116" t="n"/>
      <c r="CP41" s="115" t="n"/>
      <c r="CQ41" s="116" t="n"/>
      <c r="CR41" s="115" t="n"/>
      <c r="CS41" s="116" t="n"/>
      <c r="CT41" s="115" t="n"/>
      <c r="CU41" s="116" t="n"/>
      <c r="CV41" s="115" t="n"/>
      <c r="CW41" s="116" t="n"/>
      <c r="CX41" s="115" t="n"/>
      <c r="CY41" s="116" t="n"/>
      <c r="CZ41" s="115" t="n"/>
      <c r="DA41" s="116" t="n"/>
      <c r="DB41" s="115" t="n"/>
      <c r="DC41" s="116" t="n"/>
      <c r="DD41" s="188" t="n"/>
      <c r="DE41" s="118" t="n"/>
      <c r="DF41" s="119" t="n"/>
      <c r="DG41" s="118" t="n"/>
      <c r="DH41" s="119" t="n"/>
      <c r="DI41" s="118" t="n"/>
      <c r="DJ41" s="119" t="n"/>
      <c r="DK41" s="118" t="n"/>
      <c r="DL41" s="119" t="n"/>
      <c r="DM41" s="118" t="n"/>
      <c r="DN41" s="119" t="n"/>
      <c r="DO41" s="118" t="n"/>
      <c r="DP41" s="119" t="n"/>
      <c r="DQ41" s="118" t="n"/>
      <c r="DR41" s="119" t="n"/>
      <c r="DS41" s="118" t="n"/>
      <c r="DT41" s="119" t="n"/>
      <c r="DU41" s="189" t="n"/>
      <c r="DV41" s="121" t="n"/>
      <c r="DW41" s="122" t="n"/>
      <c r="DX41" s="121" t="n"/>
      <c r="DY41" s="122" t="n"/>
      <c r="DZ41" s="121" t="n"/>
      <c r="EA41" s="122" t="n"/>
      <c r="EB41" s="121" t="n"/>
      <c r="EC41" s="122" t="n"/>
      <c r="ED41" s="121" t="n"/>
      <c r="EE41" s="122" t="n"/>
      <c r="EF41" s="121" t="n"/>
      <c r="EG41" s="122" t="n"/>
      <c r="EH41" s="121" t="n"/>
      <c r="EI41" s="122" t="n"/>
      <c r="EJ41" s="121" t="n"/>
      <c r="EK41" s="122" t="n"/>
      <c r="EL41" s="190" t="n"/>
      <c r="EM41" s="124" t="n"/>
      <c r="EN41" s="125" t="n"/>
      <c r="EO41" s="124" t="n"/>
      <c r="EP41" s="125" t="n"/>
      <c r="EQ41" s="124" t="n"/>
      <c r="ER41" s="125" t="n"/>
      <c r="ES41" s="124" t="n"/>
      <c r="ET41" s="125" t="n"/>
      <c r="EU41" s="124" t="n"/>
      <c r="EV41" s="125" t="n"/>
      <c r="EW41" s="124" t="n"/>
      <c r="EX41" s="125" t="n"/>
      <c r="EY41" s="124" t="n"/>
      <c r="EZ41" s="125" t="n"/>
      <c r="FA41" s="124" t="n"/>
      <c r="FB41" s="125" t="n"/>
      <c r="FC41" s="191" t="n"/>
      <c r="FD41" s="127" t="n"/>
      <c r="FE41" s="128" t="n"/>
      <c r="FF41" s="127" t="n"/>
      <c r="FG41" s="128" t="n"/>
      <c r="FH41" s="127" t="n"/>
      <c r="FI41" s="128" t="n"/>
      <c r="FJ41" s="127" t="n"/>
      <c r="FK41" s="128" t="n"/>
      <c r="FL41" s="127" t="n"/>
      <c r="FM41" s="128" t="n"/>
      <c r="FN41" s="127" t="n"/>
      <c r="FO41" s="128" t="n"/>
      <c r="FP41" s="127" t="n"/>
      <c r="FQ41" s="128" t="n"/>
      <c r="FR41" s="127" t="n"/>
      <c r="FS41" s="128" t="n"/>
      <c r="FT41" s="192" t="n"/>
      <c r="FU41" s="130" t="n"/>
      <c r="FV41" s="131" t="n"/>
      <c r="FW41" s="130" t="n"/>
      <c r="FX41" s="131" t="n"/>
      <c r="FY41" s="130" t="n"/>
      <c r="FZ41" s="131" t="n"/>
      <c r="GA41" s="130" t="n"/>
      <c r="GB41" s="131" t="n"/>
      <c r="GC41" s="130" t="n"/>
      <c r="GD41" s="131" t="n"/>
      <c r="GE41" s="130" t="n"/>
      <c r="GF41" s="131" t="n"/>
      <c r="GG41" s="130" t="n"/>
      <c r="GH41" s="131" t="n"/>
      <c r="GI41" s="130" t="n"/>
      <c r="GJ41" s="131" t="n"/>
      <c r="GK41" s="193" t="n"/>
      <c r="GL41" s="133" t="n"/>
      <c r="GM41" s="134" t="n"/>
      <c r="GN41" s="133" t="n"/>
      <c r="GO41" s="134" t="n"/>
      <c r="GP41" s="133" t="n"/>
      <c r="GQ41" s="134" t="n"/>
      <c r="GR41" s="133" t="n"/>
      <c r="GS41" s="134" t="n"/>
      <c r="GT41" s="133" t="n"/>
      <c r="GU41" s="134" t="n"/>
      <c r="GV41" s="133" t="n"/>
      <c r="GW41" s="134" t="n"/>
      <c r="GX41" s="133" t="n"/>
      <c r="GY41" s="134" t="n"/>
      <c r="GZ41" s="133" t="n"/>
      <c r="HA41" s="134" t="n"/>
      <c r="HB41" s="194" t="n"/>
      <c r="HC41">
        <f>SUMIFS($G41:$HB41,$G$46:$HB$46,"&gt;="&amp;$HD$1,$G$46:$HB$46,"&lt;="&amp;$HD$2,$G$29:$HB$29,"&lt;&gt;ملاحظات",$G$28:$HB$28,"&gt;0")</f>
        <v>0</v>
      </c>
      <c r="HD41">
        <f>SUMIFS($G$28:$HB$28,$G$46:$HB$46,"&gt;="&amp;$HD$1,$G$46:$HB$46,"&lt;="&amp;$HD$2,$G$29:$HB$29,"&lt;&gt;ملاحظات",$G41:$HB41,"&gt;=0")</f>
        <v>0</v>
      </c>
    </row>
    <row r="42" ht="22.5" customHeight="1">
      <c r="A42" s="36" t="n">
        <v>13</v>
      </c>
      <c r="B42" s="181" t="str">
        <f>IF($B17="","",$B17)</f>
        <v/>
      </c>
      <c r="C42" s="136" t="str">
        <f>IF(OR($B42="",$HD42=0),"",ROUND($HC42,2)&amp;" / "&amp;$HD42)</f>
        <v/>
      </c>
      <c r="D42" s="182" t="str">
        <f>IF(OR($B42="",$HD42=0),"",$HC42/$HD42)</f>
        <v/>
      </c>
      <c r="E42" s="98" t="str">
        <f>IF($D42="","",RANK($D42,$D$30:$D$44))</f>
        <v/>
      </c>
      <c r="F42" s="99" t="str">
        <f>IF($D42="","",IF($D42&gt;=0.85,"ممتاز",IF($D42&gt;=0.75,"جيد جداً",IF($D42&gt;=0.65,"جيد",IF($D42&gt;=0.5,"مقبول","ضعيف")))))</f>
        <v/>
      </c>
      <c r="G42" s="100" t="n"/>
      <c r="H42" s="101" t="n"/>
      <c r="I42" s="100" t="n"/>
      <c r="J42" s="101" t="n"/>
      <c r="K42" s="100" t="n"/>
      <c r="L42" s="101" t="n"/>
      <c r="M42" s="100" t="n"/>
      <c r="N42" s="101" t="n"/>
      <c r="O42" s="100" t="n"/>
      <c r="P42" s="101" t="n"/>
      <c r="Q42" s="100" t="n"/>
      <c r="R42" s="101" t="n"/>
      <c r="S42" s="100" t="n"/>
      <c r="T42" s="101" t="n"/>
      <c r="U42" s="100" t="n"/>
      <c r="V42" s="101" t="n"/>
      <c r="W42" s="183" t="n"/>
      <c r="X42" s="103" t="n"/>
      <c r="Y42" s="104" t="n"/>
      <c r="Z42" s="103" t="n"/>
      <c r="AA42" s="104" t="n"/>
      <c r="AB42" s="103" t="n"/>
      <c r="AC42" s="104" t="n"/>
      <c r="AD42" s="103" t="n"/>
      <c r="AE42" s="104" t="n"/>
      <c r="AF42" s="103" t="n"/>
      <c r="AG42" s="104" t="n"/>
      <c r="AH42" s="103" t="n"/>
      <c r="AI42" s="104" t="n"/>
      <c r="AJ42" s="103" t="n"/>
      <c r="AK42" s="104" t="n"/>
      <c r="AL42" s="103" t="n"/>
      <c r="AM42" s="104" t="n"/>
      <c r="AN42" s="184" t="n"/>
      <c r="AO42" s="106" t="n"/>
      <c r="AP42" s="107" t="n"/>
      <c r="AQ42" s="106" t="n"/>
      <c r="AR42" s="107" t="n"/>
      <c r="AS42" s="106" t="n"/>
      <c r="AT42" s="107" t="n"/>
      <c r="AU42" s="106" t="n"/>
      <c r="AV42" s="107" t="n"/>
      <c r="AW42" s="106" t="n"/>
      <c r="AX42" s="107" t="n"/>
      <c r="AY42" s="106" t="n"/>
      <c r="AZ42" s="107" t="n"/>
      <c r="BA42" s="106" t="n"/>
      <c r="BB42" s="107" t="n"/>
      <c r="BC42" s="106" t="n"/>
      <c r="BD42" s="107" t="n"/>
      <c r="BE42" s="185" t="n"/>
      <c r="BF42" s="109" t="n"/>
      <c r="BG42" s="110" t="n"/>
      <c r="BH42" s="109" t="n"/>
      <c r="BI42" s="110" t="n"/>
      <c r="BJ42" s="109" t="n"/>
      <c r="BK42" s="110" t="n"/>
      <c r="BL42" s="109" t="n"/>
      <c r="BM42" s="110" t="n"/>
      <c r="BN42" s="109" t="n"/>
      <c r="BO42" s="110" t="n"/>
      <c r="BP42" s="109" t="n"/>
      <c r="BQ42" s="110" t="n"/>
      <c r="BR42" s="109" t="n"/>
      <c r="BS42" s="110" t="n"/>
      <c r="BT42" s="109" t="n"/>
      <c r="BU42" s="110" t="n"/>
      <c r="BV42" s="186" t="n"/>
      <c r="BW42" s="112" t="n"/>
      <c r="BX42" s="113" t="n"/>
      <c r="BY42" s="112" t="n"/>
      <c r="BZ42" s="113" t="n"/>
      <c r="CA42" s="112" t="n"/>
      <c r="CB42" s="113" t="n"/>
      <c r="CC42" s="112" t="n"/>
      <c r="CD42" s="113" t="n"/>
      <c r="CE42" s="112" t="n"/>
      <c r="CF42" s="113" t="n"/>
      <c r="CG42" s="112" t="n"/>
      <c r="CH42" s="113" t="n"/>
      <c r="CI42" s="112" t="n"/>
      <c r="CJ42" s="113" t="n"/>
      <c r="CK42" s="112" t="n"/>
      <c r="CL42" s="113" t="n"/>
      <c r="CM42" s="187" t="n"/>
      <c r="CN42" s="115" t="n"/>
      <c r="CO42" s="116" t="n"/>
      <c r="CP42" s="115" t="n"/>
      <c r="CQ42" s="116" t="n"/>
      <c r="CR42" s="115" t="n"/>
      <c r="CS42" s="116" t="n"/>
      <c r="CT42" s="115" t="n"/>
      <c r="CU42" s="116" t="n"/>
      <c r="CV42" s="115" t="n"/>
      <c r="CW42" s="116" t="n"/>
      <c r="CX42" s="115" t="n"/>
      <c r="CY42" s="116" t="n"/>
      <c r="CZ42" s="115" t="n"/>
      <c r="DA42" s="116" t="n"/>
      <c r="DB42" s="115" t="n"/>
      <c r="DC42" s="116" t="n"/>
      <c r="DD42" s="188" t="n"/>
      <c r="DE42" s="118" t="n"/>
      <c r="DF42" s="119" t="n"/>
      <c r="DG42" s="118" t="n"/>
      <c r="DH42" s="119" t="n"/>
      <c r="DI42" s="118" t="n"/>
      <c r="DJ42" s="119" t="n"/>
      <c r="DK42" s="118" t="n"/>
      <c r="DL42" s="119" t="n"/>
      <c r="DM42" s="118" t="n"/>
      <c r="DN42" s="119" t="n"/>
      <c r="DO42" s="118" t="n"/>
      <c r="DP42" s="119" t="n"/>
      <c r="DQ42" s="118" t="n"/>
      <c r="DR42" s="119" t="n"/>
      <c r="DS42" s="118" t="n"/>
      <c r="DT42" s="119" t="n"/>
      <c r="DU42" s="189" t="n"/>
      <c r="DV42" s="121" t="n"/>
      <c r="DW42" s="122" t="n"/>
      <c r="DX42" s="121" t="n"/>
      <c r="DY42" s="122" t="n"/>
      <c r="DZ42" s="121" t="n"/>
      <c r="EA42" s="122" t="n"/>
      <c r="EB42" s="121" t="n"/>
      <c r="EC42" s="122" t="n"/>
      <c r="ED42" s="121" t="n"/>
      <c r="EE42" s="122" t="n"/>
      <c r="EF42" s="121" t="n"/>
      <c r="EG42" s="122" t="n"/>
      <c r="EH42" s="121" t="n"/>
      <c r="EI42" s="122" t="n"/>
      <c r="EJ42" s="121" t="n"/>
      <c r="EK42" s="122" t="n"/>
      <c r="EL42" s="190" t="n"/>
      <c r="EM42" s="124" t="n"/>
      <c r="EN42" s="125" t="n"/>
      <c r="EO42" s="124" t="n"/>
      <c r="EP42" s="125" t="n"/>
      <c r="EQ42" s="124" t="n"/>
      <c r="ER42" s="125" t="n"/>
      <c r="ES42" s="124" t="n"/>
      <c r="ET42" s="125" t="n"/>
      <c r="EU42" s="124" t="n"/>
      <c r="EV42" s="125" t="n"/>
      <c r="EW42" s="124" t="n"/>
      <c r="EX42" s="125" t="n"/>
      <c r="EY42" s="124" t="n"/>
      <c r="EZ42" s="125" t="n"/>
      <c r="FA42" s="124" t="n"/>
      <c r="FB42" s="125" t="n"/>
      <c r="FC42" s="191" t="n"/>
      <c r="FD42" s="127" t="n"/>
      <c r="FE42" s="128" t="n"/>
      <c r="FF42" s="127" t="n"/>
      <c r="FG42" s="128" t="n"/>
      <c r="FH42" s="127" t="n"/>
      <c r="FI42" s="128" t="n"/>
      <c r="FJ42" s="127" t="n"/>
      <c r="FK42" s="128" t="n"/>
      <c r="FL42" s="127" t="n"/>
      <c r="FM42" s="128" t="n"/>
      <c r="FN42" s="127" t="n"/>
      <c r="FO42" s="128" t="n"/>
      <c r="FP42" s="127" t="n"/>
      <c r="FQ42" s="128" t="n"/>
      <c r="FR42" s="127" t="n"/>
      <c r="FS42" s="128" t="n"/>
      <c r="FT42" s="192" t="n"/>
      <c r="FU42" s="130" t="n"/>
      <c r="FV42" s="131" t="n"/>
      <c r="FW42" s="130" t="n"/>
      <c r="FX42" s="131" t="n"/>
      <c r="FY42" s="130" t="n"/>
      <c r="FZ42" s="131" t="n"/>
      <c r="GA42" s="130" t="n"/>
      <c r="GB42" s="131" t="n"/>
      <c r="GC42" s="130" t="n"/>
      <c r="GD42" s="131" t="n"/>
      <c r="GE42" s="130" t="n"/>
      <c r="GF42" s="131" t="n"/>
      <c r="GG42" s="130" t="n"/>
      <c r="GH42" s="131" t="n"/>
      <c r="GI42" s="130" t="n"/>
      <c r="GJ42" s="131" t="n"/>
      <c r="GK42" s="193" t="n"/>
      <c r="GL42" s="133" t="n"/>
      <c r="GM42" s="134" t="n"/>
      <c r="GN42" s="133" t="n"/>
      <c r="GO42" s="134" t="n"/>
      <c r="GP42" s="133" t="n"/>
      <c r="GQ42" s="134" t="n"/>
      <c r="GR42" s="133" t="n"/>
      <c r="GS42" s="134" t="n"/>
      <c r="GT42" s="133" t="n"/>
      <c r="GU42" s="134" t="n"/>
      <c r="GV42" s="133" t="n"/>
      <c r="GW42" s="134" t="n"/>
      <c r="GX42" s="133" t="n"/>
      <c r="GY42" s="134" t="n"/>
      <c r="GZ42" s="133" t="n"/>
      <c r="HA42" s="134" t="n"/>
      <c r="HB42" s="194" t="n"/>
      <c r="HC42">
        <f>SUMIFS($G42:$HB42,$G$46:$HB$46,"&gt;="&amp;$HD$1,$G$46:$HB$46,"&lt;="&amp;$HD$2,$G$29:$HB$29,"&lt;&gt;ملاحظات",$G$28:$HB$28,"&gt;0")</f>
        <v>0</v>
      </c>
      <c r="HD42">
        <f>SUMIFS($G$28:$HB$28,$G$46:$HB$46,"&gt;="&amp;$HD$1,$G$46:$HB$46,"&lt;="&amp;$HD$2,$G$29:$HB$29,"&lt;&gt;ملاحظات",$G42:$HB42,"&gt;=0")</f>
        <v>0</v>
      </c>
    </row>
    <row r="43" ht="22.5" customHeight="1">
      <c r="A43" s="36" t="n">
        <v>14</v>
      </c>
      <c r="B43" s="181" t="str">
        <f>IF($B18="","",$B18)</f>
        <v/>
      </c>
      <c r="C43" s="136" t="str">
        <f>IF(OR($B43="",$HD43=0),"",ROUND($HC43,2)&amp;" / "&amp;$HD43)</f>
        <v/>
      </c>
      <c r="D43" s="182" t="str">
        <f>IF(OR($B43="",$HD43=0),"",$HC43/$HD43)</f>
        <v/>
      </c>
      <c r="E43" s="98" t="str">
        <f>IF($D43="","",RANK($D43,$D$30:$D$44))</f>
        <v/>
      </c>
      <c r="F43" s="99" t="str">
        <f>IF($D43="","",IF($D43&gt;=0.85,"ممتاز",IF($D43&gt;=0.75,"جيد جداً",IF($D43&gt;=0.65,"جيد",IF($D43&gt;=0.5,"مقبول","ضعيف")))))</f>
        <v/>
      </c>
      <c r="G43" s="100" t="n"/>
      <c r="H43" s="101" t="n"/>
      <c r="I43" s="100" t="n"/>
      <c r="J43" s="101" t="n"/>
      <c r="K43" s="100" t="n"/>
      <c r="L43" s="101" t="n"/>
      <c r="M43" s="100" t="n"/>
      <c r="N43" s="101" t="n"/>
      <c r="O43" s="100" t="n"/>
      <c r="P43" s="101" t="n"/>
      <c r="Q43" s="100" t="n"/>
      <c r="R43" s="101" t="n"/>
      <c r="S43" s="100" t="n"/>
      <c r="T43" s="101" t="n"/>
      <c r="U43" s="100" t="n"/>
      <c r="V43" s="101" t="n"/>
      <c r="W43" s="183" t="n"/>
      <c r="X43" s="103" t="n"/>
      <c r="Y43" s="104" t="n"/>
      <c r="Z43" s="103" t="n"/>
      <c r="AA43" s="104" t="n"/>
      <c r="AB43" s="103" t="n"/>
      <c r="AC43" s="104" t="n"/>
      <c r="AD43" s="103" t="n"/>
      <c r="AE43" s="104" t="n"/>
      <c r="AF43" s="103" t="n"/>
      <c r="AG43" s="104" t="n"/>
      <c r="AH43" s="103" t="n"/>
      <c r="AI43" s="104" t="n"/>
      <c r="AJ43" s="103" t="n"/>
      <c r="AK43" s="104" t="n"/>
      <c r="AL43" s="103" t="n"/>
      <c r="AM43" s="104" t="n"/>
      <c r="AN43" s="184" t="n"/>
      <c r="AO43" s="106" t="n"/>
      <c r="AP43" s="107" t="n"/>
      <c r="AQ43" s="106" t="n"/>
      <c r="AR43" s="107" t="n"/>
      <c r="AS43" s="106" t="n"/>
      <c r="AT43" s="107" t="n"/>
      <c r="AU43" s="106" t="n"/>
      <c r="AV43" s="107" t="n"/>
      <c r="AW43" s="106" t="n"/>
      <c r="AX43" s="107" t="n"/>
      <c r="AY43" s="106" t="n"/>
      <c r="AZ43" s="107" t="n"/>
      <c r="BA43" s="106" t="n"/>
      <c r="BB43" s="107" t="n"/>
      <c r="BC43" s="106" t="n"/>
      <c r="BD43" s="107" t="n"/>
      <c r="BE43" s="185" t="n"/>
      <c r="BF43" s="109" t="n"/>
      <c r="BG43" s="110" t="n"/>
      <c r="BH43" s="109" t="n"/>
      <c r="BI43" s="110" t="n"/>
      <c r="BJ43" s="109" t="n"/>
      <c r="BK43" s="110" t="n"/>
      <c r="BL43" s="109" t="n"/>
      <c r="BM43" s="110" t="n"/>
      <c r="BN43" s="109" t="n"/>
      <c r="BO43" s="110" t="n"/>
      <c r="BP43" s="109" t="n"/>
      <c r="BQ43" s="110" t="n"/>
      <c r="BR43" s="109" t="n"/>
      <c r="BS43" s="110" t="n"/>
      <c r="BT43" s="109" t="n"/>
      <c r="BU43" s="110" t="n"/>
      <c r="BV43" s="186" t="n"/>
      <c r="BW43" s="112" t="n"/>
      <c r="BX43" s="113" t="n"/>
      <c r="BY43" s="112" t="n"/>
      <c r="BZ43" s="113" t="n"/>
      <c r="CA43" s="112" t="n"/>
      <c r="CB43" s="113" t="n"/>
      <c r="CC43" s="112" t="n"/>
      <c r="CD43" s="113" t="n"/>
      <c r="CE43" s="112" t="n"/>
      <c r="CF43" s="113" t="n"/>
      <c r="CG43" s="112" t="n"/>
      <c r="CH43" s="113" t="n"/>
      <c r="CI43" s="112" t="n"/>
      <c r="CJ43" s="113" t="n"/>
      <c r="CK43" s="112" t="n"/>
      <c r="CL43" s="113" t="n"/>
      <c r="CM43" s="187" t="n"/>
      <c r="CN43" s="115" t="n"/>
      <c r="CO43" s="116" t="n"/>
      <c r="CP43" s="115" t="n"/>
      <c r="CQ43" s="116" t="n"/>
      <c r="CR43" s="115" t="n"/>
      <c r="CS43" s="116" t="n"/>
      <c r="CT43" s="115" t="n"/>
      <c r="CU43" s="116" t="n"/>
      <c r="CV43" s="115" t="n"/>
      <c r="CW43" s="116" t="n"/>
      <c r="CX43" s="115" t="n"/>
      <c r="CY43" s="116" t="n"/>
      <c r="CZ43" s="115" t="n"/>
      <c r="DA43" s="116" t="n"/>
      <c r="DB43" s="115" t="n"/>
      <c r="DC43" s="116" t="n"/>
      <c r="DD43" s="188" t="n"/>
      <c r="DE43" s="118" t="n"/>
      <c r="DF43" s="119" t="n"/>
      <c r="DG43" s="118" t="n"/>
      <c r="DH43" s="119" t="n"/>
      <c r="DI43" s="118" t="n"/>
      <c r="DJ43" s="119" t="n"/>
      <c r="DK43" s="118" t="n"/>
      <c r="DL43" s="119" t="n"/>
      <c r="DM43" s="118" t="n"/>
      <c r="DN43" s="119" t="n"/>
      <c r="DO43" s="118" t="n"/>
      <c r="DP43" s="119" t="n"/>
      <c r="DQ43" s="118" t="n"/>
      <c r="DR43" s="119" t="n"/>
      <c r="DS43" s="118" t="n"/>
      <c r="DT43" s="119" t="n"/>
      <c r="DU43" s="189" t="n"/>
      <c r="DV43" s="121" t="n"/>
      <c r="DW43" s="122" t="n"/>
      <c r="DX43" s="121" t="n"/>
      <c r="DY43" s="122" t="n"/>
      <c r="DZ43" s="121" t="n"/>
      <c r="EA43" s="122" t="n"/>
      <c r="EB43" s="121" t="n"/>
      <c r="EC43" s="122" t="n"/>
      <c r="ED43" s="121" t="n"/>
      <c r="EE43" s="122" t="n"/>
      <c r="EF43" s="121" t="n"/>
      <c r="EG43" s="122" t="n"/>
      <c r="EH43" s="121" t="n"/>
      <c r="EI43" s="122" t="n"/>
      <c r="EJ43" s="121" t="n"/>
      <c r="EK43" s="122" t="n"/>
      <c r="EL43" s="190" t="n"/>
      <c r="EM43" s="124" t="n"/>
      <c r="EN43" s="125" t="n"/>
      <c r="EO43" s="124" t="n"/>
      <c r="EP43" s="125" t="n"/>
      <c r="EQ43" s="124" t="n"/>
      <c r="ER43" s="125" t="n"/>
      <c r="ES43" s="124" t="n"/>
      <c r="ET43" s="125" t="n"/>
      <c r="EU43" s="124" t="n"/>
      <c r="EV43" s="125" t="n"/>
      <c r="EW43" s="124" t="n"/>
      <c r="EX43" s="125" t="n"/>
      <c r="EY43" s="124" t="n"/>
      <c r="EZ43" s="125" t="n"/>
      <c r="FA43" s="124" t="n"/>
      <c r="FB43" s="125" t="n"/>
      <c r="FC43" s="191" t="n"/>
      <c r="FD43" s="127" t="n"/>
      <c r="FE43" s="128" t="n"/>
      <c r="FF43" s="127" t="n"/>
      <c r="FG43" s="128" t="n"/>
      <c r="FH43" s="127" t="n"/>
      <c r="FI43" s="128" t="n"/>
      <c r="FJ43" s="127" t="n"/>
      <c r="FK43" s="128" t="n"/>
      <c r="FL43" s="127" t="n"/>
      <c r="FM43" s="128" t="n"/>
      <c r="FN43" s="127" t="n"/>
      <c r="FO43" s="128" t="n"/>
      <c r="FP43" s="127" t="n"/>
      <c r="FQ43" s="128" t="n"/>
      <c r="FR43" s="127" t="n"/>
      <c r="FS43" s="128" t="n"/>
      <c r="FT43" s="192" t="n"/>
      <c r="FU43" s="130" t="n"/>
      <c r="FV43" s="131" t="n"/>
      <c r="FW43" s="130" t="n"/>
      <c r="FX43" s="131" t="n"/>
      <c r="FY43" s="130" t="n"/>
      <c r="FZ43" s="131" t="n"/>
      <c r="GA43" s="130" t="n"/>
      <c r="GB43" s="131" t="n"/>
      <c r="GC43" s="130" t="n"/>
      <c r="GD43" s="131" t="n"/>
      <c r="GE43" s="130" t="n"/>
      <c r="GF43" s="131" t="n"/>
      <c r="GG43" s="130" t="n"/>
      <c r="GH43" s="131" t="n"/>
      <c r="GI43" s="130" t="n"/>
      <c r="GJ43" s="131" t="n"/>
      <c r="GK43" s="193" t="n"/>
      <c r="GL43" s="133" t="n"/>
      <c r="GM43" s="134" t="n"/>
      <c r="GN43" s="133" t="n"/>
      <c r="GO43" s="134" t="n"/>
      <c r="GP43" s="133" t="n"/>
      <c r="GQ43" s="134" t="n"/>
      <c r="GR43" s="133" t="n"/>
      <c r="GS43" s="134" t="n"/>
      <c r="GT43" s="133" t="n"/>
      <c r="GU43" s="134" t="n"/>
      <c r="GV43" s="133" t="n"/>
      <c r="GW43" s="134" t="n"/>
      <c r="GX43" s="133" t="n"/>
      <c r="GY43" s="134" t="n"/>
      <c r="GZ43" s="133" t="n"/>
      <c r="HA43" s="134" t="n"/>
      <c r="HB43" s="194" t="n"/>
      <c r="HC43">
        <f>SUMIFS($G43:$HB43,$G$46:$HB$46,"&gt;="&amp;$HD$1,$G$46:$HB$46,"&lt;="&amp;$HD$2,$G$29:$HB$29,"&lt;&gt;ملاحظات",$G$28:$HB$28,"&gt;0")</f>
        <v>0</v>
      </c>
      <c r="HD43">
        <f>SUMIFS($G$28:$HB$28,$G$46:$HB$46,"&gt;="&amp;$HD$1,$G$46:$HB$46,"&lt;="&amp;$HD$2,$G$29:$HB$29,"&lt;&gt;ملاحظات",$G43:$HB43,"&gt;=0")</f>
        <v>0</v>
      </c>
    </row>
    <row r="44" ht="22.5" customHeight="1">
      <c r="A44" s="36" t="n">
        <v>15</v>
      </c>
      <c r="B44" s="181" t="str">
        <f>IF($B19="","",$B19)</f>
        <v/>
      </c>
      <c r="C44" s="136" t="str">
        <f>IF(OR($B44="",$HD44=0),"",ROUND($HC44,2)&amp;" / "&amp;$HD44)</f>
        <v/>
      </c>
      <c r="D44" s="182" t="str">
        <f>IF(OR($B44="",$HD44=0),"",$HC44/$HD44)</f>
        <v/>
      </c>
      <c r="E44" s="98" t="str">
        <f>IF($D44="","",RANK($D44,$D$30:$D$44))</f>
        <v/>
      </c>
      <c r="F44" s="99" t="str">
        <f>IF($D44="","",IF($D44&gt;=0.85,"ممتاز",IF($D44&gt;=0.75,"جيد جداً",IF($D44&gt;=0.65,"جيد",IF($D44&gt;=0.5,"مقبول","ضعيف")))))</f>
        <v/>
      </c>
      <c r="G44" s="100" t="n"/>
      <c r="H44" s="101" t="n"/>
      <c r="I44" s="100" t="n"/>
      <c r="J44" s="101" t="n"/>
      <c r="K44" s="100" t="n"/>
      <c r="L44" s="101" t="n"/>
      <c r="M44" s="100" t="n"/>
      <c r="N44" s="101" t="n"/>
      <c r="O44" s="100" t="n"/>
      <c r="P44" s="101" t="n"/>
      <c r="Q44" s="100" t="n"/>
      <c r="R44" s="101" t="n"/>
      <c r="S44" s="100" t="n"/>
      <c r="T44" s="101" t="n"/>
      <c r="U44" s="100" t="n"/>
      <c r="V44" s="101" t="n"/>
      <c r="W44" s="183" t="n"/>
      <c r="X44" s="103" t="n"/>
      <c r="Y44" s="104" t="n"/>
      <c r="Z44" s="103" t="n"/>
      <c r="AA44" s="104" t="n"/>
      <c r="AB44" s="103" t="n"/>
      <c r="AC44" s="104" t="n"/>
      <c r="AD44" s="103" t="n"/>
      <c r="AE44" s="104" t="n"/>
      <c r="AF44" s="103" t="n"/>
      <c r="AG44" s="104" t="n"/>
      <c r="AH44" s="103" t="n"/>
      <c r="AI44" s="104" t="n"/>
      <c r="AJ44" s="103" t="n"/>
      <c r="AK44" s="104" t="n"/>
      <c r="AL44" s="103" t="n"/>
      <c r="AM44" s="104" t="n"/>
      <c r="AN44" s="184" t="n"/>
      <c r="AO44" s="106" t="n"/>
      <c r="AP44" s="107" t="n"/>
      <c r="AQ44" s="106" t="n"/>
      <c r="AR44" s="107" t="n"/>
      <c r="AS44" s="106" t="n"/>
      <c r="AT44" s="107" t="n"/>
      <c r="AU44" s="106" t="n"/>
      <c r="AV44" s="107" t="n"/>
      <c r="AW44" s="106" t="n"/>
      <c r="AX44" s="107" t="n"/>
      <c r="AY44" s="106" t="n"/>
      <c r="AZ44" s="107" t="n"/>
      <c r="BA44" s="106" t="n"/>
      <c r="BB44" s="107" t="n"/>
      <c r="BC44" s="106" t="n"/>
      <c r="BD44" s="107" t="n"/>
      <c r="BE44" s="185" t="n"/>
      <c r="BF44" s="109" t="n"/>
      <c r="BG44" s="110" t="n"/>
      <c r="BH44" s="109" t="n"/>
      <c r="BI44" s="110" t="n"/>
      <c r="BJ44" s="109" t="n"/>
      <c r="BK44" s="110" t="n"/>
      <c r="BL44" s="109" t="n"/>
      <c r="BM44" s="110" t="n"/>
      <c r="BN44" s="109" t="n"/>
      <c r="BO44" s="110" t="n"/>
      <c r="BP44" s="109" t="n"/>
      <c r="BQ44" s="110" t="n"/>
      <c r="BR44" s="109" t="n"/>
      <c r="BS44" s="110" t="n"/>
      <c r="BT44" s="109" t="n"/>
      <c r="BU44" s="110" t="n"/>
      <c r="BV44" s="186" t="n"/>
      <c r="BW44" s="112" t="n"/>
      <c r="BX44" s="113" t="n"/>
      <c r="BY44" s="112" t="n"/>
      <c r="BZ44" s="113" t="n"/>
      <c r="CA44" s="112" t="n"/>
      <c r="CB44" s="113" t="n"/>
      <c r="CC44" s="112" t="n"/>
      <c r="CD44" s="113" t="n"/>
      <c r="CE44" s="112" t="n"/>
      <c r="CF44" s="113" t="n"/>
      <c r="CG44" s="112" t="n"/>
      <c r="CH44" s="113" t="n"/>
      <c r="CI44" s="112" t="n"/>
      <c r="CJ44" s="113" t="n"/>
      <c r="CK44" s="112" t="n"/>
      <c r="CL44" s="113" t="n"/>
      <c r="CM44" s="187" t="n"/>
      <c r="CN44" s="115" t="n"/>
      <c r="CO44" s="116" t="n"/>
      <c r="CP44" s="115" t="n"/>
      <c r="CQ44" s="116" t="n"/>
      <c r="CR44" s="115" t="n"/>
      <c r="CS44" s="116" t="n"/>
      <c r="CT44" s="115" t="n"/>
      <c r="CU44" s="116" t="n"/>
      <c r="CV44" s="115" t="n"/>
      <c r="CW44" s="116" t="n"/>
      <c r="CX44" s="115" t="n"/>
      <c r="CY44" s="116" t="n"/>
      <c r="CZ44" s="115" t="n"/>
      <c r="DA44" s="116" t="n"/>
      <c r="DB44" s="115" t="n"/>
      <c r="DC44" s="116" t="n"/>
      <c r="DD44" s="188" t="n"/>
      <c r="DE44" s="118" t="n"/>
      <c r="DF44" s="119" t="n"/>
      <c r="DG44" s="118" t="n"/>
      <c r="DH44" s="119" t="n"/>
      <c r="DI44" s="118" t="n"/>
      <c r="DJ44" s="119" t="n"/>
      <c r="DK44" s="118" t="n"/>
      <c r="DL44" s="119" t="n"/>
      <c r="DM44" s="118" t="n"/>
      <c r="DN44" s="119" t="n"/>
      <c r="DO44" s="118" t="n"/>
      <c r="DP44" s="119" t="n"/>
      <c r="DQ44" s="118" t="n"/>
      <c r="DR44" s="119" t="n"/>
      <c r="DS44" s="118" t="n"/>
      <c r="DT44" s="119" t="n"/>
      <c r="DU44" s="189" t="n"/>
      <c r="DV44" s="121" t="n"/>
      <c r="DW44" s="122" t="n"/>
      <c r="DX44" s="121" t="n"/>
      <c r="DY44" s="122" t="n"/>
      <c r="DZ44" s="121" t="n"/>
      <c r="EA44" s="122" t="n"/>
      <c r="EB44" s="121" t="n"/>
      <c r="EC44" s="122" t="n"/>
      <c r="ED44" s="121" t="n"/>
      <c r="EE44" s="122" t="n"/>
      <c r="EF44" s="121" t="n"/>
      <c r="EG44" s="122" t="n"/>
      <c r="EH44" s="121" t="n"/>
      <c r="EI44" s="122" t="n"/>
      <c r="EJ44" s="121" t="n"/>
      <c r="EK44" s="122" t="n"/>
      <c r="EL44" s="190" t="n"/>
      <c r="EM44" s="124" t="n"/>
      <c r="EN44" s="125" t="n"/>
      <c r="EO44" s="124" t="n"/>
      <c r="EP44" s="125" t="n"/>
      <c r="EQ44" s="124" t="n"/>
      <c r="ER44" s="125" t="n"/>
      <c r="ES44" s="124" t="n"/>
      <c r="ET44" s="125" t="n"/>
      <c r="EU44" s="124" t="n"/>
      <c r="EV44" s="125" t="n"/>
      <c r="EW44" s="124" t="n"/>
      <c r="EX44" s="125" t="n"/>
      <c r="EY44" s="124" t="n"/>
      <c r="EZ44" s="125" t="n"/>
      <c r="FA44" s="124" t="n"/>
      <c r="FB44" s="125" t="n"/>
      <c r="FC44" s="191" t="n"/>
      <c r="FD44" s="127" t="n"/>
      <c r="FE44" s="128" t="n"/>
      <c r="FF44" s="127" t="n"/>
      <c r="FG44" s="128" t="n"/>
      <c r="FH44" s="127" t="n"/>
      <c r="FI44" s="128" t="n"/>
      <c r="FJ44" s="127" t="n"/>
      <c r="FK44" s="128" t="n"/>
      <c r="FL44" s="127" t="n"/>
      <c r="FM44" s="128" t="n"/>
      <c r="FN44" s="127" t="n"/>
      <c r="FO44" s="128" t="n"/>
      <c r="FP44" s="127" t="n"/>
      <c r="FQ44" s="128" t="n"/>
      <c r="FR44" s="127" t="n"/>
      <c r="FS44" s="128" t="n"/>
      <c r="FT44" s="192" t="n"/>
      <c r="FU44" s="130" t="n"/>
      <c r="FV44" s="131" t="n"/>
      <c r="FW44" s="130" t="n"/>
      <c r="FX44" s="131" t="n"/>
      <c r="FY44" s="130" t="n"/>
      <c r="FZ44" s="131" t="n"/>
      <c r="GA44" s="130" t="n"/>
      <c r="GB44" s="131" t="n"/>
      <c r="GC44" s="130" t="n"/>
      <c r="GD44" s="131" t="n"/>
      <c r="GE44" s="130" t="n"/>
      <c r="GF44" s="131" t="n"/>
      <c r="GG44" s="130" t="n"/>
      <c r="GH44" s="131" t="n"/>
      <c r="GI44" s="130" t="n"/>
      <c r="GJ44" s="131" t="n"/>
      <c r="GK44" s="193" t="n"/>
      <c r="GL44" s="133" t="n"/>
      <c r="GM44" s="134" t="n"/>
      <c r="GN44" s="133" t="n"/>
      <c r="GO44" s="134" t="n"/>
      <c r="GP44" s="133" t="n"/>
      <c r="GQ44" s="134" t="n"/>
      <c r="GR44" s="133" t="n"/>
      <c r="GS44" s="134" t="n"/>
      <c r="GT44" s="133" t="n"/>
      <c r="GU44" s="134" t="n"/>
      <c r="GV44" s="133" t="n"/>
      <c r="GW44" s="134" t="n"/>
      <c r="GX44" s="133" t="n"/>
      <c r="GY44" s="134" t="n"/>
      <c r="GZ44" s="133" t="n"/>
      <c r="HA44" s="134" t="n"/>
      <c r="HB44" s="194" t="n"/>
      <c r="HC44">
        <f>SUMIFS($G44:$HB44,$G$46:$HB$46,"&gt;="&amp;$HD$1,$G$46:$HB$46,"&lt;="&amp;$HD$2,$G$29:$HB$29,"&lt;&gt;ملاحظات",$G$28:$HB$28,"&gt;0")</f>
        <v>0</v>
      </c>
      <c r="HD44">
        <f>SUMIFS($G$28:$HB$28,$G$46:$HB$46,"&gt;="&amp;$HD$1,$G$46:$HB$46,"&lt;="&amp;$HD$2,$G$29:$HB$29,"&lt;&gt;ملاحظات",$G44:$HB44,"&gt;=0")</f>
        <v>0</v>
      </c>
    </row>
    <row r="45" ht="7.5" customHeight="1"/>
    <row r="46" hidden="1">
      <c r="G46" t="n">
        <v>1</v>
      </c>
      <c r="H46" t="n">
        <v>1</v>
      </c>
      <c r="I46" t="n">
        <v>1</v>
      </c>
      <c r="J46" t="n">
        <v>1</v>
      </c>
      <c r="K46" t="n">
        <v>1</v>
      </c>
      <c r="L46" t="n">
        <v>1</v>
      </c>
      <c r="M46" t="n">
        <v>1</v>
      </c>
      <c r="N46" t="n">
        <v>1</v>
      </c>
      <c r="O46" t="n">
        <v>1</v>
      </c>
      <c r="P46" t="n">
        <v>1</v>
      </c>
      <c r="Q46" t="n">
        <v>1</v>
      </c>
      <c r="R46" t="n">
        <v>1</v>
      </c>
      <c r="S46" t="n">
        <v>1</v>
      </c>
      <c r="T46" t="n">
        <v>1</v>
      </c>
      <c r="U46" t="n">
        <v>1</v>
      </c>
      <c r="V46" t="n">
        <v>1</v>
      </c>
      <c r="W46" t="n">
        <v>1</v>
      </c>
      <c r="X46" t="n">
        <v>2</v>
      </c>
      <c r="Y46" t="n">
        <v>2</v>
      </c>
      <c r="Z46" t="n">
        <v>2</v>
      </c>
      <c r="AA46" t="n">
        <v>2</v>
      </c>
      <c r="AB46" t="n">
        <v>2</v>
      </c>
      <c r="AC46" t="n">
        <v>2</v>
      </c>
      <c r="AD46" t="n">
        <v>2</v>
      </c>
      <c r="AE46" t="n">
        <v>2</v>
      </c>
      <c r="AF46" t="n">
        <v>2</v>
      </c>
      <c r="AG46" t="n">
        <v>2</v>
      </c>
      <c r="AH46" t="n">
        <v>2</v>
      </c>
      <c r="AI46" t="n">
        <v>2</v>
      </c>
      <c r="AJ46" t="n">
        <v>2</v>
      </c>
      <c r="AK46" t="n">
        <v>2</v>
      </c>
      <c r="AL46" t="n">
        <v>2</v>
      </c>
      <c r="AM46" t="n">
        <v>2</v>
      </c>
      <c r="AN46" t="n">
        <v>2</v>
      </c>
      <c r="AO46" t="n">
        <v>3</v>
      </c>
      <c r="AP46" t="n">
        <v>3</v>
      </c>
      <c r="AQ46" t="n">
        <v>3</v>
      </c>
      <c r="AR46" t="n">
        <v>3</v>
      </c>
      <c r="AS46" t="n">
        <v>3</v>
      </c>
      <c r="AT46" t="n">
        <v>3</v>
      </c>
      <c r="AU46" t="n">
        <v>3</v>
      </c>
      <c r="AV46" t="n">
        <v>3</v>
      </c>
      <c r="AW46" t="n">
        <v>3</v>
      </c>
      <c r="AX46" t="n">
        <v>3</v>
      </c>
      <c r="AY46" t="n">
        <v>3</v>
      </c>
      <c r="AZ46" t="n">
        <v>3</v>
      </c>
      <c r="BA46" t="n">
        <v>3</v>
      </c>
      <c r="BB46" t="n">
        <v>3</v>
      </c>
      <c r="BC46" t="n">
        <v>3</v>
      </c>
      <c r="BD46" t="n">
        <v>3</v>
      </c>
      <c r="BE46" t="n">
        <v>3</v>
      </c>
      <c r="BF46" t="n">
        <v>4</v>
      </c>
      <c r="BG46" t="n">
        <v>4</v>
      </c>
      <c r="BH46" t="n">
        <v>4</v>
      </c>
      <c r="BI46" t="n">
        <v>4</v>
      </c>
      <c r="BJ46" t="n">
        <v>4</v>
      </c>
      <c r="BK46" t="n">
        <v>4</v>
      </c>
      <c r="BL46" t="n">
        <v>4</v>
      </c>
      <c r="BM46" t="n">
        <v>4</v>
      </c>
      <c r="BN46" t="n">
        <v>4</v>
      </c>
      <c r="BO46" t="n">
        <v>4</v>
      </c>
      <c r="BP46" t="n">
        <v>4</v>
      </c>
      <c r="BQ46" t="n">
        <v>4</v>
      </c>
      <c r="BR46" t="n">
        <v>4</v>
      </c>
      <c r="BS46" t="n">
        <v>4</v>
      </c>
      <c r="BT46" t="n">
        <v>4</v>
      </c>
      <c r="BU46" t="n">
        <v>4</v>
      </c>
      <c r="BV46" t="n">
        <v>4</v>
      </c>
      <c r="BW46" t="n">
        <v>5</v>
      </c>
      <c r="BX46" t="n">
        <v>5</v>
      </c>
      <c r="BY46" t="n">
        <v>5</v>
      </c>
      <c r="BZ46" t="n">
        <v>5</v>
      </c>
      <c r="CA46" t="n">
        <v>5</v>
      </c>
      <c r="CB46" t="n">
        <v>5</v>
      </c>
      <c r="CC46" t="n">
        <v>5</v>
      </c>
      <c r="CD46" t="n">
        <v>5</v>
      </c>
      <c r="CE46" t="n">
        <v>5</v>
      </c>
      <c r="CF46" t="n">
        <v>5</v>
      </c>
      <c r="CG46" t="n">
        <v>5</v>
      </c>
      <c r="CH46" t="n">
        <v>5</v>
      </c>
      <c r="CI46" t="n">
        <v>5</v>
      </c>
      <c r="CJ46" t="n">
        <v>5</v>
      </c>
      <c r="CK46" t="n">
        <v>5</v>
      </c>
      <c r="CL46" t="n">
        <v>5</v>
      </c>
      <c r="CM46" t="n">
        <v>5</v>
      </c>
      <c r="CN46" t="n">
        <v>6</v>
      </c>
      <c r="CO46" t="n">
        <v>6</v>
      </c>
      <c r="CP46" t="n">
        <v>6</v>
      </c>
      <c r="CQ46" t="n">
        <v>6</v>
      </c>
      <c r="CR46" t="n">
        <v>6</v>
      </c>
      <c r="CS46" t="n">
        <v>6</v>
      </c>
      <c r="CT46" t="n">
        <v>6</v>
      </c>
      <c r="CU46" t="n">
        <v>6</v>
      </c>
      <c r="CV46" t="n">
        <v>6</v>
      </c>
      <c r="CW46" t="n">
        <v>6</v>
      </c>
      <c r="CX46" t="n">
        <v>6</v>
      </c>
      <c r="CY46" t="n">
        <v>6</v>
      </c>
      <c r="CZ46" t="n">
        <v>6</v>
      </c>
      <c r="DA46" t="n">
        <v>6</v>
      </c>
      <c r="DB46" t="n">
        <v>6</v>
      </c>
      <c r="DC46" t="n">
        <v>6</v>
      </c>
      <c r="DD46" t="n">
        <v>6</v>
      </c>
      <c r="DE46" t="n">
        <v>7</v>
      </c>
      <c r="DF46" t="n">
        <v>7</v>
      </c>
      <c r="DG46" t="n">
        <v>7</v>
      </c>
      <c r="DH46" t="n">
        <v>7</v>
      </c>
      <c r="DI46" t="n">
        <v>7</v>
      </c>
      <c r="DJ46" t="n">
        <v>7</v>
      </c>
      <c r="DK46" t="n">
        <v>7</v>
      </c>
      <c r="DL46" t="n">
        <v>7</v>
      </c>
      <c r="DM46" t="n">
        <v>7</v>
      </c>
      <c r="DN46" t="n">
        <v>7</v>
      </c>
      <c r="DO46" t="n">
        <v>7</v>
      </c>
      <c r="DP46" t="n">
        <v>7</v>
      </c>
      <c r="DQ46" t="n">
        <v>7</v>
      </c>
      <c r="DR46" t="n">
        <v>7</v>
      </c>
      <c r="DS46" t="n">
        <v>7</v>
      </c>
      <c r="DT46" t="n">
        <v>7</v>
      </c>
      <c r="DU46" t="n">
        <v>7</v>
      </c>
      <c r="DV46" t="n">
        <v>8</v>
      </c>
      <c r="DW46" t="n">
        <v>8</v>
      </c>
      <c r="DX46" t="n">
        <v>8</v>
      </c>
      <c r="DY46" t="n">
        <v>8</v>
      </c>
      <c r="DZ46" t="n">
        <v>8</v>
      </c>
      <c r="EA46" t="n">
        <v>8</v>
      </c>
      <c r="EB46" t="n">
        <v>8</v>
      </c>
      <c r="EC46" t="n">
        <v>8</v>
      </c>
      <c r="ED46" t="n">
        <v>8</v>
      </c>
      <c r="EE46" t="n">
        <v>8</v>
      </c>
      <c r="EF46" t="n">
        <v>8</v>
      </c>
      <c r="EG46" t="n">
        <v>8</v>
      </c>
      <c r="EH46" t="n">
        <v>8</v>
      </c>
      <c r="EI46" t="n">
        <v>8</v>
      </c>
      <c r="EJ46" t="n">
        <v>8</v>
      </c>
      <c r="EK46" t="n">
        <v>8</v>
      </c>
      <c r="EL46" t="n">
        <v>8</v>
      </c>
      <c r="EM46" t="n">
        <v>9</v>
      </c>
      <c r="EN46" t="n">
        <v>9</v>
      </c>
      <c r="EO46" t="n">
        <v>9</v>
      </c>
      <c r="EP46" t="n">
        <v>9</v>
      </c>
      <c r="EQ46" t="n">
        <v>9</v>
      </c>
      <c r="ER46" t="n">
        <v>9</v>
      </c>
      <c r="ES46" t="n">
        <v>9</v>
      </c>
      <c r="ET46" t="n">
        <v>9</v>
      </c>
      <c r="EU46" t="n">
        <v>9</v>
      </c>
      <c r="EV46" t="n">
        <v>9</v>
      </c>
      <c r="EW46" t="n">
        <v>9</v>
      </c>
      <c r="EX46" t="n">
        <v>9</v>
      </c>
      <c r="EY46" t="n">
        <v>9</v>
      </c>
      <c r="EZ46" t="n">
        <v>9</v>
      </c>
      <c r="FA46" t="n">
        <v>9</v>
      </c>
      <c r="FB46" t="n">
        <v>9</v>
      </c>
      <c r="FC46" t="n">
        <v>9</v>
      </c>
      <c r="FD46" t="n">
        <v>10</v>
      </c>
      <c r="FE46" t="n">
        <v>10</v>
      </c>
      <c r="FF46" t="n">
        <v>10</v>
      </c>
      <c r="FG46" t="n">
        <v>10</v>
      </c>
      <c r="FH46" t="n">
        <v>10</v>
      </c>
      <c r="FI46" t="n">
        <v>10</v>
      </c>
      <c r="FJ46" t="n">
        <v>10</v>
      </c>
      <c r="FK46" t="n">
        <v>10</v>
      </c>
      <c r="FL46" t="n">
        <v>10</v>
      </c>
      <c r="FM46" t="n">
        <v>10</v>
      </c>
      <c r="FN46" t="n">
        <v>10</v>
      </c>
      <c r="FO46" t="n">
        <v>10</v>
      </c>
      <c r="FP46" t="n">
        <v>10</v>
      </c>
      <c r="FQ46" t="n">
        <v>10</v>
      </c>
      <c r="FR46" t="n">
        <v>10</v>
      </c>
      <c r="FS46" t="n">
        <v>10</v>
      </c>
      <c r="FT46" t="n">
        <v>10</v>
      </c>
      <c r="FU46" t="n">
        <v>11</v>
      </c>
      <c r="FV46" t="n">
        <v>11</v>
      </c>
      <c r="FW46" t="n">
        <v>11</v>
      </c>
      <c r="FX46" t="n">
        <v>11</v>
      </c>
      <c r="FY46" t="n">
        <v>11</v>
      </c>
      <c r="FZ46" t="n">
        <v>11</v>
      </c>
      <c r="GA46" t="n">
        <v>11</v>
      </c>
      <c r="GB46" t="n">
        <v>11</v>
      </c>
      <c r="GC46" t="n">
        <v>11</v>
      </c>
      <c r="GD46" t="n">
        <v>11</v>
      </c>
      <c r="GE46" t="n">
        <v>11</v>
      </c>
      <c r="GF46" t="n">
        <v>11</v>
      </c>
      <c r="GG46" t="n">
        <v>11</v>
      </c>
      <c r="GH46" t="n">
        <v>11</v>
      </c>
      <c r="GI46" t="n">
        <v>11</v>
      </c>
      <c r="GJ46" t="n">
        <v>11</v>
      </c>
      <c r="GK46" t="n">
        <v>11</v>
      </c>
      <c r="GL46" t="n">
        <v>12</v>
      </c>
      <c r="GM46" t="n">
        <v>12</v>
      </c>
      <c r="GN46" t="n">
        <v>12</v>
      </c>
      <c r="GO46" t="n">
        <v>12</v>
      </c>
      <c r="GP46" t="n">
        <v>12</v>
      </c>
      <c r="GQ46" t="n">
        <v>12</v>
      </c>
      <c r="GR46" t="n">
        <v>12</v>
      </c>
      <c r="GS46" t="n">
        <v>12</v>
      </c>
      <c r="GT46" t="n">
        <v>12</v>
      </c>
      <c r="GU46" t="n">
        <v>12</v>
      </c>
      <c r="GV46" t="n">
        <v>12</v>
      </c>
      <c r="GW46" t="n">
        <v>12</v>
      </c>
      <c r="GX46" t="n">
        <v>12</v>
      </c>
      <c r="GY46" t="n">
        <v>12</v>
      </c>
      <c r="GZ46" t="n">
        <v>12</v>
      </c>
      <c r="HA46" t="n">
        <v>12</v>
      </c>
      <c r="HB46" t="n">
        <v>12</v>
      </c>
    </row>
    <row r="47" hidden="1">
      <c r="G47" t="n">
        <v>1</v>
      </c>
      <c r="H47" t="n">
        <v>1</v>
      </c>
      <c r="I47" t="n">
        <v>2</v>
      </c>
      <c r="J47" t="n">
        <v>2</v>
      </c>
      <c r="K47" t="n">
        <v>3</v>
      </c>
      <c r="L47" t="n">
        <v>3</v>
      </c>
      <c r="M47" t="n">
        <v>4</v>
      </c>
      <c r="N47" t="n">
        <v>4</v>
      </c>
      <c r="O47" t="n">
        <v>5</v>
      </c>
      <c r="P47" t="n">
        <v>5</v>
      </c>
      <c r="Q47" t="n">
        <v>6</v>
      </c>
      <c r="R47" t="n">
        <v>6</v>
      </c>
      <c r="S47" t="n">
        <v>7</v>
      </c>
      <c r="T47" t="n">
        <v>7</v>
      </c>
      <c r="U47" t="n">
        <v>8</v>
      </c>
      <c r="V47" t="n">
        <v>8</v>
      </c>
      <c r="W47" t="n">
        <v>0</v>
      </c>
      <c r="X47" t="n">
        <v>9</v>
      </c>
      <c r="Y47" t="n">
        <v>9</v>
      </c>
      <c r="Z47" t="n">
        <v>10</v>
      </c>
      <c r="AA47" t="n">
        <v>10</v>
      </c>
      <c r="AB47" t="n">
        <v>11</v>
      </c>
      <c r="AC47" t="n">
        <v>11</v>
      </c>
      <c r="AD47" t="n">
        <v>12</v>
      </c>
      <c r="AE47" t="n">
        <v>12</v>
      </c>
      <c r="AF47" t="n">
        <v>13</v>
      </c>
      <c r="AG47" t="n">
        <v>13</v>
      </c>
      <c r="AH47" t="n">
        <v>14</v>
      </c>
      <c r="AI47" t="n">
        <v>14</v>
      </c>
      <c r="AJ47" t="n">
        <v>15</v>
      </c>
      <c r="AK47" t="n">
        <v>15</v>
      </c>
      <c r="AL47" t="n">
        <v>16</v>
      </c>
      <c r="AM47" t="n">
        <v>16</v>
      </c>
      <c r="AN47" t="n">
        <v>0</v>
      </c>
      <c r="AO47" t="n">
        <v>17</v>
      </c>
      <c r="AP47" t="n">
        <v>17</v>
      </c>
      <c r="AQ47" t="n">
        <v>18</v>
      </c>
      <c r="AR47" t="n">
        <v>18</v>
      </c>
      <c r="AS47" t="n">
        <v>19</v>
      </c>
      <c r="AT47" t="n">
        <v>19</v>
      </c>
      <c r="AU47" t="n">
        <v>20</v>
      </c>
      <c r="AV47" t="n">
        <v>20</v>
      </c>
      <c r="AW47" t="n">
        <v>21</v>
      </c>
      <c r="AX47" t="n">
        <v>21</v>
      </c>
      <c r="AY47" t="n">
        <v>22</v>
      </c>
      <c r="AZ47" t="n">
        <v>22</v>
      </c>
      <c r="BA47" t="n">
        <v>23</v>
      </c>
      <c r="BB47" t="n">
        <v>23</v>
      </c>
      <c r="BC47" t="n">
        <v>24</v>
      </c>
      <c r="BD47" t="n">
        <v>24</v>
      </c>
      <c r="BE47" t="n">
        <v>0</v>
      </c>
      <c r="BF47" t="n">
        <v>25</v>
      </c>
      <c r="BG47" t="n">
        <v>25</v>
      </c>
      <c r="BH47" t="n">
        <v>26</v>
      </c>
      <c r="BI47" t="n">
        <v>26</v>
      </c>
      <c r="BJ47" t="n">
        <v>27</v>
      </c>
      <c r="BK47" t="n">
        <v>27</v>
      </c>
      <c r="BL47" t="n">
        <v>28</v>
      </c>
      <c r="BM47" t="n">
        <v>28</v>
      </c>
      <c r="BN47" t="n">
        <v>29</v>
      </c>
      <c r="BO47" t="n">
        <v>29</v>
      </c>
      <c r="BP47" t="n">
        <v>30</v>
      </c>
      <c r="BQ47" t="n">
        <v>30</v>
      </c>
      <c r="BR47" t="n">
        <v>31</v>
      </c>
      <c r="BS47" t="n">
        <v>31</v>
      </c>
      <c r="BT47" t="n">
        <v>32</v>
      </c>
      <c r="BU47" t="n">
        <v>32</v>
      </c>
      <c r="BV47" t="n">
        <v>0</v>
      </c>
      <c r="BW47" t="n">
        <v>33</v>
      </c>
      <c r="BX47" t="n">
        <v>33</v>
      </c>
      <c r="BY47" t="n">
        <v>34</v>
      </c>
      <c r="BZ47" t="n">
        <v>34</v>
      </c>
      <c r="CA47" t="n">
        <v>35</v>
      </c>
      <c r="CB47" t="n">
        <v>35</v>
      </c>
      <c r="CC47" t="n">
        <v>36</v>
      </c>
      <c r="CD47" t="n">
        <v>36</v>
      </c>
      <c r="CE47" t="n">
        <v>37</v>
      </c>
      <c r="CF47" t="n">
        <v>37</v>
      </c>
      <c r="CG47" t="n">
        <v>38</v>
      </c>
      <c r="CH47" t="n">
        <v>38</v>
      </c>
      <c r="CI47" t="n">
        <v>39</v>
      </c>
      <c r="CJ47" t="n">
        <v>39</v>
      </c>
      <c r="CK47" t="n">
        <v>40</v>
      </c>
      <c r="CL47" t="n">
        <v>40</v>
      </c>
      <c r="CM47" t="n">
        <v>0</v>
      </c>
      <c r="CN47" t="n">
        <v>41</v>
      </c>
      <c r="CO47" t="n">
        <v>41</v>
      </c>
      <c r="CP47" t="n">
        <v>42</v>
      </c>
      <c r="CQ47" t="n">
        <v>42</v>
      </c>
      <c r="CR47" t="n">
        <v>43</v>
      </c>
      <c r="CS47" t="n">
        <v>43</v>
      </c>
      <c r="CT47" t="n">
        <v>44</v>
      </c>
      <c r="CU47" t="n">
        <v>44</v>
      </c>
      <c r="CV47" t="n">
        <v>45</v>
      </c>
      <c r="CW47" t="n">
        <v>45</v>
      </c>
      <c r="CX47" t="n">
        <v>46</v>
      </c>
      <c r="CY47" t="n">
        <v>46</v>
      </c>
      <c r="CZ47" t="n">
        <v>47</v>
      </c>
      <c r="DA47" t="n">
        <v>47</v>
      </c>
      <c r="DB47" t="n">
        <v>48</v>
      </c>
      <c r="DC47" t="n">
        <v>48</v>
      </c>
      <c r="DD47" t="n">
        <v>0</v>
      </c>
      <c r="DE47" t="n">
        <v>49</v>
      </c>
      <c r="DF47" t="n">
        <v>49</v>
      </c>
      <c r="DG47" t="n">
        <v>50</v>
      </c>
      <c r="DH47" t="n">
        <v>50</v>
      </c>
      <c r="DI47" t="n">
        <v>51</v>
      </c>
      <c r="DJ47" t="n">
        <v>51</v>
      </c>
      <c r="DK47" t="n">
        <v>52</v>
      </c>
      <c r="DL47" t="n">
        <v>52</v>
      </c>
      <c r="DM47" t="n">
        <v>53</v>
      </c>
      <c r="DN47" t="n">
        <v>53</v>
      </c>
      <c r="DO47" t="n">
        <v>54</v>
      </c>
      <c r="DP47" t="n">
        <v>54</v>
      </c>
      <c r="DQ47" t="n">
        <v>55</v>
      </c>
      <c r="DR47" t="n">
        <v>55</v>
      </c>
      <c r="DS47" t="n">
        <v>56</v>
      </c>
      <c r="DT47" t="n">
        <v>56</v>
      </c>
      <c r="DU47" t="n">
        <v>0</v>
      </c>
      <c r="DV47" t="n">
        <v>57</v>
      </c>
      <c r="DW47" t="n">
        <v>57</v>
      </c>
      <c r="DX47" t="n">
        <v>58</v>
      </c>
      <c r="DY47" t="n">
        <v>58</v>
      </c>
      <c r="DZ47" t="n">
        <v>59</v>
      </c>
      <c r="EA47" t="n">
        <v>59</v>
      </c>
      <c r="EB47" t="n">
        <v>60</v>
      </c>
      <c r="EC47" t="n">
        <v>60</v>
      </c>
      <c r="ED47" t="n">
        <v>61</v>
      </c>
      <c r="EE47" t="n">
        <v>61</v>
      </c>
      <c r="EF47" t="n">
        <v>62</v>
      </c>
      <c r="EG47" t="n">
        <v>62</v>
      </c>
      <c r="EH47" t="n">
        <v>63</v>
      </c>
      <c r="EI47" t="n">
        <v>63</v>
      </c>
      <c r="EJ47" t="n">
        <v>64</v>
      </c>
      <c r="EK47" t="n">
        <v>64</v>
      </c>
      <c r="EL47" t="n">
        <v>0</v>
      </c>
      <c r="EM47" t="n">
        <v>65</v>
      </c>
      <c r="EN47" t="n">
        <v>65</v>
      </c>
      <c r="EO47" t="n">
        <v>66</v>
      </c>
      <c r="EP47" t="n">
        <v>66</v>
      </c>
      <c r="EQ47" t="n">
        <v>67</v>
      </c>
      <c r="ER47" t="n">
        <v>67</v>
      </c>
      <c r="ES47" t="n">
        <v>68</v>
      </c>
      <c r="ET47" t="n">
        <v>68</v>
      </c>
      <c r="EU47" t="n">
        <v>69</v>
      </c>
      <c r="EV47" t="n">
        <v>69</v>
      </c>
      <c r="EW47" t="n">
        <v>70</v>
      </c>
      <c r="EX47" t="n">
        <v>70</v>
      </c>
      <c r="EY47" t="n">
        <v>71</v>
      </c>
      <c r="EZ47" t="n">
        <v>71</v>
      </c>
      <c r="FA47" t="n">
        <v>72</v>
      </c>
      <c r="FB47" t="n">
        <v>72</v>
      </c>
      <c r="FC47" t="n">
        <v>0</v>
      </c>
      <c r="FD47" t="n">
        <v>73</v>
      </c>
      <c r="FE47" t="n">
        <v>73</v>
      </c>
      <c r="FF47" t="n">
        <v>74</v>
      </c>
      <c r="FG47" t="n">
        <v>74</v>
      </c>
      <c r="FH47" t="n">
        <v>75</v>
      </c>
      <c r="FI47" t="n">
        <v>75</v>
      </c>
      <c r="FJ47" t="n">
        <v>76</v>
      </c>
      <c r="FK47" t="n">
        <v>76</v>
      </c>
      <c r="FL47" t="n">
        <v>77</v>
      </c>
      <c r="FM47" t="n">
        <v>77</v>
      </c>
      <c r="FN47" t="n">
        <v>78</v>
      </c>
      <c r="FO47" t="n">
        <v>78</v>
      </c>
      <c r="FP47" t="n">
        <v>79</v>
      </c>
      <c r="FQ47" t="n">
        <v>79</v>
      </c>
      <c r="FR47" t="n">
        <v>80</v>
      </c>
      <c r="FS47" t="n">
        <v>80</v>
      </c>
      <c r="FT47" t="n">
        <v>0</v>
      </c>
      <c r="FU47" t="n">
        <v>81</v>
      </c>
      <c r="FV47" t="n">
        <v>81</v>
      </c>
      <c r="FW47" t="n">
        <v>82</v>
      </c>
      <c r="FX47" t="n">
        <v>82</v>
      </c>
      <c r="FY47" t="n">
        <v>83</v>
      </c>
      <c r="FZ47" t="n">
        <v>83</v>
      </c>
      <c r="GA47" t="n">
        <v>84</v>
      </c>
      <c r="GB47" t="n">
        <v>84</v>
      </c>
      <c r="GC47" t="n">
        <v>85</v>
      </c>
      <c r="GD47" t="n">
        <v>85</v>
      </c>
      <c r="GE47" t="n">
        <v>86</v>
      </c>
      <c r="GF47" t="n">
        <v>86</v>
      </c>
      <c r="GG47" t="n">
        <v>87</v>
      </c>
      <c r="GH47" t="n">
        <v>87</v>
      </c>
      <c r="GI47" t="n">
        <v>88</v>
      </c>
      <c r="GJ47" t="n">
        <v>88</v>
      </c>
      <c r="GK47" t="n">
        <v>0</v>
      </c>
      <c r="GL47" t="n">
        <v>89</v>
      </c>
      <c r="GM47" t="n">
        <v>89</v>
      </c>
      <c r="GN47" t="n">
        <v>90</v>
      </c>
      <c r="GO47" t="n">
        <v>90</v>
      </c>
      <c r="GP47" t="n">
        <v>91</v>
      </c>
      <c r="GQ47" t="n">
        <v>91</v>
      </c>
      <c r="GR47" t="n">
        <v>92</v>
      </c>
      <c r="GS47" t="n">
        <v>92</v>
      </c>
      <c r="GT47" t="n">
        <v>93</v>
      </c>
      <c r="GU47" t="n">
        <v>93</v>
      </c>
      <c r="GV47" t="n">
        <v>94</v>
      </c>
      <c r="GW47" t="n">
        <v>94</v>
      </c>
      <c r="GX47" t="n">
        <v>95</v>
      </c>
      <c r="GY47" t="n">
        <v>95</v>
      </c>
      <c r="GZ47" t="n">
        <v>96</v>
      </c>
      <c r="HA47" t="n">
        <v>96</v>
      </c>
      <c r="HB47" t="n">
        <v>0</v>
      </c>
    </row>
  </sheetData>
  <mergeCells count="340">
    <mergeCell ref="BW1:CM1"/>
    <mergeCell ref="X2:Y2"/>
    <mergeCell ref="FY2:FZ2"/>
    <mergeCell ref="FU1:GK1"/>
    <mergeCell ref="DV2:DW2"/>
    <mergeCell ref="CZ27:DA27"/>
    <mergeCell ref="DB27:DC27"/>
    <mergeCell ref="BH2:BI2"/>
    <mergeCell ref="BJ2:BK2"/>
    <mergeCell ref="EB3:EC3"/>
    <mergeCell ref="ED3:EE3"/>
    <mergeCell ref="FD2:FE2"/>
    <mergeCell ref="FF2:FG2"/>
    <mergeCell ref="AQ2:AR2"/>
    <mergeCell ref="AS2:AT2"/>
    <mergeCell ref="O27:P27"/>
    <mergeCell ref="GL3:GM3"/>
    <mergeCell ref="Q27:R27"/>
    <mergeCell ref="FN3:FO3"/>
    <mergeCell ref="CM27:CM28"/>
    <mergeCell ref="GR2:GS2"/>
    <mergeCell ref="A28:B28"/>
    <mergeCell ref="CC2:CD2"/>
    <mergeCell ref="CE2:CF2"/>
    <mergeCell ref="EW3:EX3"/>
    <mergeCell ref="GA2:GB2"/>
    <mergeCell ref="DI3:DJ3"/>
    <mergeCell ref="GL1:HB1"/>
    <mergeCell ref="AJ27:AK27"/>
    <mergeCell ref="DO2:DP2"/>
    <mergeCell ref="AL27:AM27"/>
    <mergeCell ref="DQ2:DR2"/>
    <mergeCell ref="GI3:GJ3"/>
    <mergeCell ref="CX2:CY2"/>
    <mergeCell ref="EM3:EN3"/>
    <mergeCell ref="CZ2:DA2"/>
    <mergeCell ref="X3:Y3"/>
    <mergeCell ref="Z3:AA3"/>
    <mergeCell ref="AF2:AG2"/>
    <mergeCell ref="EJ2:EK2"/>
    <mergeCell ref="FY3:FZ3"/>
    <mergeCell ref="BJ3:BK3"/>
    <mergeCell ref="BL3:BM3"/>
    <mergeCell ref="EM1:FC1"/>
    <mergeCell ref="X1:AN1"/>
    <mergeCell ref="HB27:HB28"/>
    <mergeCell ref="FF3:FG3"/>
    <mergeCell ref="FP3:FQ3"/>
    <mergeCell ref="FH3:FI3"/>
    <mergeCell ref="BA2:BB2"/>
    <mergeCell ref="BC27:BD27"/>
    <mergeCell ref="BC2:BD2"/>
    <mergeCell ref="A1:B1"/>
    <mergeCell ref="GR3:GS3"/>
    <mergeCell ref="GT3:GU3"/>
    <mergeCell ref="M2:N2"/>
    <mergeCell ref="CE3:CF3"/>
    <mergeCell ref="CG3:CH3"/>
    <mergeCell ref="CK2:CL2"/>
    <mergeCell ref="C20:F20"/>
    <mergeCell ref="FC27:FC28"/>
    <mergeCell ref="DQ3:DR3"/>
    <mergeCell ref="DS3:DT3"/>
    <mergeCell ref="AN27:AN28"/>
    <mergeCell ref="DK3:DL3"/>
    <mergeCell ref="C22:F22"/>
    <mergeCell ref="AH2:AI2"/>
    <mergeCell ref="FF27:FG27"/>
    <mergeCell ref="AF3:AG3"/>
    <mergeCell ref="A24:B24"/>
    <mergeCell ref="AH3:AI3"/>
    <mergeCell ref="BW27:BX27"/>
    <mergeCell ref="C27:E27"/>
    <mergeCell ref="BR3:BS3"/>
    <mergeCell ref="FN27:FO27"/>
    <mergeCell ref="BA3:BB3"/>
    <mergeCell ref="DG27:DH27"/>
    <mergeCell ref="BC3:BD3"/>
    <mergeCell ref="FT2:FT3"/>
    <mergeCell ref="DI27:DJ27"/>
    <mergeCell ref="M3:N3"/>
    <mergeCell ref="CP27:CQ27"/>
    <mergeCell ref="FC2:FC3"/>
    <mergeCell ref="FU2:FV2"/>
    <mergeCell ref="CR27:CS27"/>
    <mergeCell ref="AF27:AG27"/>
    <mergeCell ref="X27:Y27"/>
    <mergeCell ref="GI27:GJ27"/>
    <mergeCell ref="EB27:EC27"/>
    <mergeCell ref="ED27:EE27"/>
    <mergeCell ref="CN2:CO2"/>
    <mergeCell ref="FP27:FQ27"/>
    <mergeCell ref="BA27:BB27"/>
    <mergeCell ref="BE2:BE3"/>
    <mergeCell ref="BT3:BU3"/>
    <mergeCell ref="K2:L2"/>
    <mergeCell ref="EW27:EX27"/>
    <mergeCell ref="EY27:EZ27"/>
    <mergeCell ref="DG2:DH2"/>
    <mergeCell ref="FH27:FI27"/>
    <mergeCell ref="DI2:DJ2"/>
    <mergeCell ref="EJ27:EK27"/>
    <mergeCell ref="CE27:CF27"/>
    <mergeCell ref="AU2:AV2"/>
    <mergeCell ref="AQ27:AR27"/>
    <mergeCell ref="ES2:ET2"/>
    <mergeCell ref="GT27:GU27"/>
    <mergeCell ref="EU2:EV2"/>
    <mergeCell ref="EM27:EN27"/>
    <mergeCell ref="Z27:AA27"/>
    <mergeCell ref="FW3:FX3"/>
    <mergeCell ref="GC2:GD2"/>
    <mergeCell ref="DO27:DP27"/>
    <mergeCell ref="BP2:BQ2"/>
    <mergeCell ref="BJ27:BK27"/>
    <mergeCell ref="BL27:BM27"/>
    <mergeCell ref="FL2:FM2"/>
    <mergeCell ref="FN2:FO2"/>
    <mergeCell ref="FP2:FQ2"/>
    <mergeCell ref="CN3:CO3"/>
    <mergeCell ref="CP3:CQ3"/>
    <mergeCell ref="DX2:DY2"/>
    <mergeCell ref="DZ2:EA2"/>
    <mergeCell ref="CV27:CW27"/>
    <mergeCell ref="CX27:CY27"/>
    <mergeCell ref="GX2:GY2"/>
    <mergeCell ref="GZ2:HA2"/>
    <mergeCell ref="DX3:DY3"/>
    <mergeCell ref="DZ3:EA3"/>
    <mergeCell ref="CG27:CH27"/>
    <mergeCell ref="K3:L3"/>
    <mergeCell ref="CN1:DD1"/>
    <mergeCell ref="A2:B3"/>
    <mergeCell ref="AO2:AP2"/>
    <mergeCell ref="DQ27:DR27"/>
    <mergeCell ref="AW3:AX3"/>
    <mergeCell ref="AO3:AP3"/>
    <mergeCell ref="AQ3:AR3"/>
    <mergeCell ref="BY2:BZ2"/>
    <mergeCell ref="CA2:CB2"/>
    <mergeCell ref="ES3:ET3"/>
    <mergeCell ref="EU3:EV3"/>
    <mergeCell ref="GE2:GF2"/>
    <mergeCell ref="FW2:FX2"/>
    <mergeCell ref="A23:B23"/>
    <mergeCell ref="AH27:AI27"/>
    <mergeCell ref="AO1:BE1"/>
    <mergeCell ref="GE3:GF3"/>
    <mergeCell ref="GG3:GH3"/>
    <mergeCell ref="DD27:DD28"/>
    <mergeCell ref="CT2:CU2"/>
    <mergeCell ref="CV2:CW2"/>
    <mergeCell ref="C24:F25"/>
    <mergeCell ref="CV3:CW3"/>
    <mergeCell ref="CX3:CY3"/>
    <mergeCell ref="EF2:EG2"/>
    <mergeCell ref="EH2:EI2"/>
    <mergeCell ref="GZ3:HA3"/>
    <mergeCell ref="BF3:BG3"/>
    <mergeCell ref="S2:T2"/>
    <mergeCell ref="BH3:BI3"/>
    <mergeCell ref="U2:V2"/>
    <mergeCell ref="HB2:HB3"/>
    <mergeCell ref="GR27:GS27"/>
    <mergeCell ref="FD3:FE3"/>
    <mergeCell ref="BE27:BE28"/>
    <mergeCell ref="U3:V3"/>
    <mergeCell ref="AY2:AZ2"/>
    <mergeCell ref="FA2:FB2"/>
    <mergeCell ref="CA3:CB3"/>
    <mergeCell ref="CC3:CD3"/>
    <mergeCell ref="FW27:FX27"/>
    <mergeCell ref="FA3:FB3"/>
    <mergeCell ref="CT27:CU27"/>
    <mergeCell ref="DM3:DN3"/>
    <mergeCell ref="DO3:DP3"/>
    <mergeCell ref="BR2:BS2"/>
    <mergeCell ref="FD27:FE27"/>
    <mergeCell ref="W2:W3"/>
    <mergeCell ref="FT27:FT28"/>
    <mergeCell ref="DU2:DU3"/>
    <mergeCell ref="EH3:EI3"/>
    <mergeCell ref="EJ3:EK3"/>
    <mergeCell ref="FY27:FZ27"/>
    <mergeCell ref="FR3:FS3"/>
    <mergeCell ref="AY3:AZ3"/>
    <mergeCell ref="DE27:DF27"/>
    <mergeCell ref="ES27:ET27"/>
    <mergeCell ref="C28:F28"/>
    <mergeCell ref="CN27:CO27"/>
    <mergeCell ref="GE27:GF27"/>
    <mergeCell ref="GG27:GH27"/>
    <mergeCell ref="DX27:DY27"/>
    <mergeCell ref="GK2:GK3"/>
    <mergeCell ref="DZ27:EA27"/>
    <mergeCell ref="K27:L27"/>
    <mergeCell ref="M27:N27"/>
    <mergeCell ref="GL2:GM2"/>
    <mergeCell ref="GN2:GO2"/>
    <mergeCell ref="FL27:FM27"/>
    <mergeCell ref="AW27:AX27"/>
    <mergeCell ref="AO27:AP27"/>
    <mergeCell ref="AY27:AZ27"/>
    <mergeCell ref="BF1:BV1"/>
    <mergeCell ref="GZ27:HA27"/>
    <mergeCell ref="GN3:GO3"/>
    <mergeCell ref="G2:H2"/>
    <mergeCell ref="GP3:GQ3"/>
    <mergeCell ref="I2:J2"/>
    <mergeCell ref="EU27:EV27"/>
    <mergeCell ref="FD1:FT1"/>
    <mergeCell ref="DE2:DF2"/>
    <mergeCell ref="CK27:CL27"/>
    <mergeCell ref="GT2:GU2"/>
    <mergeCell ref="BR27:BS27"/>
    <mergeCell ref="BV2:BV3"/>
    <mergeCell ref="EM2:EN2"/>
    <mergeCell ref="BT27:BU27"/>
    <mergeCell ref="EO2:EP2"/>
    <mergeCell ref="EQ2:ER2"/>
    <mergeCell ref="Z2:AA2"/>
    <mergeCell ref="AB2:AC2"/>
    <mergeCell ref="AD2:AE2"/>
    <mergeCell ref="FU3:FV3"/>
    <mergeCell ref="FA27:FB27"/>
    <mergeCell ref="BL2:BM2"/>
    <mergeCell ref="BN2:BO2"/>
    <mergeCell ref="BF2:BG2"/>
    <mergeCell ref="BH27:BI27"/>
    <mergeCell ref="FH2:FI2"/>
    <mergeCell ref="FJ2:FK2"/>
    <mergeCell ref="AW2:AX2"/>
    <mergeCell ref="S27:T27"/>
    <mergeCell ref="U27:V27"/>
    <mergeCell ref="GV2:GW2"/>
    <mergeCell ref="CG2:CH2"/>
    <mergeCell ref="DV3:DW3"/>
    <mergeCell ref="CI2:CJ2"/>
    <mergeCell ref="CA27:CB27"/>
    <mergeCell ref="CC27:CD27"/>
    <mergeCell ref="G3:H3"/>
    <mergeCell ref="I3:J3"/>
    <mergeCell ref="DE3:DF3"/>
    <mergeCell ref="DS2:DT2"/>
    <mergeCell ref="DK2:DL2"/>
    <mergeCell ref="DM2:DN2"/>
    <mergeCell ref="AS3:AT3"/>
    <mergeCell ref="AU3:AV3"/>
    <mergeCell ref="DV1:EL1"/>
    <mergeCell ref="G1:W1"/>
    <mergeCell ref="GK27:GK28"/>
    <mergeCell ref="EO3:EP3"/>
    <mergeCell ref="DB2:DC2"/>
    <mergeCell ref="EQ3:ER3"/>
    <mergeCell ref="AB3:AC3"/>
    <mergeCell ref="AD3:AE3"/>
    <mergeCell ref="DE1:DU1"/>
    <mergeCell ref="AJ2:AK2"/>
    <mergeCell ref="AL2:AM2"/>
    <mergeCell ref="GA3:GB3"/>
    <mergeCell ref="GC3:GD3"/>
    <mergeCell ref="EH27:EI27"/>
    <mergeCell ref="BN3:BO3"/>
    <mergeCell ref="BP3:BQ3"/>
    <mergeCell ref="CR2:CS2"/>
    <mergeCell ref="FJ3:FK3"/>
    <mergeCell ref="FL3:FM3"/>
    <mergeCell ref="A27:B27"/>
    <mergeCell ref="FR2:FS2"/>
    <mergeCell ref="EL27:EL28"/>
    <mergeCell ref="CZ3:DA3"/>
    <mergeCell ref="CR3:CS3"/>
    <mergeCell ref="DB3:DC3"/>
    <mergeCell ref="W27:W28"/>
    <mergeCell ref="CT3:CU3"/>
    <mergeCell ref="ED2:EE2"/>
    <mergeCell ref="A22:B22"/>
    <mergeCell ref="GV3:GW3"/>
    <mergeCell ref="O2:P2"/>
    <mergeCell ref="GX3:GY3"/>
    <mergeCell ref="Q2:R2"/>
    <mergeCell ref="DU27:DU28"/>
    <mergeCell ref="GL27:GM27"/>
    <mergeCell ref="CI3:CJ3"/>
    <mergeCell ref="GN27:GO27"/>
    <mergeCell ref="C1:F3"/>
    <mergeCell ref="CK3:CL3"/>
    <mergeCell ref="O3:P3"/>
    <mergeCell ref="Q3:R3"/>
    <mergeCell ref="EW2:EX2"/>
    <mergeCell ref="EY2:EZ2"/>
    <mergeCell ref="BF27:BG27"/>
    <mergeCell ref="BY3:BZ3"/>
    <mergeCell ref="EY3:EZ3"/>
    <mergeCell ref="BV27:BV28"/>
    <mergeCell ref="AJ3:AK3"/>
    <mergeCell ref="AL3:AM3"/>
    <mergeCell ref="BT2:BU2"/>
    <mergeCell ref="GP27:GQ27"/>
    <mergeCell ref="BY27:BZ27"/>
    <mergeCell ref="EL2:EL3"/>
    <mergeCell ref="FR27:FS27"/>
    <mergeCell ref="FJ27:FK27"/>
    <mergeCell ref="DK27:DL27"/>
    <mergeCell ref="DM27:DN27"/>
    <mergeCell ref="EF3:EG3"/>
    <mergeCell ref="S3:T3"/>
    <mergeCell ref="FU27:FV27"/>
    <mergeCell ref="CM2:CM3"/>
    <mergeCell ref="AN2:AN3"/>
    <mergeCell ref="AB27:AC27"/>
    <mergeCell ref="AD27:AE27"/>
    <mergeCell ref="EF27:EG27"/>
    <mergeCell ref="EO27:EP27"/>
    <mergeCell ref="CP2:CQ2"/>
    <mergeCell ref="GA27:GB27"/>
    <mergeCell ref="EB2:EC2"/>
    <mergeCell ref="GC27:GD27"/>
    <mergeCell ref="C23:F23"/>
    <mergeCell ref="DV27:DW27"/>
    <mergeCell ref="G27:H27"/>
    <mergeCell ref="I27:J27"/>
    <mergeCell ref="A25:B25"/>
    <mergeCell ref="CI27:CJ27"/>
    <mergeCell ref="BW2:BX2"/>
    <mergeCell ref="DD2:DD3"/>
    <mergeCell ref="AS27:AT27"/>
    <mergeCell ref="AU27:AV27"/>
    <mergeCell ref="GV27:GW27"/>
    <mergeCell ref="GX27:GY27"/>
    <mergeCell ref="EQ27:ER27"/>
    <mergeCell ref="BW3:BX3"/>
    <mergeCell ref="A20:B20"/>
    <mergeCell ref="GG2:GH2"/>
    <mergeCell ref="GI2:GJ2"/>
    <mergeCell ref="DS27:DT27"/>
    <mergeCell ref="DG3:DH3"/>
    <mergeCell ref="GP2:GQ2"/>
    <mergeCell ref="BN27:BO27"/>
    <mergeCell ref="BP27:BQ27"/>
  </mergeCells>
  <conditionalFormatting sqref="G5:HB19">
    <cfRule type="expression" priority="1" dxfId="1">
      <formula>AND($B5&lt;&gt;"",G$4="ح",G$20&gt;0,N(G5)=0)</formula>
    </cfRule>
  </conditionalFormatting>
  <conditionalFormatting sqref="W5:W19">
    <cfRule type="expression" priority="2" dxfId="2">
      <formula>AND($B5&lt;&gt;"",N($W5)=0,SUMPRODUCT(--$G5:$V5)&gt;0)</formula>
    </cfRule>
  </conditionalFormatting>
  <conditionalFormatting sqref="AN5:AN19">
    <cfRule type="expression" priority="3" dxfId="2">
      <formula>AND($B5&lt;&gt;"",N($AN5)=0,SUMPRODUCT(--$X5:$AM5)&gt;0)</formula>
    </cfRule>
  </conditionalFormatting>
  <conditionalFormatting sqref="BE5:BE19">
    <cfRule type="expression" priority="4" dxfId="2">
      <formula>AND($B5&lt;&gt;"",N($BE5)=0,SUMPRODUCT(--$AO5:$BD5)&gt;0)</formula>
    </cfRule>
  </conditionalFormatting>
  <conditionalFormatting sqref="BV5:BV19">
    <cfRule type="expression" priority="5" dxfId="2">
      <formula>AND($B5&lt;&gt;"",N($BV5)=0,SUMPRODUCT(--$BF5:$BU5)&gt;0)</formula>
    </cfRule>
  </conditionalFormatting>
  <conditionalFormatting sqref="CM5:CM19">
    <cfRule type="expression" priority="6" dxfId="2">
      <formula>AND($B5&lt;&gt;"",N($CM5)=0,SUMPRODUCT(--$BW5:$CL5)&gt;0)</formula>
    </cfRule>
  </conditionalFormatting>
  <conditionalFormatting sqref="DD5:DD19">
    <cfRule type="expression" priority="7" dxfId="2">
      <formula>AND($B5&lt;&gt;"",N($DD5)=0,SUMPRODUCT(--$CN5:$DC5)&gt;0)</formula>
    </cfRule>
  </conditionalFormatting>
  <conditionalFormatting sqref="DU5:DU19">
    <cfRule type="expression" priority="8" dxfId="2">
      <formula>AND($B5&lt;&gt;"",N($DU5)=0,SUMPRODUCT(--$DE5:$DT5)&gt;0)</formula>
    </cfRule>
  </conditionalFormatting>
  <conditionalFormatting sqref="EL5:EL19">
    <cfRule type="expression" priority="9" dxfId="2">
      <formula>AND($B5&lt;&gt;"",N($EL5)=0,SUMPRODUCT(--$DV5:$EK5)&gt;0)</formula>
    </cfRule>
  </conditionalFormatting>
  <conditionalFormatting sqref="FC5:FC19">
    <cfRule type="expression" priority="10" dxfId="2">
      <formula>AND($B5&lt;&gt;"",N($FC5)=0,SUMPRODUCT(--$EM5:$FB5)&gt;0)</formula>
    </cfRule>
  </conditionalFormatting>
  <conditionalFormatting sqref="FT5:FT19">
    <cfRule type="expression" priority="11" dxfId="2">
      <formula>AND($B5&lt;&gt;"",N($FT5)=0,SUMPRODUCT(--$FD5:$FS5)&gt;0)</formula>
    </cfRule>
  </conditionalFormatting>
  <conditionalFormatting sqref="GK5:GK19">
    <cfRule type="expression" priority="12" dxfId="2">
      <formula>AND($B5&lt;&gt;"",N($GK5)=0,SUMPRODUCT(--$FU5:$GJ5)&gt;0)</formula>
    </cfRule>
  </conditionalFormatting>
  <conditionalFormatting sqref="HB5:HB19">
    <cfRule type="expression" priority="13" dxfId="2">
      <formula>AND($B5&lt;&gt;"",N($HB5)=0,SUMPRODUCT(--$GL5:$HA5)&gt;0)</formula>
    </cfRule>
  </conditionalFormatting>
  <conditionalFormatting sqref="G3:HB3">
    <cfRule type="expression" priority="14" dxfId="0">
      <formula>AND(G3&lt;&gt;"",G3=TODAY())</formula>
    </cfRule>
  </conditionalFormatting>
  <conditionalFormatting sqref="D5:D19">
    <cfRule type="expression" priority="15" dxfId="1">
      <formula>AND(ISNUMBER(D5),D5&gt;=$HG$1)</formula>
    </cfRule>
  </conditionalFormatting>
  <conditionalFormatting sqref="E5:E19">
    <cfRule type="expression" priority="16" dxfId="0">
      <formula>AND(ISNUMBER(E5),E5&gt;=2)</formula>
    </cfRule>
  </conditionalFormatting>
  <conditionalFormatting sqref="F5:F19">
    <cfRule type="expression" priority="17" dxfId="2">
      <formula>AND(F5&lt;&gt;"",F5&lt;&gt;"تمام",F5&lt;&gt;"-")</formula>
    </cfRule>
  </conditionalFormatting>
  <conditionalFormatting sqref="G30:HB44">
    <cfRule type="expression" priority="18" dxfId="1">
      <formula>AND(G$29&lt;&gt;"ملاحظات",ISNUMBER(G30),ISNUMBER(G$28),G30&gt;G$28)</formula>
    </cfRule>
    <cfRule type="expression" priority="19" dxfId="3">
      <formula>AND(G$29&lt;&gt;"ملاحظات",ISNUMBER(G30),ISNUMBER(G$28),G30&lt;G$28/2)</formula>
    </cfRule>
  </conditionalFormatting>
  <conditionalFormatting sqref="E30:E44">
    <cfRule type="expression" priority="20" dxfId="0">
      <formula>AND(ISNUMBER(E30),E30&lt;=3)</formula>
    </cfRule>
  </conditionalFormatting>
  <conditionalFormatting sqref="G28:HB28">
    <cfRule type="expression" priority="21" dxfId="2">
      <formula>AND(G$29&lt;&gt;"ملاحظات",NOT(ISNUMBER(G28)),COUNT(G$30:G$44)&gt;0)</formula>
    </cfRule>
  </conditionalFormatting>
  <dataValidations count="4">
    <dataValidation sqref="G27 I27 K27 M27 O27 Q27 S27 U27 X27 Z27 AB27 AD27 AF27 AH27 AJ27 AL27 AO27 AQ27 AS27 AU27 AW27 AY27 BA27 BC27 BF27 BH27 BJ27 BL27 BN27 BP27 BR27 BT27 BW27 BY27 CA27 CC27 CE27 CG27 CI27 CK27 CN27 CP27 CR27 CT27 CV27 CX27 CZ27 DB27 DE27 DG27 DI27 DK27 DM27 DO27 DQ27 DS27 DV27 DX27 DZ27 EB27 ED27 EF27 EH27 EJ27 EM27 EO27 EQ27 ES27 EU27 EW27 EY27 FA27 FD27 FF27 FH27 FJ27 FL27 FN27 FP27 FR27 FU27 FW27 FY27 GA27 GC27 GE27 GG27 GI27 GL27 GN27 GP27 GR27 GT27 GV27 GX27 GZ27" showDropDown="0" showInputMessage="0" showErrorMessage="1" allowBlank="1" type="list" errorStyle="warning">
      <formula1>"وحدة,شهر"</formula1>
    </dataValidation>
    <dataValidation sqref="F27" showDropDown="0" showInputMessage="0" showErrorMessage="1" allowBlank="0" type="list">
      <formula1>'حسابات'!$F$2:$F$14</formula1>
    </dataValidation>
    <dataValidation sqref="G28:V28 G30:V44 X28:AM28 X30:AM44 AO28:BD28 AO30:BD44 BF28:BU28 BF30:BU44 BW28:CL28 BW30:CL44 CN28:DC28 CN30:DC44 DE28:DT28 DE30:DT44 DV28:EK28 DV30:EK44 EM28:FB28 EM30:FB44 FD28:FS28 FD30:FS44 FU28:GJ28 FU30:GJ44 GL28:HA28 GL30:HA44" showDropDown="0" showInputMessage="0" showErrorMessage="1" allowBlank="1" errorTitle="الدرجة" error="اكتبي رقم بس، بالشكل ده: 8 أو 8.5" type="decimal" operator="between">
      <formula1>0</formula1>
      <formula2>1000</formula2>
    </dataValidation>
    <dataValidation sqref="G3:V3 X3:AM3 AO3:BD3 BF3:BU3 BW3:CL3 CN3:DC3 DE3:DT3 DV3:EK3 EM3:FB3 FD3:FS3 FU3:GJ3 GL3:HA3" showDropDown="0" showInputMessage="0" showErrorMessage="1" allowBlank="1" errorTitle="التاريخ" error="اكتبي التاريخ كده: 5/10" type="date" operator="greaterThan">
      <formula1>40000</formula1>
    </dataValidation>
  </dataValidations>
  <pageMargins left="0.75" right="0.75" top="1" bottom="1" header="0.5" footer="0.5"/>
</worksheet>
</file>

<file path=xl/worksheets/sheet10.xml><?xml version="1.0" encoding="utf-8"?>
<worksheet xmlns="http://schemas.openxmlformats.org/spreadsheetml/2006/main">
  <sheetPr>
    <tabColor rgb="00A9DEF9"/>
    <outlinePr summaryBelow="1" summaryRight="1"/>
    <pageSetUpPr/>
  </sheetPr>
  <dimension ref="A1:HG47"/>
  <sheetViews>
    <sheetView showGridLines="0" rightToLeft="1" workbookViewId="0">
      <pane xSplit="2" ySplit="3" topLeftCell="C4" activePane="bottomRight" state="frozen"/>
      <selection pane="topRight"/>
      <selection pane="bottomLeft"/>
      <selection pane="bottomRight" activeCell="A1" sqref="A1"/>
    </sheetView>
  </sheetViews>
  <sheetFormatPr baseColWidth="8" defaultRowHeight="15"/>
  <cols>
    <col width="3.57" customWidth="1" min="1" max="1"/>
    <col width="19.29" customWidth="1" min="2" max="2"/>
    <col width="14.71" customWidth="1" min="3" max="3"/>
    <col width="5.86" customWidth="1" min="4" max="4"/>
    <col width="5.86" customWidth="1" min="5" max="5"/>
    <col width="10.71" customWidth="1" min="6" max="6"/>
    <col outlineLevel="1" width="5" customWidth="1" min="7" max="7"/>
    <col outlineLevel="1" width="5" customWidth="1" min="8" max="8"/>
    <col outlineLevel="1" width="5" customWidth="1" min="9" max="9"/>
    <col outlineLevel="1" width="5" customWidth="1" min="10" max="10"/>
    <col outlineLevel="1" width="5" customWidth="1" min="11" max="11"/>
    <col outlineLevel="1" width="5" customWidth="1" min="12" max="12"/>
    <col outlineLevel="1" width="5" customWidth="1" min="13" max="13"/>
    <col outlineLevel="1" width="5" customWidth="1" min="14" max="14"/>
    <col outlineLevel="1" width="5" customWidth="1" min="15" max="15"/>
    <col outlineLevel="1" width="5" customWidth="1" min="16" max="16"/>
    <col outlineLevel="1" width="5" customWidth="1" min="17" max="17"/>
    <col outlineLevel="1" width="5" customWidth="1" min="18" max="18"/>
    <col outlineLevel="1" width="5" customWidth="1" min="19" max="19"/>
    <col outlineLevel="1" width="5" customWidth="1" min="20" max="20"/>
    <col outlineLevel="1" width="5" customWidth="1" min="21" max="21"/>
    <col outlineLevel="1" width="5" customWidth="1" min="22" max="22"/>
    <col width="14.14" customWidth="1" min="23" max="23"/>
    <col outlineLevel="1" width="5" customWidth="1" min="24" max="24"/>
    <col outlineLevel="1" width="5" customWidth="1" min="25" max="25"/>
    <col outlineLevel="1" width="5" customWidth="1" min="26" max="26"/>
    <col outlineLevel="1" width="5" customWidth="1" min="27" max="27"/>
    <col outlineLevel="1" width="5" customWidth="1" min="28" max="28"/>
    <col outlineLevel="1" width="5" customWidth="1" min="29" max="29"/>
    <col outlineLevel="1" width="5" customWidth="1" min="30" max="30"/>
    <col outlineLevel="1" width="5" customWidth="1" min="31" max="31"/>
    <col outlineLevel="1" width="5" customWidth="1" min="32" max="32"/>
    <col outlineLevel="1" width="5" customWidth="1" min="33" max="33"/>
    <col outlineLevel="1" width="5" customWidth="1" min="34" max="34"/>
    <col outlineLevel="1" width="5" customWidth="1" min="35" max="35"/>
    <col outlineLevel="1" width="5" customWidth="1" min="36" max="36"/>
    <col outlineLevel="1" width="5" customWidth="1" min="37" max="37"/>
    <col outlineLevel="1" width="5" customWidth="1" min="38" max="38"/>
    <col outlineLevel="1" width="5" customWidth="1" min="39" max="39"/>
    <col width="14.14" customWidth="1" min="40" max="40"/>
    <col outlineLevel="1" width="5" customWidth="1" min="41" max="41"/>
    <col outlineLevel="1" width="5" customWidth="1" min="42" max="42"/>
    <col outlineLevel="1" width="5" customWidth="1" min="43" max="43"/>
    <col outlineLevel="1" width="5" customWidth="1" min="44" max="44"/>
    <col outlineLevel="1" width="5" customWidth="1" min="45" max="45"/>
    <col outlineLevel="1" width="5" customWidth="1" min="46" max="46"/>
    <col outlineLevel="1" width="5" customWidth="1" min="47" max="47"/>
    <col outlineLevel="1" width="5" customWidth="1" min="48" max="48"/>
    <col outlineLevel="1" width="5" customWidth="1" min="49" max="49"/>
    <col outlineLevel="1" width="5" customWidth="1" min="50" max="50"/>
    <col outlineLevel="1" width="5" customWidth="1" min="51" max="51"/>
    <col outlineLevel="1" width="5" customWidth="1" min="52" max="52"/>
    <col outlineLevel="1" width="5" customWidth="1" min="53" max="53"/>
    <col outlineLevel="1" width="5" customWidth="1" min="54" max="54"/>
    <col outlineLevel="1" width="5" customWidth="1" min="55" max="55"/>
    <col outlineLevel="1" width="5" customWidth="1" min="56" max="56"/>
    <col width="14.14" customWidth="1" min="57" max="57"/>
    <col outlineLevel="1" width="5" customWidth="1" min="58" max="58"/>
    <col outlineLevel="1" width="5" customWidth="1" min="59" max="59"/>
    <col outlineLevel="1" width="5" customWidth="1" min="60" max="60"/>
    <col outlineLevel="1" width="5" customWidth="1" min="61" max="61"/>
    <col outlineLevel="1" width="5" customWidth="1" min="62" max="62"/>
    <col outlineLevel="1" width="5" customWidth="1" min="63" max="63"/>
    <col outlineLevel="1" width="5" customWidth="1" min="64" max="64"/>
    <col outlineLevel="1" width="5" customWidth="1" min="65" max="65"/>
    <col outlineLevel="1" width="5" customWidth="1" min="66" max="66"/>
    <col outlineLevel="1" width="5" customWidth="1" min="67" max="67"/>
    <col outlineLevel="1" width="5" customWidth="1" min="68" max="68"/>
    <col outlineLevel="1" width="5" customWidth="1" min="69" max="69"/>
    <col outlineLevel="1" width="5" customWidth="1" min="70" max="70"/>
    <col outlineLevel="1" width="5" customWidth="1" min="71" max="71"/>
    <col outlineLevel="1" width="5" customWidth="1" min="72" max="72"/>
    <col outlineLevel="1" width="5" customWidth="1" min="73" max="73"/>
    <col width="14.14" customWidth="1" min="74" max="74"/>
    <col outlineLevel="1" width="5" customWidth="1" min="75" max="75"/>
    <col outlineLevel="1" width="5" customWidth="1" min="76" max="76"/>
    <col outlineLevel="1" width="5" customWidth="1" min="77" max="77"/>
    <col outlineLevel="1" width="5" customWidth="1" min="78" max="78"/>
    <col outlineLevel="1" width="5" customWidth="1" min="79" max="79"/>
    <col outlineLevel="1" width="5" customWidth="1" min="80" max="80"/>
    <col outlineLevel="1" width="5" customWidth="1" min="81" max="81"/>
    <col outlineLevel="1" width="5" customWidth="1" min="82" max="82"/>
    <col outlineLevel="1" width="5" customWidth="1" min="83" max="83"/>
    <col outlineLevel="1" width="5" customWidth="1" min="84" max="84"/>
    <col outlineLevel="1" width="5" customWidth="1" min="85" max="85"/>
    <col outlineLevel="1" width="5" customWidth="1" min="86" max="86"/>
    <col outlineLevel="1" width="5" customWidth="1" min="87" max="87"/>
    <col outlineLevel="1" width="5" customWidth="1" min="88" max="88"/>
    <col outlineLevel="1" width="5" customWidth="1" min="89" max="89"/>
    <col outlineLevel="1" width="5" customWidth="1" min="90" max="90"/>
    <col width="14.14" customWidth="1" min="91" max="91"/>
    <col outlineLevel="1" width="5" customWidth="1" min="92" max="92"/>
    <col outlineLevel="1" width="5" customWidth="1" min="93" max="93"/>
    <col outlineLevel="1" width="5" customWidth="1" min="94" max="94"/>
    <col outlineLevel="1" width="5" customWidth="1" min="95" max="95"/>
    <col outlineLevel="1" width="5" customWidth="1" min="96" max="96"/>
    <col outlineLevel="1" width="5" customWidth="1" min="97" max="97"/>
    <col outlineLevel="1" width="5" customWidth="1" min="98" max="98"/>
    <col outlineLevel="1" width="5" customWidth="1" min="99" max="99"/>
    <col outlineLevel="1" width="5" customWidth="1" min="100" max="100"/>
    <col outlineLevel="1" width="5" customWidth="1" min="101" max="101"/>
    <col outlineLevel="1" width="5" customWidth="1" min="102" max="102"/>
    <col outlineLevel="1" width="5" customWidth="1" min="103" max="103"/>
    <col outlineLevel="1" width="5" customWidth="1" min="104" max="104"/>
    <col outlineLevel="1" width="5" customWidth="1" min="105" max="105"/>
    <col outlineLevel="1" width="5" customWidth="1" min="106" max="106"/>
    <col outlineLevel="1" width="5" customWidth="1" min="107" max="107"/>
    <col width="14.14" customWidth="1" min="108" max="108"/>
    <col outlineLevel="1" width="5" customWidth="1" min="109" max="109"/>
    <col outlineLevel="1" width="5" customWidth="1" min="110" max="110"/>
    <col outlineLevel="1" width="5" customWidth="1" min="111" max="111"/>
    <col outlineLevel="1" width="5" customWidth="1" min="112" max="112"/>
    <col outlineLevel="1" width="5" customWidth="1" min="113" max="113"/>
    <col outlineLevel="1" width="5" customWidth="1" min="114" max="114"/>
    <col outlineLevel="1" width="5" customWidth="1" min="115" max="115"/>
    <col outlineLevel="1" width="5" customWidth="1" min="116" max="116"/>
    <col outlineLevel="1" width="5" customWidth="1" min="117" max="117"/>
    <col outlineLevel="1" width="5" customWidth="1" min="118" max="118"/>
    <col outlineLevel="1" width="5" customWidth="1" min="119" max="119"/>
    <col outlineLevel="1" width="5" customWidth="1" min="120" max="120"/>
    <col outlineLevel="1" width="5" customWidth="1" min="121" max="121"/>
    <col outlineLevel="1" width="5" customWidth="1" min="122" max="122"/>
    <col outlineLevel="1" width="5" customWidth="1" min="123" max="123"/>
    <col outlineLevel="1" width="5" customWidth="1" min="124" max="124"/>
    <col width="14.14" customWidth="1" min="125" max="125"/>
    <col outlineLevel="1" width="5" customWidth="1" min="126" max="126"/>
    <col outlineLevel="1" width="5" customWidth="1" min="127" max="127"/>
    <col outlineLevel="1" width="5" customWidth="1" min="128" max="128"/>
    <col outlineLevel="1" width="5" customWidth="1" min="129" max="129"/>
    <col outlineLevel="1" width="5" customWidth="1" min="130" max="130"/>
    <col outlineLevel="1" width="5" customWidth="1" min="131" max="131"/>
    <col outlineLevel="1" width="5" customWidth="1" min="132" max="132"/>
    <col outlineLevel="1" width="5" customWidth="1" min="133" max="133"/>
    <col outlineLevel="1" width="5" customWidth="1" min="134" max="134"/>
    <col outlineLevel="1" width="5" customWidth="1" min="135" max="135"/>
    <col outlineLevel="1" width="5" customWidth="1" min="136" max="136"/>
    <col outlineLevel="1" width="5" customWidth="1" min="137" max="137"/>
    <col outlineLevel="1" width="5" customWidth="1" min="138" max="138"/>
    <col outlineLevel="1" width="5" customWidth="1" min="139" max="139"/>
    <col outlineLevel="1" width="5" customWidth="1" min="140" max="140"/>
    <col outlineLevel="1" width="5" customWidth="1" min="141" max="141"/>
    <col width="14.14" customWidth="1" min="142" max="142"/>
    <col outlineLevel="1" width="5" customWidth="1" min="143" max="143"/>
    <col outlineLevel="1" width="5" customWidth="1" min="144" max="144"/>
    <col outlineLevel="1" width="5" customWidth="1" min="145" max="145"/>
    <col outlineLevel="1" width="5" customWidth="1" min="146" max="146"/>
    <col outlineLevel="1" width="5" customWidth="1" min="147" max="147"/>
    <col outlineLevel="1" width="5" customWidth="1" min="148" max="148"/>
    <col outlineLevel="1" width="5" customWidth="1" min="149" max="149"/>
    <col outlineLevel="1" width="5" customWidth="1" min="150" max="150"/>
    <col outlineLevel="1" width="5" customWidth="1" min="151" max="151"/>
    <col outlineLevel="1" width="5" customWidth="1" min="152" max="152"/>
    <col outlineLevel="1" width="5" customWidth="1" min="153" max="153"/>
    <col outlineLevel="1" width="5" customWidth="1" min="154" max="154"/>
    <col outlineLevel="1" width="5" customWidth="1" min="155" max="155"/>
    <col outlineLevel="1" width="5" customWidth="1" min="156" max="156"/>
    <col outlineLevel="1" width="5" customWidth="1" min="157" max="157"/>
    <col outlineLevel="1" width="5" customWidth="1" min="158" max="158"/>
    <col width="14.14" customWidth="1" min="159" max="159"/>
    <col outlineLevel="1" width="5" customWidth="1" min="160" max="160"/>
    <col outlineLevel="1" width="5" customWidth="1" min="161" max="161"/>
    <col outlineLevel="1" width="5" customWidth="1" min="162" max="162"/>
    <col outlineLevel="1" width="5" customWidth="1" min="163" max="163"/>
    <col outlineLevel="1" width="5" customWidth="1" min="164" max="164"/>
    <col outlineLevel="1" width="5" customWidth="1" min="165" max="165"/>
    <col outlineLevel="1" width="5" customWidth="1" min="166" max="166"/>
    <col outlineLevel="1" width="5" customWidth="1" min="167" max="167"/>
    <col outlineLevel="1" width="5" customWidth="1" min="168" max="168"/>
    <col outlineLevel="1" width="5" customWidth="1" min="169" max="169"/>
    <col outlineLevel="1" width="5" customWidth="1" min="170" max="170"/>
    <col outlineLevel="1" width="5" customWidth="1" min="171" max="171"/>
    <col outlineLevel="1" width="5" customWidth="1" min="172" max="172"/>
    <col outlineLevel="1" width="5" customWidth="1" min="173" max="173"/>
    <col outlineLevel="1" width="5" customWidth="1" min="174" max="174"/>
    <col outlineLevel="1" width="5" customWidth="1" min="175" max="175"/>
    <col width="14.14" customWidth="1" min="176" max="176"/>
    <col outlineLevel="1" width="5" customWidth="1" min="177" max="177"/>
    <col outlineLevel="1" width="5" customWidth="1" min="178" max="178"/>
    <col outlineLevel="1" width="5" customWidth="1" min="179" max="179"/>
    <col outlineLevel="1" width="5" customWidth="1" min="180" max="180"/>
    <col outlineLevel="1" width="5" customWidth="1" min="181" max="181"/>
    <col outlineLevel="1" width="5" customWidth="1" min="182" max="182"/>
    <col outlineLevel="1" width="5" customWidth="1" min="183" max="183"/>
    <col outlineLevel="1" width="5" customWidth="1" min="184" max="184"/>
    <col outlineLevel="1" width="5" customWidth="1" min="185" max="185"/>
    <col outlineLevel="1" width="5" customWidth="1" min="186" max="186"/>
    <col outlineLevel="1" width="5" customWidth="1" min="187" max="187"/>
    <col outlineLevel="1" width="5" customWidth="1" min="188" max="188"/>
    <col outlineLevel="1" width="5" customWidth="1" min="189" max="189"/>
    <col outlineLevel="1" width="5" customWidth="1" min="190" max="190"/>
    <col outlineLevel="1" width="5" customWidth="1" min="191" max="191"/>
    <col outlineLevel="1" width="5" customWidth="1" min="192" max="192"/>
    <col width="14.14" customWidth="1" min="193" max="193"/>
    <col outlineLevel="1" width="5" customWidth="1" min="194" max="194"/>
    <col outlineLevel="1" width="5" customWidth="1" min="195" max="195"/>
    <col outlineLevel="1" width="5" customWidth="1" min="196" max="196"/>
    <col outlineLevel="1" width="5" customWidth="1" min="197" max="197"/>
    <col outlineLevel="1" width="5" customWidth="1" min="198" max="198"/>
    <col outlineLevel="1" width="5" customWidth="1" min="199" max="199"/>
    <col outlineLevel="1" width="5" customWidth="1" min="200" max="200"/>
    <col outlineLevel="1" width="5" customWidth="1" min="201" max="201"/>
    <col outlineLevel="1" width="5" customWidth="1" min="202" max="202"/>
    <col outlineLevel="1" width="5" customWidth="1" min="203" max="203"/>
    <col outlineLevel="1" width="5" customWidth="1" min="204" max="204"/>
    <col outlineLevel="1" width="5" customWidth="1" min="205" max="205"/>
    <col outlineLevel="1" width="5" customWidth="1" min="206" max="206"/>
    <col outlineLevel="1" width="5" customWidth="1" min="207" max="207"/>
    <col outlineLevel="1" width="5" customWidth="1" min="208" max="208"/>
    <col outlineLevel="1" width="5" customWidth="1" min="209" max="209"/>
    <col width="14.14" customWidth="1" min="210" max="210"/>
    <col hidden="1" width="7.86" customWidth="1" min="211" max="211"/>
    <col hidden="1" width="7.86" customWidth="1" min="212" max="212"/>
    <col hidden="1" width="7.86" customWidth="1" min="213" max="213"/>
    <col hidden="1" width="7.86" customWidth="1" min="214" max="214"/>
    <col hidden="1" width="7.86" customWidth="1" min="215" max="215"/>
  </cols>
  <sheetData>
    <row r="1" ht="24" customHeight="1">
      <c r="A1" s="40" t="inlineStr">
        <is>
          <t>مجموعة 8</t>
        </is>
      </c>
      <c r="B1" s="4" t="n"/>
      <c r="C1" s="41" t="str">
        <f>"عدد الطلاب: "&amp;$HE$1&amp;CHAR(10)&amp;"الغياب والواجب الناقص: في آخر 8 حصص"</f>
        <v>عدد الطلاب: 0
الغياب والواجب الناقص: في آخر 8 حصص</v>
      </c>
      <c r="D1" s="42" t="n"/>
      <c r="E1" s="42" t="n"/>
      <c r="F1" s="43" t="n"/>
      <c r="G1" s="44" t="inlineStr">
        <is>
          <t>الشهر 1</t>
        </is>
      </c>
      <c r="H1" s="13" t="n"/>
      <c r="I1" s="13" t="n"/>
      <c r="J1" s="13" t="n"/>
      <c r="K1" s="13" t="n"/>
      <c r="L1" s="13" t="n"/>
      <c r="M1" s="13" t="n"/>
      <c r="N1" s="13" t="n"/>
      <c r="O1" s="13" t="n"/>
      <c r="P1" s="13" t="n"/>
      <c r="Q1" s="13" t="n"/>
      <c r="R1" s="13" t="n"/>
      <c r="S1" s="13" t="n"/>
      <c r="T1" s="13" t="n"/>
      <c r="U1" s="13" t="n"/>
      <c r="V1" s="13" t="n"/>
      <c r="W1" s="4" t="n"/>
      <c r="X1" s="45" t="inlineStr">
        <is>
          <t>الشهر 2</t>
        </is>
      </c>
      <c r="Y1" s="13" t="n"/>
      <c r="Z1" s="13" t="n"/>
      <c r="AA1" s="13" t="n"/>
      <c r="AB1" s="13" t="n"/>
      <c r="AC1" s="13" t="n"/>
      <c r="AD1" s="13" t="n"/>
      <c r="AE1" s="13" t="n"/>
      <c r="AF1" s="13" t="n"/>
      <c r="AG1" s="13" t="n"/>
      <c r="AH1" s="13" t="n"/>
      <c r="AI1" s="13" t="n"/>
      <c r="AJ1" s="13" t="n"/>
      <c r="AK1" s="13" t="n"/>
      <c r="AL1" s="13" t="n"/>
      <c r="AM1" s="13" t="n"/>
      <c r="AN1" s="4" t="n"/>
      <c r="AO1" s="46" t="inlineStr">
        <is>
          <t>الشهر 3</t>
        </is>
      </c>
      <c r="AP1" s="13" t="n"/>
      <c r="AQ1" s="13" t="n"/>
      <c r="AR1" s="13" t="n"/>
      <c r="AS1" s="13" t="n"/>
      <c r="AT1" s="13" t="n"/>
      <c r="AU1" s="13" t="n"/>
      <c r="AV1" s="13" t="n"/>
      <c r="AW1" s="13" t="n"/>
      <c r="AX1" s="13" t="n"/>
      <c r="AY1" s="13" t="n"/>
      <c r="AZ1" s="13" t="n"/>
      <c r="BA1" s="13" t="n"/>
      <c r="BB1" s="13" t="n"/>
      <c r="BC1" s="13" t="n"/>
      <c r="BD1" s="13" t="n"/>
      <c r="BE1" s="4" t="n"/>
      <c r="BF1" s="47" t="inlineStr">
        <is>
          <t>الشهر 4</t>
        </is>
      </c>
      <c r="BG1" s="13" t="n"/>
      <c r="BH1" s="13" t="n"/>
      <c r="BI1" s="13" t="n"/>
      <c r="BJ1" s="13" t="n"/>
      <c r="BK1" s="13" t="n"/>
      <c r="BL1" s="13" t="n"/>
      <c r="BM1" s="13" t="n"/>
      <c r="BN1" s="13" t="n"/>
      <c r="BO1" s="13" t="n"/>
      <c r="BP1" s="13" t="n"/>
      <c r="BQ1" s="13" t="n"/>
      <c r="BR1" s="13" t="n"/>
      <c r="BS1" s="13" t="n"/>
      <c r="BT1" s="13" t="n"/>
      <c r="BU1" s="13" t="n"/>
      <c r="BV1" s="4" t="n"/>
      <c r="BW1" s="48" t="inlineStr">
        <is>
          <t>الشهر 5</t>
        </is>
      </c>
      <c r="BX1" s="13" t="n"/>
      <c r="BY1" s="13" t="n"/>
      <c r="BZ1" s="13" t="n"/>
      <c r="CA1" s="13" t="n"/>
      <c r="CB1" s="13" t="n"/>
      <c r="CC1" s="13" t="n"/>
      <c r="CD1" s="13" t="n"/>
      <c r="CE1" s="13" t="n"/>
      <c r="CF1" s="13" t="n"/>
      <c r="CG1" s="13" t="n"/>
      <c r="CH1" s="13" t="n"/>
      <c r="CI1" s="13" t="n"/>
      <c r="CJ1" s="13" t="n"/>
      <c r="CK1" s="13" t="n"/>
      <c r="CL1" s="13" t="n"/>
      <c r="CM1" s="4" t="n"/>
      <c r="CN1" s="49" t="inlineStr">
        <is>
          <t>الشهر 6</t>
        </is>
      </c>
      <c r="CO1" s="13" t="n"/>
      <c r="CP1" s="13" t="n"/>
      <c r="CQ1" s="13" t="n"/>
      <c r="CR1" s="13" t="n"/>
      <c r="CS1" s="13" t="n"/>
      <c r="CT1" s="13" t="n"/>
      <c r="CU1" s="13" t="n"/>
      <c r="CV1" s="13" t="n"/>
      <c r="CW1" s="13" t="n"/>
      <c r="CX1" s="13" t="n"/>
      <c r="CY1" s="13" t="n"/>
      <c r="CZ1" s="13" t="n"/>
      <c r="DA1" s="13" t="n"/>
      <c r="DB1" s="13" t="n"/>
      <c r="DC1" s="13" t="n"/>
      <c r="DD1" s="4" t="n"/>
      <c r="DE1" s="50" t="inlineStr">
        <is>
          <t>الشهر 7</t>
        </is>
      </c>
      <c r="DF1" s="13" t="n"/>
      <c r="DG1" s="13" t="n"/>
      <c r="DH1" s="13" t="n"/>
      <c r="DI1" s="13" t="n"/>
      <c r="DJ1" s="13" t="n"/>
      <c r="DK1" s="13" t="n"/>
      <c r="DL1" s="13" t="n"/>
      <c r="DM1" s="13" t="n"/>
      <c r="DN1" s="13" t="n"/>
      <c r="DO1" s="13" t="n"/>
      <c r="DP1" s="13" t="n"/>
      <c r="DQ1" s="13" t="n"/>
      <c r="DR1" s="13" t="n"/>
      <c r="DS1" s="13" t="n"/>
      <c r="DT1" s="13" t="n"/>
      <c r="DU1" s="4" t="n"/>
      <c r="DV1" s="51" t="inlineStr">
        <is>
          <t>الشهر 8</t>
        </is>
      </c>
      <c r="DW1" s="13" t="n"/>
      <c r="DX1" s="13" t="n"/>
      <c r="DY1" s="13" t="n"/>
      <c r="DZ1" s="13" t="n"/>
      <c r="EA1" s="13" t="n"/>
      <c r="EB1" s="13" t="n"/>
      <c r="EC1" s="13" t="n"/>
      <c r="ED1" s="13" t="n"/>
      <c r="EE1" s="13" t="n"/>
      <c r="EF1" s="13" t="n"/>
      <c r="EG1" s="13" t="n"/>
      <c r="EH1" s="13" t="n"/>
      <c r="EI1" s="13" t="n"/>
      <c r="EJ1" s="13" t="n"/>
      <c r="EK1" s="13" t="n"/>
      <c r="EL1" s="4" t="n"/>
      <c r="EM1" s="52" t="inlineStr">
        <is>
          <t>الشهر 9</t>
        </is>
      </c>
      <c r="EN1" s="13" t="n"/>
      <c r="EO1" s="13" t="n"/>
      <c r="EP1" s="13" t="n"/>
      <c r="EQ1" s="13" t="n"/>
      <c r="ER1" s="13" t="n"/>
      <c r="ES1" s="13" t="n"/>
      <c r="ET1" s="13" t="n"/>
      <c r="EU1" s="13" t="n"/>
      <c r="EV1" s="13" t="n"/>
      <c r="EW1" s="13" t="n"/>
      <c r="EX1" s="13" t="n"/>
      <c r="EY1" s="13" t="n"/>
      <c r="EZ1" s="13" t="n"/>
      <c r="FA1" s="13" t="n"/>
      <c r="FB1" s="13" t="n"/>
      <c r="FC1" s="4" t="n"/>
      <c r="FD1" s="53" t="inlineStr">
        <is>
          <t>الشهر 10</t>
        </is>
      </c>
      <c r="FE1" s="13" t="n"/>
      <c r="FF1" s="13" t="n"/>
      <c r="FG1" s="13" t="n"/>
      <c r="FH1" s="13" t="n"/>
      <c r="FI1" s="13" t="n"/>
      <c r="FJ1" s="13" t="n"/>
      <c r="FK1" s="13" t="n"/>
      <c r="FL1" s="13" t="n"/>
      <c r="FM1" s="13" t="n"/>
      <c r="FN1" s="13" t="n"/>
      <c r="FO1" s="13" t="n"/>
      <c r="FP1" s="13" t="n"/>
      <c r="FQ1" s="13" t="n"/>
      <c r="FR1" s="13" t="n"/>
      <c r="FS1" s="13" t="n"/>
      <c r="FT1" s="4" t="n"/>
      <c r="FU1" s="54" t="inlineStr">
        <is>
          <t>الشهر 11</t>
        </is>
      </c>
      <c r="FV1" s="13" t="n"/>
      <c r="FW1" s="13" t="n"/>
      <c r="FX1" s="13" t="n"/>
      <c r="FY1" s="13" t="n"/>
      <c r="FZ1" s="13" t="n"/>
      <c r="GA1" s="13" t="n"/>
      <c r="GB1" s="13" t="n"/>
      <c r="GC1" s="13" t="n"/>
      <c r="GD1" s="13" t="n"/>
      <c r="GE1" s="13" t="n"/>
      <c r="GF1" s="13" t="n"/>
      <c r="GG1" s="13" t="n"/>
      <c r="GH1" s="13" t="n"/>
      <c r="GI1" s="13" t="n"/>
      <c r="GJ1" s="13" t="n"/>
      <c r="GK1" s="4" t="n"/>
      <c r="GL1" s="55" t="inlineStr">
        <is>
          <t>الشهر 12</t>
        </is>
      </c>
      <c r="GM1" s="13" t="n"/>
      <c r="GN1" s="13" t="n"/>
      <c r="GO1" s="13" t="n"/>
      <c r="GP1" s="13" t="n"/>
      <c r="GQ1" s="13" t="n"/>
      <c r="GR1" s="13" t="n"/>
      <c r="GS1" s="13" t="n"/>
      <c r="GT1" s="13" t="n"/>
      <c r="GU1" s="13" t="n"/>
      <c r="GV1" s="13" t="n"/>
      <c r="GW1" s="13" t="n"/>
      <c r="GX1" s="13" t="n"/>
      <c r="GY1" s="13" t="n"/>
      <c r="GZ1" s="13" t="n"/>
      <c r="HA1" s="13" t="n"/>
      <c r="HB1" s="4" t="n"/>
      <c r="HC1">
        <f>SUMPRODUCT(MAX(($G$4:$HB$4="ح")*($G$20:$HB$20&gt;0)*$G$47:$HB$47))</f>
        <v>0</v>
      </c>
      <c r="HD1">
        <f>IF(OR($F$27="",$F$27="الكل"),1,IFERROR(MATCH($F$27,'حسابات'!$F$2:$F$14,0)-1,1))</f>
        <v>1</v>
      </c>
      <c r="HE1">
        <f>SUMPRODUCT(--($B$5:$B$19&lt;&gt;""))</f>
        <v>0</v>
      </c>
      <c r="HF1" t="str">
        <f>IF($HE$3=0,"",8-$HE$3)</f>
        <v/>
      </c>
      <c r="HG1">
        <f>'الرئيسية'!$H$27</f>
        <v>2</v>
      </c>
    </row>
    <row r="2" ht="16.5" customHeight="1">
      <c r="A2" s="56" t="str">
        <f>IF($HC$1=0,"لسه ما بدأتش",IF(INDEX($G$1:$HB$1,1,17*($HC$2-1)+1)="","شهر "&amp;$HC$2,INDEX($G$1:$HB$1,1,17*($HC$2-1)+1))&amp;" · حصة "&amp;$HC$3&amp;" من 8")</f>
        <v>لسه ما بدأتش</v>
      </c>
      <c r="B2" s="43" t="n"/>
      <c r="C2" s="57" t="n"/>
      <c r="F2" s="58" t="n"/>
      <c r="G2" s="59" t="inlineStr">
        <is>
          <t>حصة 1</t>
        </is>
      </c>
      <c r="H2" s="4" t="n"/>
      <c r="I2" s="59" t="inlineStr">
        <is>
          <t>حصة 2</t>
        </is>
      </c>
      <c r="J2" s="4" t="n"/>
      <c r="K2" s="59" t="inlineStr">
        <is>
          <t>حصة 3</t>
        </is>
      </c>
      <c r="L2" s="4" t="n"/>
      <c r="M2" s="59" t="inlineStr">
        <is>
          <t>حصة 4</t>
        </is>
      </c>
      <c r="N2" s="4" t="n"/>
      <c r="O2" s="59" t="inlineStr">
        <is>
          <t>حصة 5</t>
        </is>
      </c>
      <c r="P2" s="4" t="n"/>
      <c r="Q2" s="59" t="inlineStr">
        <is>
          <t>حصة 6</t>
        </is>
      </c>
      <c r="R2" s="4" t="n"/>
      <c r="S2" s="59" t="inlineStr">
        <is>
          <t>حصة 7</t>
        </is>
      </c>
      <c r="T2" s="4" t="n"/>
      <c r="U2" s="59" t="inlineStr">
        <is>
          <t>حصة 8</t>
        </is>
      </c>
      <c r="V2" s="4" t="n"/>
      <c r="W2" s="59" t="inlineStr">
        <is>
          <t>المصاريف</t>
        </is>
      </c>
      <c r="X2" s="60" t="inlineStr">
        <is>
          <t>حصة 1</t>
        </is>
      </c>
      <c r="Y2" s="4" t="n"/>
      <c r="Z2" s="60" t="inlineStr">
        <is>
          <t>حصة 2</t>
        </is>
      </c>
      <c r="AA2" s="4" t="n"/>
      <c r="AB2" s="60" t="inlineStr">
        <is>
          <t>حصة 3</t>
        </is>
      </c>
      <c r="AC2" s="4" t="n"/>
      <c r="AD2" s="60" t="inlineStr">
        <is>
          <t>حصة 4</t>
        </is>
      </c>
      <c r="AE2" s="4" t="n"/>
      <c r="AF2" s="60" t="inlineStr">
        <is>
          <t>حصة 5</t>
        </is>
      </c>
      <c r="AG2" s="4" t="n"/>
      <c r="AH2" s="60" t="inlineStr">
        <is>
          <t>حصة 6</t>
        </is>
      </c>
      <c r="AI2" s="4" t="n"/>
      <c r="AJ2" s="60" t="inlineStr">
        <is>
          <t>حصة 7</t>
        </is>
      </c>
      <c r="AK2" s="4" t="n"/>
      <c r="AL2" s="60" t="inlineStr">
        <is>
          <t>حصة 8</t>
        </is>
      </c>
      <c r="AM2" s="4" t="n"/>
      <c r="AN2" s="60" t="inlineStr">
        <is>
          <t>المصاريف</t>
        </is>
      </c>
      <c r="AO2" s="61" t="inlineStr">
        <is>
          <t>حصة 1</t>
        </is>
      </c>
      <c r="AP2" s="4" t="n"/>
      <c r="AQ2" s="61" t="inlineStr">
        <is>
          <t>حصة 2</t>
        </is>
      </c>
      <c r="AR2" s="4" t="n"/>
      <c r="AS2" s="61" t="inlineStr">
        <is>
          <t>حصة 3</t>
        </is>
      </c>
      <c r="AT2" s="4" t="n"/>
      <c r="AU2" s="61" t="inlineStr">
        <is>
          <t>حصة 4</t>
        </is>
      </c>
      <c r="AV2" s="4" t="n"/>
      <c r="AW2" s="61" t="inlineStr">
        <is>
          <t>حصة 5</t>
        </is>
      </c>
      <c r="AX2" s="4" t="n"/>
      <c r="AY2" s="61" t="inlineStr">
        <is>
          <t>حصة 6</t>
        </is>
      </c>
      <c r="AZ2" s="4" t="n"/>
      <c r="BA2" s="61" t="inlineStr">
        <is>
          <t>حصة 7</t>
        </is>
      </c>
      <c r="BB2" s="4" t="n"/>
      <c r="BC2" s="61" t="inlineStr">
        <is>
          <t>حصة 8</t>
        </is>
      </c>
      <c r="BD2" s="4" t="n"/>
      <c r="BE2" s="61" t="inlineStr">
        <is>
          <t>المصاريف</t>
        </is>
      </c>
      <c r="BF2" s="62" t="inlineStr">
        <is>
          <t>حصة 1</t>
        </is>
      </c>
      <c r="BG2" s="4" t="n"/>
      <c r="BH2" s="62" t="inlineStr">
        <is>
          <t>حصة 2</t>
        </is>
      </c>
      <c r="BI2" s="4" t="n"/>
      <c r="BJ2" s="62" t="inlineStr">
        <is>
          <t>حصة 3</t>
        </is>
      </c>
      <c r="BK2" s="4" t="n"/>
      <c r="BL2" s="62" t="inlineStr">
        <is>
          <t>حصة 4</t>
        </is>
      </c>
      <c r="BM2" s="4" t="n"/>
      <c r="BN2" s="62" t="inlineStr">
        <is>
          <t>حصة 5</t>
        </is>
      </c>
      <c r="BO2" s="4" t="n"/>
      <c r="BP2" s="62" t="inlineStr">
        <is>
          <t>حصة 6</t>
        </is>
      </c>
      <c r="BQ2" s="4" t="n"/>
      <c r="BR2" s="62" t="inlineStr">
        <is>
          <t>حصة 7</t>
        </is>
      </c>
      <c r="BS2" s="4" t="n"/>
      <c r="BT2" s="62" t="inlineStr">
        <is>
          <t>حصة 8</t>
        </is>
      </c>
      <c r="BU2" s="4" t="n"/>
      <c r="BV2" s="62" t="inlineStr">
        <is>
          <t>المصاريف</t>
        </is>
      </c>
      <c r="BW2" s="63" t="inlineStr">
        <is>
          <t>حصة 1</t>
        </is>
      </c>
      <c r="BX2" s="4" t="n"/>
      <c r="BY2" s="63" t="inlineStr">
        <is>
          <t>حصة 2</t>
        </is>
      </c>
      <c r="BZ2" s="4" t="n"/>
      <c r="CA2" s="63" t="inlineStr">
        <is>
          <t>حصة 3</t>
        </is>
      </c>
      <c r="CB2" s="4" t="n"/>
      <c r="CC2" s="63" t="inlineStr">
        <is>
          <t>حصة 4</t>
        </is>
      </c>
      <c r="CD2" s="4" t="n"/>
      <c r="CE2" s="63" t="inlineStr">
        <is>
          <t>حصة 5</t>
        </is>
      </c>
      <c r="CF2" s="4" t="n"/>
      <c r="CG2" s="63" t="inlineStr">
        <is>
          <t>حصة 6</t>
        </is>
      </c>
      <c r="CH2" s="4" t="n"/>
      <c r="CI2" s="63" t="inlineStr">
        <is>
          <t>حصة 7</t>
        </is>
      </c>
      <c r="CJ2" s="4" t="n"/>
      <c r="CK2" s="63" t="inlineStr">
        <is>
          <t>حصة 8</t>
        </is>
      </c>
      <c r="CL2" s="4" t="n"/>
      <c r="CM2" s="63" t="inlineStr">
        <is>
          <t>المصاريف</t>
        </is>
      </c>
      <c r="CN2" s="64" t="inlineStr">
        <is>
          <t>حصة 1</t>
        </is>
      </c>
      <c r="CO2" s="4" t="n"/>
      <c r="CP2" s="64" t="inlineStr">
        <is>
          <t>حصة 2</t>
        </is>
      </c>
      <c r="CQ2" s="4" t="n"/>
      <c r="CR2" s="64" t="inlineStr">
        <is>
          <t>حصة 3</t>
        </is>
      </c>
      <c r="CS2" s="4" t="n"/>
      <c r="CT2" s="64" t="inlineStr">
        <is>
          <t>حصة 4</t>
        </is>
      </c>
      <c r="CU2" s="4" t="n"/>
      <c r="CV2" s="64" t="inlineStr">
        <is>
          <t>حصة 5</t>
        </is>
      </c>
      <c r="CW2" s="4" t="n"/>
      <c r="CX2" s="64" t="inlineStr">
        <is>
          <t>حصة 6</t>
        </is>
      </c>
      <c r="CY2" s="4" t="n"/>
      <c r="CZ2" s="64" t="inlineStr">
        <is>
          <t>حصة 7</t>
        </is>
      </c>
      <c r="DA2" s="4" t="n"/>
      <c r="DB2" s="64" t="inlineStr">
        <is>
          <t>حصة 8</t>
        </is>
      </c>
      <c r="DC2" s="4" t="n"/>
      <c r="DD2" s="64" t="inlineStr">
        <is>
          <t>المصاريف</t>
        </is>
      </c>
      <c r="DE2" s="65" t="inlineStr">
        <is>
          <t>حصة 1</t>
        </is>
      </c>
      <c r="DF2" s="4" t="n"/>
      <c r="DG2" s="65" t="inlineStr">
        <is>
          <t>حصة 2</t>
        </is>
      </c>
      <c r="DH2" s="4" t="n"/>
      <c r="DI2" s="65" t="inlineStr">
        <is>
          <t>حصة 3</t>
        </is>
      </c>
      <c r="DJ2" s="4" t="n"/>
      <c r="DK2" s="65" t="inlineStr">
        <is>
          <t>حصة 4</t>
        </is>
      </c>
      <c r="DL2" s="4" t="n"/>
      <c r="DM2" s="65" t="inlineStr">
        <is>
          <t>حصة 5</t>
        </is>
      </c>
      <c r="DN2" s="4" t="n"/>
      <c r="DO2" s="65" t="inlineStr">
        <is>
          <t>حصة 6</t>
        </is>
      </c>
      <c r="DP2" s="4" t="n"/>
      <c r="DQ2" s="65" t="inlineStr">
        <is>
          <t>حصة 7</t>
        </is>
      </c>
      <c r="DR2" s="4" t="n"/>
      <c r="DS2" s="65" t="inlineStr">
        <is>
          <t>حصة 8</t>
        </is>
      </c>
      <c r="DT2" s="4" t="n"/>
      <c r="DU2" s="65" t="inlineStr">
        <is>
          <t>المصاريف</t>
        </is>
      </c>
      <c r="DV2" s="66" t="inlineStr">
        <is>
          <t>حصة 1</t>
        </is>
      </c>
      <c r="DW2" s="4" t="n"/>
      <c r="DX2" s="66" t="inlineStr">
        <is>
          <t>حصة 2</t>
        </is>
      </c>
      <c r="DY2" s="4" t="n"/>
      <c r="DZ2" s="66" t="inlineStr">
        <is>
          <t>حصة 3</t>
        </is>
      </c>
      <c r="EA2" s="4" t="n"/>
      <c r="EB2" s="66" t="inlineStr">
        <is>
          <t>حصة 4</t>
        </is>
      </c>
      <c r="EC2" s="4" t="n"/>
      <c r="ED2" s="66" t="inlineStr">
        <is>
          <t>حصة 5</t>
        </is>
      </c>
      <c r="EE2" s="4" t="n"/>
      <c r="EF2" s="66" t="inlineStr">
        <is>
          <t>حصة 6</t>
        </is>
      </c>
      <c r="EG2" s="4" t="n"/>
      <c r="EH2" s="66" t="inlineStr">
        <is>
          <t>حصة 7</t>
        </is>
      </c>
      <c r="EI2" s="4" t="n"/>
      <c r="EJ2" s="66" t="inlineStr">
        <is>
          <t>حصة 8</t>
        </is>
      </c>
      <c r="EK2" s="4" t="n"/>
      <c r="EL2" s="66" t="inlineStr">
        <is>
          <t>المصاريف</t>
        </is>
      </c>
      <c r="EM2" s="67" t="inlineStr">
        <is>
          <t>حصة 1</t>
        </is>
      </c>
      <c r="EN2" s="4" t="n"/>
      <c r="EO2" s="67" t="inlineStr">
        <is>
          <t>حصة 2</t>
        </is>
      </c>
      <c r="EP2" s="4" t="n"/>
      <c r="EQ2" s="67" t="inlineStr">
        <is>
          <t>حصة 3</t>
        </is>
      </c>
      <c r="ER2" s="4" t="n"/>
      <c r="ES2" s="67" t="inlineStr">
        <is>
          <t>حصة 4</t>
        </is>
      </c>
      <c r="ET2" s="4" t="n"/>
      <c r="EU2" s="67" t="inlineStr">
        <is>
          <t>حصة 5</t>
        </is>
      </c>
      <c r="EV2" s="4" t="n"/>
      <c r="EW2" s="67" t="inlineStr">
        <is>
          <t>حصة 6</t>
        </is>
      </c>
      <c r="EX2" s="4" t="n"/>
      <c r="EY2" s="67" t="inlineStr">
        <is>
          <t>حصة 7</t>
        </is>
      </c>
      <c r="EZ2" s="4" t="n"/>
      <c r="FA2" s="67" t="inlineStr">
        <is>
          <t>حصة 8</t>
        </is>
      </c>
      <c r="FB2" s="4" t="n"/>
      <c r="FC2" s="67" t="inlineStr">
        <is>
          <t>المصاريف</t>
        </is>
      </c>
      <c r="FD2" s="68" t="inlineStr">
        <is>
          <t>حصة 1</t>
        </is>
      </c>
      <c r="FE2" s="4" t="n"/>
      <c r="FF2" s="68" t="inlineStr">
        <is>
          <t>حصة 2</t>
        </is>
      </c>
      <c r="FG2" s="4" t="n"/>
      <c r="FH2" s="68" t="inlineStr">
        <is>
          <t>حصة 3</t>
        </is>
      </c>
      <c r="FI2" s="4" t="n"/>
      <c r="FJ2" s="68" t="inlineStr">
        <is>
          <t>حصة 4</t>
        </is>
      </c>
      <c r="FK2" s="4" t="n"/>
      <c r="FL2" s="68" t="inlineStr">
        <is>
          <t>حصة 5</t>
        </is>
      </c>
      <c r="FM2" s="4" t="n"/>
      <c r="FN2" s="68" t="inlineStr">
        <is>
          <t>حصة 6</t>
        </is>
      </c>
      <c r="FO2" s="4" t="n"/>
      <c r="FP2" s="68" t="inlineStr">
        <is>
          <t>حصة 7</t>
        </is>
      </c>
      <c r="FQ2" s="4" t="n"/>
      <c r="FR2" s="68" t="inlineStr">
        <is>
          <t>حصة 8</t>
        </is>
      </c>
      <c r="FS2" s="4" t="n"/>
      <c r="FT2" s="68" t="inlineStr">
        <is>
          <t>المصاريف</t>
        </is>
      </c>
      <c r="FU2" s="69" t="inlineStr">
        <is>
          <t>حصة 1</t>
        </is>
      </c>
      <c r="FV2" s="4" t="n"/>
      <c r="FW2" s="69" t="inlineStr">
        <is>
          <t>حصة 2</t>
        </is>
      </c>
      <c r="FX2" s="4" t="n"/>
      <c r="FY2" s="69" t="inlineStr">
        <is>
          <t>حصة 3</t>
        </is>
      </c>
      <c r="FZ2" s="4" t="n"/>
      <c r="GA2" s="69" t="inlineStr">
        <is>
          <t>حصة 4</t>
        </is>
      </c>
      <c r="GB2" s="4" t="n"/>
      <c r="GC2" s="69" t="inlineStr">
        <is>
          <t>حصة 5</t>
        </is>
      </c>
      <c r="GD2" s="4" t="n"/>
      <c r="GE2" s="69" t="inlineStr">
        <is>
          <t>حصة 6</t>
        </is>
      </c>
      <c r="GF2" s="4" t="n"/>
      <c r="GG2" s="69" t="inlineStr">
        <is>
          <t>حصة 7</t>
        </is>
      </c>
      <c r="GH2" s="4" t="n"/>
      <c r="GI2" s="69" t="inlineStr">
        <is>
          <t>حصة 8</t>
        </is>
      </c>
      <c r="GJ2" s="4" t="n"/>
      <c r="GK2" s="69" t="inlineStr">
        <is>
          <t>المصاريف</t>
        </is>
      </c>
      <c r="GL2" s="70" t="inlineStr">
        <is>
          <t>حصة 1</t>
        </is>
      </c>
      <c r="GM2" s="4" t="n"/>
      <c r="GN2" s="70" t="inlineStr">
        <is>
          <t>حصة 2</t>
        </is>
      </c>
      <c r="GO2" s="4" t="n"/>
      <c r="GP2" s="70" t="inlineStr">
        <is>
          <t>حصة 3</t>
        </is>
      </c>
      <c r="GQ2" s="4" t="n"/>
      <c r="GR2" s="70" t="inlineStr">
        <is>
          <t>حصة 4</t>
        </is>
      </c>
      <c r="GS2" s="4" t="n"/>
      <c r="GT2" s="70" t="inlineStr">
        <is>
          <t>حصة 5</t>
        </is>
      </c>
      <c r="GU2" s="4" t="n"/>
      <c r="GV2" s="70" t="inlineStr">
        <is>
          <t>حصة 6</t>
        </is>
      </c>
      <c r="GW2" s="4" t="n"/>
      <c r="GX2" s="70" t="inlineStr">
        <is>
          <t>حصة 7</t>
        </is>
      </c>
      <c r="GY2" s="4" t="n"/>
      <c r="GZ2" s="70" t="inlineStr">
        <is>
          <t>حصة 8</t>
        </is>
      </c>
      <c r="HA2" s="4" t="n"/>
      <c r="HB2" s="70" t="inlineStr">
        <is>
          <t>المصاريف</t>
        </is>
      </c>
      <c r="HC2">
        <f>IF($HC$1=0,1,INT(($HC$1-1)/8)+1)</f>
        <v>1</v>
      </c>
      <c r="HD2">
        <f>IF(OR($F$27="",$F$27="الكل"),12,$HD$1)</f>
        <v>12</v>
      </c>
      <c r="HE2">
        <f>IF(SUMPRODUCT(($G$3:$HB$3=TODAY())*($G$20:$HB$20&gt;0))&gt;0,1,0)</f>
        <v>0</v>
      </c>
      <c r="HF2" t="str">
        <f>IF($HF$1="","",TODAY()+$HF$1)</f>
        <v/>
      </c>
    </row>
    <row r="3" ht="19.5" customHeight="1">
      <c r="A3" s="71" t="n"/>
      <c r="B3" s="72" t="n"/>
      <c r="C3" s="71" t="n"/>
      <c r="D3" s="73" t="n"/>
      <c r="E3" s="73" t="n"/>
      <c r="F3" s="72" t="n"/>
      <c r="G3" s="74" t="n"/>
      <c r="H3" s="4" t="n"/>
      <c r="I3" s="74" t="n"/>
      <c r="J3" s="4" t="n"/>
      <c r="K3" s="74" t="n"/>
      <c r="L3" s="4" t="n"/>
      <c r="M3" s="74" t="n"/>
      <c r="N3" s="4" t="n"/>
      <c r="O3" s="74" t="n"/>
      <c r="P3" s="4" t="n"/>
      <c r="Q3" s="74" t="n"/>
      <c r="R3" s="4" t="n"/>
      <c r="S3" s="74" t="n"/>
      <c r="T3" s="4" t="n"/>
      <c r="U3" s="74" t="n"/>
      <c r="V3" s="4" t="n"/>
      <c r="W3" s="75" t="n"/>
      <c r="X3" s="74" t="n"/>
      <c r="Y3" s="4" t="n"/>
      <c r="Z3" s="74" t="n"/>
      <c r="AA3" s="4" t="n"/>
      <c r="AB3" s="74" t="n"/>
      <c r="AC3" s="4" t="n"/>
      <c r="AD3" s="74" t="n"/>
      <c r="AE3" s="4" t="n"/>
      <c r="AF3" s="74" t="n"/>
      <c r="AG3" s="4" t="n"/>
      <c r="AH3" s="74" t="n"/>
      <c r="AI3" s="4" t="n"/>
      <c r="AJ3" s="74" t="n"/>
      <c r="AK3" s="4" t="n"/>
      <c r="AL3" s="74" t="n"/>
      <c r="AM3" s="4" t="n"/>
      <c r="AN3" s="75" t="n"/>
      <c r="AO3" s="74" t="n"/>
      <c r="AP3" s="4" t="n"/>
      <c r="AQ3" s="74" t="n"/>
      <c r="AR3" s="4" t="n"/>
      <c r="AS3" s="74" t="n"/>
      <c r="AT3" s="4" t="n"/>
      <c r="AU3" s="74" t="n"/>
      <c r="AV3" s="4" t="n"/>
      <c r="AW3" s="74" t="n"/>
      <c r="AX3" s="4" t="n"/>
      <c r="AY3" s="74" t="n"/>
      <c r="AZ3" s="4" t="n"/>
      <c r="BA3" s="74" t="n"/>
      <c r="BB3" s="4" t="n"/>
      <c r="BC3" s="74" t="n"/>
      <c r="BD3" s="4" t="n"/>
      <c r="BE3" s="75" t="n"/>
      <c r="BF3" s="74" t="n"/>
      <c r="BG3" s="4" t="n"/>
      <c r="BH3" s="74" t="n"/>
      <c r="BI3" s="4" t="n"/>
      <c r="BJ3" s="74" t="n"/>
      <c r="BK3" s="4" t="n"/>
      <c r="BL3" s="74" t="n"/>
      <c r="BM3" s="4" t="n"/>
      <c r="BN3" s="74" t="n"/>
      <c r="BO3" s="4" t="n"/>
      <c r="BP3" s="74" t="n"/>
      <c r="BQ3" s="4" t="n"/>
      <c r="BR3" s="74" t="n"/>
      <c r="BS3" s="4" t="n"/>
      <c r="BT3" s="74" t="n"/>
      <c r="BU3" s="4" t="n"/>
      <c r="BV3" s="75" t="n"/>
      <c r="BW3" s="74" t="n"/>
      <c r="BX3" s="4" t="n"/>
      <c r="BY3" s="74" t="n"/>
      <c r="BZ3" s="4" t="n"/>
      <c r="CA3" s="74" t="n"/>
      <c r="CB3" s="4" t="n"/>
      <c r="CC3" s="74" t="n"/>
      <c r="CD3" s="4" t="n"/>
      <c r="CE3" s="74" t="n"/>
      <c r="CF3" s="4" t="n"/>
      <c r="CG3" s="74" t="n"/>
      <c r="CH3" s="4" t="n"/>
      <c r="CI3" s="74" t="n"/>
      <c r="CJ3" s="4" t="n"/>
      <c r="CK3" s="74" t="n"/>
      <c r="CL3" s="4" t="n"/>
      <c r="CM3" s="75" t="n"/>
      <c r="CN3" s="74" t="n"/>
      <c r="CO3" s="4" t="n"/>
      <c r="CP3" s="74" t="n"/>
      <c r="CQ3" s="4" t="n"/>
      <c r="CR3" s="74" t="n"/>
      <c r="CS3" s="4" t="n"/>
      <c r="CT3" s="74" t="n"/>
      <c r="CU3" s="4" t="n"/>
      <c r="CV3" s="74" t="n"/>
      <c r="CW3" s="4" t="n"/>
      <c r="CX3" s="74" t="n"/>
      <c r="CY3" s="4" t="n"/>
      <c r="CZ3" s="74" t="n"/>
      <c r="DA3" s="4" t="n"/>
      <c r="DB3" s="74" t="n"/>
      <c r="DC3" s="4" t="n"/>
      <c r="DD3" s="75" t="n"/>
      <c r="DE3" s="74" t="n"/>
      <c r="DF3" s="4" t="n"/>
      <c r="DG3" s="74" t="n"/>
      <c r="DH3" s="4" t="n"/>
      <c r="DI3" s="74" t="n"/>
      <c r="DJ3" s="4" t="n"/>
      <c r="DK3" s="74" t="n"/>
      <c r="DL3" s="4" t="n"/>
      <c r="DM3" s="74" t="n"/>
      <c r="DN3" s="4" t="n"/>
      <c r="DO3" s="74" t="n"/>
      <c r="DP3" s="4" t="n"/>
      <c r="DQ3" s="74" t="n"/>
      <c r="DR3" s="4" t="n"/>
      <c r="DS3" s="74" t="n"/>
      <c r="DT3" s="4" t="n"/>
      <c r="DU3" s="75" t="n"/>
      <c r="DV3" s="74" t="n"/>
      <c r="DW3" s="4" t="n"/>
      <c r="DX3" s="74" t="n"/>
      <c r="DY3" s="4" t="n"/>
      <c r="DZ3" s="74" t="n"/>
      <c r="EA3" s="4" t="n"/>
      <c r="EB3" s="74" t="n"/>
      <c r="EC3" s="4" t="n"/>
      <c r="ED3" s="74" t="n"/>
      <c r="EE3" s="4" t="n"/>
      <c r="EF3" s="74" t="n"/>
      <c r="EG3" s="4" t="n"/>
      <c r="EH3" s="74" t="n"/>
      <c r="EI3" s="4" t="n"/>
      <c r="EJ3" s="74" t="n"/>
      <c r="EK3" s="4" t="n"/>
      <c r="EL3" s="75" t="n"/>
      <c r="EM3" s="74" t="n"/>
      <c r="EN3" s="4" t="n"/>
      <c r="EO3" s="74" t="n"/>
      <c r="EP3" s="4" t="n"/>
      <c r="EQ3" s="74" t="n"/>
      <c r="ER3" s="4" t="n"/>
      <c r="ES3" s="74" t="n"/>
      <c r="ET3" s="4" t="n"/>
      <c r="EU3" s="74" t="n"/>
      <c r="EV3" s="4" t="n"/>
      <c r="EW3" s="74" t="n"/>
      <c r="EX3" s="4" t="n"/>
      <c r="EY3" s="74" t="n"/>
      <c r="EZ3" s="4" t="n"/>
      <c r="FA3" s="74" t="n"/>
      <c r="FB3" s="4" t="n"/>
      <c r="FC3" s="75" t="n"/>
      <c r="FD3" s="74" t="n"/>
      <c r="FE3" s="4" t="n"/>
      <c r="FF3" s="74" t="n"/>
      <c r="FG3" s="4" t="n"/>
      <c r="FH3" s="74" t="n"/>
      <c r="FI3" s="4" t="n"/>
      <c r="FJ3" s="74" t="n"/>
      <c r="FK3" s="4" t="n"/>
      <c r="FL3" s="74" t="n"/>
      <c r="FM3" s="4" t="n"/>
      <c r="FN3" s="74" t="n"/>
      <c r="FO3" s="4" t="n"/>
      <c r="FP3" s="74" t="n"/>
      <c r="FQ3" s="4" t="n"/>
      <c r="FR3" s="74" t="n"/>
      <c r="FS3" s="4" t="n"/>
      <c r="FT3" s="75" t="n"/>
      <c r="FU3" s="74" t="n"/>
      <c r="FV3" s="4" t="n"/>
      <c r="FW3" s="74" t="n"/>
      <c r="FX3" s="4" t="n"/>
      <c r="FY3" s="74" t="n"/>
      <c r="FZ3" s="4" t="n"/>
      <c r="GA3" s="74" t="n"/>
      <c r="GB3" s="4" t="n"/>
      <c r="GC3" s="74" t="n"/>
      <c r="GD3" s="4" t="n"/>
      <c r="GE3" s="74" t="n"/>
      <c r="GF3" s="4" t="n"/>
      <c r="GG3" s="74" t="n"/>
      <c r="GH3" s="4" t="n"/>
      <c r="GI3" s="74" t="n"/>
      <c r="GJ3" s="4" t="n"/>
      <c r="GK3" s="75" t="n"/>
      <c r="GL3" s="74" t="n"/>
      <c r="GM3" s="4" t="n"/>
      <c r="GN3" s="74" t="n"/>
      <c r="GO3" s="4" t="n"/>
      <c r="GP3" s="74" t="n"/>
      <c r="GQ3" s="4" t="n"/>
      <c r="GR3" s="74" t="n"/>
      <c r="GS3" s="4" t="n"/>
      <c r="GT3" s="74" t="n"/>
      <c r="GU3" s="4" t="n"/>
      <c r="GV3" s="74" t="n"/>
      <c r="GW3" s="4" t="n"/>
      <c r="GX3" s="74" t="n"/>
      <c r="GY3" s="4" t="n"/>
      <c r="GZ3" s="74" t="n"/>
      <c r="HA3" s="4" t="n"/>
      <c r="HB3" s="75" t="n"/>
      <c r="HC3">
        <f>$HC$1-8*($HC$2-1)</f>
        <v>0</v>
      </c>
      <c r="HE3">
        <f>IF($A$1="",0,IF($HE$2=1,SUMPRODUCT(MAX(('المواعيد'!$D$5:$D$34=$A$1)*(8-'المواعيد'!$L$5:$L$34))),SUMPRODUCT(MAX(('المواعيد'!$D$5:$D$34=$A$1)*(8-'المواعيد'!$K$5:$K$34)))))</f>
        <v>0</v>
      </c>
      <c r="HF3">
        <f>IF($HF$1="",0,SUMPRODUCT(MAX(('المواعيد'!$D$5:$D$34=$A$1)*('المواعيد'!$G$5:$G$34=WEEKDAY($HF$2))*(ROW('المواعيد'!$D$5:$D$34)-4))))</f>
        <v>0</v>
      </c>
    </row>
    <row r="4" ht="16.5" customHeight="1">
      <c r="A4" s="76" t="inlineStr">
        <is>
          <t>م</t>
        </is>
      </c>
      <c r="B4" s="76" t="inlineStr">
        <is>
          <t>الاسم</t>
        </is>
      </c>
      <c r="C4" s="76" t="inlineStr">
        <is>
          <t>ولي الأمر</t>
        </is>
      </c>
      <c r="D4" s="76" t="inlineStr">
        <is>
          <t>غياب</t>
        </is>
      </c>
      <c r="E4" s="76" t="inlineStr">
        <is>
          <t>واجب</t>
        </is>
      </c>
      <c r="F4" s="76" t="inlineStr">
        <is>
          <t>المصاريف</t>
        </is>
      </c>
      <c r="G4" s="8" t="inlineStr">
        <is>
          <t>ح</t>
        </is>
      </c>
      <c r="H4" s="77" t="inlineStr">
        <is>
          <t>و</t>
        </is>
      </c>
      <c r="I4" s="8" t="inlineStr">
        <is>
          <t>ح</t>
        </is>
      </c>
      <c r="J4" s="77" t="inlineStr">
        <is>
          <t>و</t>
        </is>
      </c>
      <c r="K4" s="8" t="inlineStr">
        <is>
          <t>ح</t>
        </is>
      </c>
      <c r="L4" s="77" t="inlineStr">
        <is>
          <t>و</t>
        </is>
      </c>
      <c r="M4" s="8" t="inlineStr">
        <is>
          <t>ح</t>
        </is>
      </c>
      <c r="N4" s="77" t="inlineStr">
        <is>
          <t>و</t>
        </is>
      </c>
      <c r="O4" s="8" t="inlineStr">
        <is>
          <t>ح</t>
        </is>
      </c>
      <c r="P4" s="77" t="inlineStr">
        <is>
          <t>و</t>
        </is>
      </c>
      <c r="Q4" s="8" t="inlineStr">
        <is>
          <t>ح</t>
        </is>
      </c>
      <c r="R4" s="77" t="inlineStr">
        <is>
          <t>و</t>
        </is>
      </c>
      <c r="S4" s="8" t="inlineStr">
        <is>
          <t>ح</t>
        </is>
      </c>
      <c r="T4" s="77" t="inlineStr">
        <is>
          <t>و</t>
        </is>
      </c>
      <c r="U4" s="8" t="inlineStr">
        <is>
          <t>ح</t>
        </is>
      </c>
      <c r="V4" s="77" t="inlineStr">
        <is>
          <t>و</t>
        </is>
      </c>
      <c r="W4" s="77" t="inlineStr">
        <is>
          <t>دفع</t>
        </is>
      </c>
      <c r="X4" s="9" t="inlineStr">
        <is>
          <t>ح</t>
        </is>
      </c>
      <c r="Y4" s="78" t="inlineStr">
        <is>
          <t>و</t>
        </is>
      </c>
      <c r="Z4" s="9" t="inlineStr">
        <is>
          <t>ح</t>
        </is>
      </c>
      <c r="AA4" s="78" t="inlineStr">
        <is>
          <t>و</t>
        </is>
      </c>
      <c r="AB4" s="9" t="inlineStr">
        <is>
          <t>ح</t>
        </is>
      </c>
      <c r="AC4" s="78" t="inlineStr">
        <is>
          <t>و</t>
        </is>
      </c>
      <c r="AD4" s="9" t="inlineStr">
        <is>
          <t>ح</t>
        </is>
      </c>
      <c r="AE4" s="78" t="inlineStr">
        <is>
          <t>و</t>
        </is>
      </c>
      <c r="AF4" s="9" t="inlineStr">
        <is>
          <t>ح</t>
        </is>
      </c>
      <c r="AG4" s="78" t="inlineStr">
        <is>
          <t>و</t>
        </is>
      </c>
      <c r="AH4" s="9" t="inlineStr">
        <is>
          <t>ح</t>
        </is>
      </c>
      <c r="AI4" s="78" t="inlineStr">
        <is>
          <t>و</t>
        </is>
      </c>
      <c r="AJ4" s="9" t="inlineStr">
        <is>
          <t>ح</t>
        </is>
      </c>
      <c r="AK4" s="78" t="inlineStr">
        <is>
          <t>و</t>
        </is>
      </c>
      <c r="AL4" s="9" t="inlineStr">
        <is>
          <t>ح</t>
        </is>
      </c>
      <c r="AM4" s="78" t="inlineStr">
        <is>
          <t>و</t>
        </is>
      </c>
      <c r="AN4" s="78" t="inlineStr">
        <is>
          <t>دفع</t>
        </is>
      </c>
      <c r="AO4" s="10" t="inlineStr">
        <is>
          <t>ح</t>
        </is>
      </c>
      <c r="AP4" s="79" t="inlineStr">
        <is>
          <t>و</t>
        </is>
      </c>
      <c r="AQ4" s="10" t="inlineStr">
        <is>
          <t>ح</t>
        </is>
      </c>
      <c r="AR4" s="79" t="inlineStr">
        <is>
          <t>و</t>
        </is>
      </c>
      <c r="AS4" s="10" t="inlineStr">
        <is>
          <t>ح</t>
        </is>
      </c>
      <c r="AT4" s="79" t="inlineStr">
        <is>
          <t>و</t>
        </is>
      </c>
      <c r="AU4" s="10" t="inlineStr">
        <is>
          <t>ح</t>
        </is>
      </c>
      <c r="AV4" s="79" t="inlineStr">
        <is>
          <t>و</t>
        </is>
      </c>
      <c r="AW4" s="10" t="inlineStr">
        <is>
          <t>ح</t>
        </is>
      </c>
      <c r="AX4" s="79" t="inlineStr">
        <is>
          <t>و</t>
        </is>
      </c>
      <c r="AY4" s="10" t="inlineStr">
        <is>
          <t>ح</t>
        </is>
      </c>
      <c r="AZ4" s="79" t="inlineStr">
        <is>
          <t>و</t>
        </is>
      </c>
      <c r="BA4" s="10" t="inlineStr">
        <is>
          <t>ح</t>
        </is>
      </c>
      <c r="BB4" s="79" t="inlineStr">
        <is>
          <t>و</t>
        </is>
      </c>
      <c r="BC4" s="10" t="inlineStr">
        <is>
          <t>ح</t>
        </is>
      </c>
      <c r="BD4" s="79" t="inlineStr">
        <is>
          <t>و</t>
        </is>
      </c>
      <c r="BE4" s="79" t="inlineStr">
        <is>
          <t>دفع</t>
        </is>
      </c>
      <c r="BF4" s="11" t="inlineStr">
        <is>
          <t>ح</t>
        </is>
      </c>
      <c r="BG4" s="80" t="inlineStr">
        <is>
          <t>و</t>
        </is>
      </c>
      <c r="BH4" s="11" t="inlineStr">
        <is>
          <t>ح</t>
        </is>
      </c>
      <c r="BI4" s="80" t="inlineStr">
        <is>
          <t>و</t>
        </is>
      </c>
      <c r="BJ4" s="11" t="inlineStr">
        <is>
          <t>ح</t>
        </is>
      </c>
      <c r="BK4" s="80" t="inlineStr">
        <is>
          <t>و</t>
        </is>
      </c>
      <c r="BL4" s="11" t="inlineStr">
        <is>
          <t>ح</t>
        </is>
      </c>
      <c r="BM4" s="80" t="inlineStr">
        <is>
          <t>و</t>
        </is>
      </c>
      <c r="BN4" s="11" t="inlineStr">
        <is>
          <t>ح</t>
        </is>
      </c>
      <c r="BO4" s="80" t="inlineStr">
        <is>
          <t>و</t>
        </is>
      </c>
      <c r="BP4" s="11" t="inlineStr">
        <is>
          <t>ح</t>
        </is>
      </c>
      <c r="BQ4" s="80" t="inlineStr">
        <is>
          <t>و</t>
        </is>
      </c>
      <c r="BR4" s="11" t="inlineStr">
        <is>
          <t>ح</t>
        </is>
      </c>
      <c r="BS4" s="80" t="inlineStr">
        <is>
          <t>و</t>
        </is>
      </c>
      <c r="BT4" s="11" t="inlineStr">
        <is>
          <t>ح</t>
        </is>
      </c>
      <c r="BU4" s="80" t="inlineStr">
        <is>
          <t>و</t>
        </is>
      </c>
      <c r="BV4" s="80" t="inlineStr">
        <is>
          <t>دفع</t>
        </is>
      </c>
      <c r="BW4" s="81" t="inlineStr">
        <is>
          <t>ح</t>
        </is>
      </c>
      <c r="BX4" s="82" t="inlineStr">
        <is>
          <t>و</t>
        </is>
      </c>
      <c r="BY4" s="81" t="inlineStr">
        <is>
          <t>ح</t>
        </is>
      </c>
      <c r="BZ4" s="82" t="inlineStr">
        <is>
          <t>و</t>
        </is>
      </c>
      <c r="CA4" s="81" t="inlineStr">
        <is>
          <t>ح</t>
        </is>
      </c>
      <c r="CB4" s="82" t="inlineStr">
        <is>
          <t>و</t>
        </is>
      </c>
      <c r="CC4" s="81" t="inlineStr">
        <is>
          <t>ح</t>
        </is>
      </c>
      <c r="CD4" s="82" t="inlineStr">
        <is>
          <t>و</t>
        </is>
      </c>
      <c r="CE4" s="81" t="inlineStr">
        <is>
          <t>ح</t>
        </is>
      </c>
      <c r="CF4" s="82" t="inlineStr">
        <is>
          <t>و</t>
        </is>
      </c>
      <c r="CG4" s="81" t="inlineStr">
        <is>
          <t>ح</t>
        </is>
      </c>
      <c r="CH4" s="82" t="inlineStr">
        <is>
          <t>و</t>
        </is>
      </c>
      <c r="CI4" s="81" t="inlineStr">
        <is>
          <t>ح</t>
        </is>
      </c>
      <c r="CJ4" s="82" t="inlineStr">
        <is>
          <t>و</t>
        </is>
      </c>
      <c r="CK4" s="81" t="inlineStr">
        <is>
          <t>ح</t>
        </is>
      </c>
      <c r="CL4" s="82" t="inlineStr">
        <is>
          <t>و</t>
        </is>
      </c>
      <c r="CM4" s="82" t="inlineStr">
        <is>
          <t>دفع</t>
        </is>
      </c>
      <c r="CN4" s="83" t="inlineStr">
        <is>
          <t>ح</t>
        </is>
      </c>
      <c r="CO4" s="84" t="inlineStr">
        <is>
          <t>و</t>
        </is>
      </c>
      <c r="CP4" s="83" t="inlineStr">
        <is>
          <t>ح</t>
        </is>
      </c>
      <c r="CQ4" s="84" t="inlineStr">
        <is>
          <t>و</t>
        </is>
      </c>
      <c r="CR4" s="83" t="inlineStr">
        <is>
          <t>ح</t>
        </is>
      </c>
      <c r="CS4" s="84" t="inlineStr">
        <is>
          <t>و</t>
        </is>
      </c>
      <c r="CT4" s="83" t="inlineStr">
        <is>
          <t>ح</t>
        </is>
      </c>
      <c r="CU4" s="84" t="inlineStr">
        <is>
          <t>و</t>
        </is>
      </c>
      <c r="CV4" s="83" t="inlineStr">
        <is>
          <t>ح</t>
        </is>
      </c>
      <c r="CW4" s="84" t="inlineStr">
        <is>
          <t>و</t>
        </is>
      </c>
      <c r="CX4" s="83" t="inlineStr">
        <is>
          <t>ح</t>
        </is>
      </c>
      <c r="CY4" s="84" t="inlineStr">
        <is>
          <t>و</t>
        </is>
      </c>
      <c r="CZ4" s="83" t="inlineStr">
        <is>
          <t>ح</t>
        </is>
      </c>
      <c r="DA4" s="84" t="inlineStr">
        <is>
          <t>و</t>
        </is>
      </c>
      <c r="DB4" s="83" t="inlineStr">
        <is>
          <t>ح</t>
        </is>
      </c>
      <c r="DC4" s="84" t="inlineStr">
        <is>
          <t>و</t>
        </is>
      </c>
      <c r="DD4" s="84" t="inlineStr">
        <is>
          <t>دفع</t>
        </is>
      </c>
      <c r="DE4" s="85" t="inlineStr">
        <is>
          <t>ح</t>
        </is>
      </c>
      <c r="DF4" s="86" t="inlineStr">
        <is>
          <t>و</t>
        </is>
      </c>
      <c r="DG4" s="85" t="inlineStr">
        <is>
          <t>ح</t>
        </is>
      </c>
      <c r="DH4" s="86" t="inlineStr">
        <is>
          <t>و</t>
        </is>
      </c>
      <c r="DI4" s="85" t="inlineStr">
        <is>
          <t>ح</t>
        </is>
      </c>
      <c r="DJ4" s="86" t="inlineStr">
        <is>
          <t>و</t>
        </is>
      </c>
      <c r="DK4" s="85" t="inlineStr">
        <is>
          <t>ح</t>
        </is>
      </c>
      <c r="DL4" s="86" t="inlineStr">
        <is>
          <t>و</t>
        </is>
      </c>
      <c r="DM4" s="85" t="inlineStr">
        <is>
          <t>ح</t>
        </is>
      </c>
      <c r="DN4" s="86" t="inlineStr">
        <is>
          <t>و</t>
        </is>
      </c>
      <c r="DO4" s="85" t="inlineStr">
        <is>
          <t>ح</t>
        </is>
      </c>
      <c r="DP4" s="86" t="inlineStr">
        <is>
          <t>و</t>
        </is>
      </c>
      <c r="DQ4" s="85" t="inlineStr">
        <is>
          <t>ح</t>
        </is>
      </c>
      <c r="DR4" s="86" t="inlineStr">
        <is>
          <t>و</t>
        </is>
      </c>
      <c r="DS4" s="85" t="inlineStr">
        <is>
          <t>ح</t>
        </is>
      </c>
      <c r="DT4" s="86" t="inlineStr">
        <is>
          <t>و</t>
        </is>
      </c>
      <c r="DU4" s="86" t="inlineStr">
        <is>
          <t>دفع</t>
        </is>
      </c>
      <c r="DV4" s="87" t="inlineStr">
        <is>
          <t>ح</t>
        </is>
      </c>
      <c r="DW4" s="88" t="inlineStr">
        <is>
          <t>و</t>
        </is>
      </c>
      <c r="DX4" s="87" t="inlineStr">
        <is>
          <t>ح</t>
        </is>
      </c>
      <c r="DY4" s="88" t="inlineStr">
        <is>
          <t>و</t>
        </is>
      </c>
      <c r="DZ4" s="87" t="inlineStr">
        <is>
          <t>ح</t>
        </is>
      </c>
      <c r="EA4" s="88" t="inlineStr">
        <is>
          <t>و</t>
        </is>
      </c>
      <c r="EB4" s="87" t="inlineStr">
        <is>
          <t>ح</t>
        </is>
      </c>
      <c r="EC4" s="88" t="inlineStr">
        <is>
          <t>و</t>
        </is>
      </c>
      <c r="ED4" s="87" t="inlineStr">
        <is>
          <t>ح</t>
        </is>
      </c>
      <c r="EE4" s="88" t="inlineStr">
        <is>
          <t>و</t>
        </is>
      </c>
      <c r="EF4" s="87" t="inlineStr">
        <is>
          <t>ح</t>
        </is>
      </c>
      <c r="EG4" s="88" t="inlineStr">
        <is>
          <t>و</t>
        </is>
      </c>
      <c r="EH4" s="87" t="inlineStr">
        <is>
          <t>ح</t>
        </is>
      </c>
      <c r="EI4" s="88" t="inlineStr">
        <is>
          <t>و</t>
        </is>
      </c>
      <c r="EJ4" s="87" t="inlineStr">
        <is>
          <t>ح</t>
        </is>
      </c>
      <c r="EK4" s="88" t="inlineStr">
        <is>
          <t>و</t>
        </is>
      </c>
      <c r="EL4" s="88" t="inlineStr">
        <is>
          <t>دفع</t>
        </is>
      </c>
      <c r="EM4" s="89" t="inlineStr">
        <is>
          <t>ح</t>
        </is>
      </c>
      <c r="EN4" s="90" t="inlineStr">
        <is>
          <t>و</t>
        </is>
      </c>
      <c r="EO4" s="89" t="inlineStr">
        <is>
          <t>ح</t>
        </is>
      </c>
      <c r="EP4" s="90" t="inlineStr">
        <is>
          <t>و</t>
        </is>
      </c>
      <c r="EQ4" s="89" t="inlineStr">
        <is>
          <t>ح</t>
        </is>
      </c>
      <c r="ER4" s="90" t="inlineStr">
        <is>
          <t>و</t>
        </is>
      </c>
      <c r="ES4" s="89" t="inlineStr">
        <is>
          <t>ح</t>
        </is>
      </c>
      <c r="ET4" s="90" t="inlineStr">
        <is>
          <t>و</t>
        </is>
      </c>
      <c r="EU4" s="89" t="inlineStr">
        <is>
          <t>ح</t>
        </is>
      </c>
      <c r="EV4" s="90" t="inlineStr">
        <is>
          <t>و</t>
        </is>
      </c>
      <c r="EW4" s="89" t="inlineStr">
        <is>
          <t>ح</t>
        </is>
      </c>
      <c r="EX4" s="90" t="inlineStr">
        <is>
          <t>و</t>
        </is>
      </c>
      <c r="EY4" s="89" t="inlineStr">
        <is>
          <t>ح</t>
        </is>
      </c>
      <c r="EZ4" s="90" t="inlineStr">
        <is>
          <t>و</t>
        </is>
      </c>
      <c r="FA4" s="89" t="inlineStr">
        <is>
          <t>ح</t>
        </is>
      </c>
      <c r="FB4" s="90" t="inlineStr">
        <is>
          <t>و</t>
        </is>
      </c>
      <c r="FC4" s="90" t="inlineStr">
        <is>
          <t>دفع</t>
        </is>
      </c>
      <c r="FD4" s="91" t="inlineStr">
        <is>
          <t>ح</t>
        </is>
      </c>
      <c r="FE4" s="92" t="inlineStr">
        <is>
          <t>و</t>
        </is>
      </c>
      <c r="FF4" s="91" t="inlineStr">
        <is>
          <t>ح</t>
        </is>
      </c>
      <c r="FG4" s="92" t="inlineStr">
        <is>
          <t>و</t>
        </is>
      </c>
      <c r="FH4" s="91" t="inlineStr">
        <is>
          <t>ح</t>
        </is>
      </c>
      <c r="FI4" s="92" t="inlineStr">
        <is>
          <t>و</t>
        </is>
      </c>
      <c r="FJ4" s="91" t="inlineStr">
        <is>
          <t>ح</t>
        </is>
      </c>
      <c r="FK4" s="92" t="inlineStr">
        <is>
          <t>و</t>
        </is>
      </c>
      <c r="FL4" s="91" t="inlineStr">
        <is>
          <t>ح</t>
        </is>
      </c>
      <c r="FM4" s="92" t="inlineStr">
        <is>
          <t>و</t>
        </is>
      </c>
      <c r="FN4" s="91" t="inlineStr">
        <is>
          <t>ح</t>
        </is>
      </c>
      <c r="FO4" s="92" t="inlineStr">
        <is>
          <t>و</t>
        </is>
      </c>
      <c r="FP4" s="91" t="inlineStr">
        <is>
          <t>ح</t>
        </is>
      </c>
      <c r="FQ4" s="92" t="inlineStr">
        <is>
          <t>و</t>
        </is>
      </c>
      <c r="FR4" s="91" t="inlineStr">
        <is>
          <t>ح</t>
        </is>
      </c>
      <c r="FS4" s="92" t="inlineStr">
        <is>
          <t>و</t>
        </is>
      </c>
      <c r="FT4" s="92" t="inlineStr">
        <is>
          <t>دفع</t>
        </is>
      </c>
      <c r="FU4" s="93" t="inlineStr">
        <is>
          <t>ح</t>
        </is>
      </c>
      <c r="FV4" s="94" t="inlineStr">
        <is>
          <t>و</t>
        </is>
      </c>
      <c r="FW4" s="93" t="inlineStr">
        <is>
          <t>ح</t>
        </is>
      </c>
      <c r="FX4" s="94" t="inlineStr">
        <is>
          <t>و</t>
        </is>
      </c>
      <c r="FY4" s="93" t="inlineStr">
        <is>
          <t>ح</t>
        </is>
      </c>
      <c r="FZ4" s="94" t="inlineStr">
        <is>
          <t>و</t>
        </is>
      </c>
      <c r="GA4" s="93" t="inlineStr">
        <is>
          <t>ح</t>
        </is>
      </c>
      <c r="GB4" s="94" t="inlineStr">
        <is>
          <t>و</t>
        </is>
      </c>
      <c r="GC4" s="93" t="inlineStr">
        <is>
          <t>ح</t>
        </is>
      </c>
      <c r="GD4" s="94" t="inlineStr">
        <is>
          <t>و</t>
        </is>
      </c>
      <c r="GE4" s="93" t="inlineStr">
        <is>
          <t>ح</t>
        </is>
      </c>
      <c r="GF4" s="94" t="inlineStr">
        <is>
          <t>و</t>
        </is>
      </c>
      <c r="GG4" s="93" t="inlineStr">
        <is>
          <t>ح</t>
        </is>
      </c>
      <c r="GH4" s="94" t="inlineStr">
        <is>
          <t>و</t>
        </is>
      </c>
      <c r="GI4" s="93" t="inlineStr">
        <is>
          <t>ح</t>
        </is>
      </c>
      <c r="GJ4" s="94" t="inlineStr">
        <is>
          <t>و</t>
        </is>
      </c>
      <c r="GK4" s="94" t="inlineStr">
        <is>
          <t>دفع</t>
        </is>
      </c>
      <c r="GL4" s="95" t="inlineStr">
        <is>
          <t>ح</t>
        </is>
      </c>
      <c r="GM4" s="96" t="inlineStr">
        <is>
          <t>و</t>
        </is>
      </c>
      <c r="GN4" s="95" t="inlineStr">
        <is>
          <t>ح</t>
        </is>
      </c>
      <c r="GO4" s="96" t="inlineStr">
        <is>
          <t>و</t>
        </is>
      </c>
      <c r="GP4" s="95" t="inlineStr">
        <is>
          <t>ح</t>
        </is>
      </c>
      <c r="GQ4" s="96" t="inlineStr">
        <is>
          <t>و</t>
        </is>
      </c>
      <c r="GR4" s="95" t="inlineStr">
        <is>
          <t>ح</t>
        </is>
      </c>
      <c r="GS4" s="96" t="inlineStr">
        <is>
          <t>و</t>
        </is>
      </c>
      <c r="GT4" s="95" t="inlineStr">
        <is>
          <t>ح</t>
        </is>
      </c>
      <c r="GU4" s="96" t="inlineStr">
        <is>
          <t>و</t>
        </is>
      </c>
      <c r="GV4" s="95" t="inlineStr">
        <is>
          <t>ح</t>
        </is>
      </c>
      <c r="GW4" s="96" t="inlineStr">
        <is>
          <t>و</t>
        </is>
      </c>
      <c r="GX4" s="95" t="inlineStr">
        <is>
          <t>ح</t>
        </is>
      </c>
      <c r="GY4" s="96" t="inlineStr">
        <is>
          <t>و</t>
        </is>
      </c>
      <c r="GZ4" s="95" t="inlineStr">
        <is>
          <t>ح</t>
        </is>
      </c>
      <c r="HA4" s="96" t="inlineStr">
        <is>
          <t>و</t>
        </is>
      </c>
      <c r="HB4" s="96" t="inlineStr">
        <is>
          <t>دفع</t>
        </is>
      </c>
      <c r="HF4" t="str">
        <f>IF($HF$1="","",IF($HF$1=0,"النهارده",IF($HF$1=1,"بكرة",INDEX('حسابات'!$A$2:$A$8,MATCH(WEEKDAY($HF$2),'حسابات'!$B$2:$B$8,0))))&amp;" "&amp;DAY($HF$2)&amp;"/"&amp;MONTH($HF$2)&amp;IF($HF$3=0,"",IF(INDEX('المواعيد'!$C$5:$C$34,$HF$3)="",""," – "&amp;INDEX('المواعيد'!$C$5:$C$34,$HF$3))))</f>
        <v/>
      </c>
    </row>
    <row r="5" ht="22.5" customHeight="1">
      <c r="A5" s="36" t="n">
        <v>1</v>
      </c>
      <c r="B5" s="97" t="n"/>
      <c r="C5" s="28" t="n"/>
      <c r="D5" s="98" t="str">
        <f>IF($B5="","",IF($HC5=97,"-",IF($HD5=0,"متوقف",SUMPRODUCT(($G$4:$HB$4="ح")*($G$20:$HB$20&gt;0)*($G5:$HB5&lt;&gt;TRUE)*($G$47:$HB$47&gt;$HC$1-8)*($G$47:$HB$47&gt;=$HC5)))))</f>
        <v/>
      </c>
      <c r="E5" s="98" t="str">
        <f>IF(OR($B5="",$HC5=97),"",SUMPRODUCT(($G$4:$HA$4="ح")*($G5:$HA5=TRUE)*($H5:$HB5&lt;&gt;TRUE)*($G$47:$HA$47&gt;$HC$1-8)))</f>
        <v/>
      </c>
      <c r="F5" s="99" t="str">
        <f>IF($B5="","",IF($HE5=0,IF($HC5=97,"-","تمام"),IF($HE5=1,IF(INDEX($G$1:$HB$1,1,17*($HF5-1)+1)="","شهر "&amp;$HF5,INDEX($G$1:$HB$1,1,17*($HF5-1)+1)),IF($HE5=2,"شهرين",$HE5&amp;" شهور"))))</f>
        <v/>
      </c>
      <c r="G5" s="100" t="n"/>
      <c r="H5" s="101" t="n"/>
      <c r="I5" s="100" t="n"/>
      <c r="J5" s="101" t="n"/>
      <c r="K5" s="100" t="n"/>
      <c r="L5" s="101" t="n"/>
      <c r="M5" s="100" t="n"/>
      <c r="N5" s="101" t="n"/>
      <c r="O5" s="100" t="n"/>
      <c r="P5" s="101" t="n"/>
      <c r="Q5" s="100" t="n"/>
      <c r="R5" s="101" t="n"/>
      <c r="S5" s="100" t="n"/>
      <c r="T5" s="101" t="n"/>
      <c r="U5" s="100" t="n"/>
      <c r="V5" s="101" t="n"/>
      <c r="W5" s="102" t="n"/>
      <c r="X5" s="103" t="n"/>
      <c r="Y5" s="104" t="n"/>
      <c r="Z5" s="103" t="n"/>
      <c r="AA5" s="104" t="n"/>
      <c r="AB5" s="103" t="n"/>
      <c r="AC5" s="104" t="n"/>
      <c r="AD5" s="103" t="n"/>
      <c r="AE5" s="104" t="n"/>
      <c r="AF5" s="103" t="n"/>
      <c r="AG5" s="104" t="n"/>
      <c r="AH5" s="103" t="n"/>
      <c r="AI5" s="104" t="n"/>
      <c r="AJ5" s="103" t="n"/>
      <c r="AK5" s="104" t="n"/>
      <c r="AL5" s="103" t="n"/>
      <c r="AM5" s="104" t="n"/>
      <c r="AN5" s="105" t="n"/>
      <c r="AO5" s="106" t="n"/>
      <c r="AP5" s="107" t="n"/>
      <c r="AQ5" s="106" t="n"/>
      <c r="AR5" s="107" t="n"/>
      <c r="AS5" s="106" t="n"/>
      <c r="AT5" s="107" t="n"/>
      <c r="AU5" s="106" t="n"/>
      <c r="AV5" s="107" t="n"/>
      <c r="AW5" s="106" t="n"/>
      <c r="AX5" s="107" t="n"/>
      <c r="AY5" s="106" t="n"/>
      <c r="AZ5" s="107" t="n"/>
      <c r="BA5" s="106" t="n"/>
      <c r="BB5" s="107" t="n"/>
      <c r="BC5" s="106" t="n"/>
      <c r="BD5" s="107" t="n"/>
      <c r="BE5" s="108" t="n"/>
      <c r="BF5" s="109" t="n"/>
      <c r="BG5" s="110" t="n"/>
      <c r="BH5" s="109" t="n"/>
      <c r="BI5" s="110" t="n"/>
      <c r="BJ5" s="109" t="n"/>
      <c r="BK5" s="110" t="n"/>
      <c r="BL5" s="109" t="n"/>
      <c r="BM5" s="110" t="n"/>
      <c r="BN5" s="109" t="n"/>
      <c r="BO5" s="110" t="n"/>
      <c r="BP5" s="109" t="n"/>
      <c r="BQ5" s="110" t="n"/>
      <c r="BR5" s="109" t="n"/>
      <c r="BS5" s="110" t="n"/>
      <c r="BT5" s="109" t="n"/>
      <c r="BU5" s="110" t="n"/>
      <c r="BV5" s="111" t="n"/>
      <c r="BW5" s="112" t="n"/>
      <c r="BX5" s="113" t="n"/>
      <c r="BY5" s="112" t="n"/>
      <c r="BZ5" s="113" t="n"/>
      <c r="CA5" s="112" t="n"/>
      <c r="CB5" s="113" t="n"/>
      <c r="CC5" s="112" t="n"/>
      <c r="CD5" s="113" t="n"/>
      <c r="CE5" s="112" t="n"/>
      <c r="CF5" s="113" t="n"/>
      <c r="CG5" s="112" t="n"/>
      <c r="CH5" s="113" t="n"/>
      <c r="CI5" s="112" t="n"/>
      <c r="CJ5" s="113" t="n"/>
      <c r="CK5" s="112" t="n"/>
      <c r="CL5" s="113" t="n"/>
      <c r="CM5" s="114" t="n"/>
      <c r="CN5" s="115" t="n"/>
      <c r="CO5" s="116" t="n"/>
      <c r="CP5" s="115" t="n"/>
      <c r="CQ5" s="116" t="n"/>
      <c r="CR5" s="115" t="n"/>
      <c r="CS5" s="116" t="n"/>
      <c r="CT5" s="115" t="n"/>
      <c r="CU5" s="116" t="n"/>
      <c r="CV5" s="115" t="n"/>
      <c r="CW5" s="116" t="n"/>
      <c r="CX5" s="115" t="n"/>
      <c r="CY5" s="116" t="n"/>
      <c r="CZ5" s="115" t="n"/>
      <c r="DA5" s="116" t="n"/>
      <c r="DB5" s="115" t="n"/>
      <c r="DC5" s="116" t="n"/>
      <c r="DD5" s="117" t="n"/>
      <c r="DE5" s="118" t="n"/>
      <c r="DF5" s="119" t="n"/>
      <c r="DG5" s="118" t="n"/>
      <c r="DH5" s="119" t="n"/>
      <c r="DI5" s="118" t="n"/>
      <c r="DJ5" s="119" t="n"/>
      <c r="DK5" s="118" t="n"/>
      <c r="DL5" s="119" t="n"/>
      <c r="DM5" s="118" t="n"/>
      <c r="DN5" s="119" t="n"/>
      <c r="DO5" s="118" t="n"/>
      <c r="DP5" s="119" t="n"/>
      <c r="DQ5" s="118" t="n"/>
      <c r="DR5" s="119" t="n"/>
      <c r="DS5" s="118" t="n"/>
      <c r="DT5" s="119" t="n"/>
      <c r="DU5" s="120" t="n"/>
      <c r="DV5" s="121" t="n"/>
      <c r="DW5" s="122" t="n"/>
      <c r="DX5" s="121" t="n"/>
      <c r="DY5" s="122" t="n"/>
      <c r="DZ5" s="121" t="n"/>
      <c r="EA5" s="122" t="n"/>
      <c r="EB5" s="121" t="n"/>
      <c r="EC5" s="122" t="n"/>
      <c r="ED5" s="121" t="n"/>
      <c r="EE5" s="122" t="n"/>
      <c r="EF5" s="121" t="n"/>
      <c r="EG5" s="122" t="n"/>
      <c r="EH5" s="121" t="n"/>
      <c r="EI5" s="122" t="n"/>
      <c r="EJ5" s="121" t="n"/>
      <c r="EK5" s="122" t="n"/>
      <c r="EL5" s="123" t="n"/>
      <c r="EM5" s="124" t="n"/>
      <c r="EN5" s="125" t="n"/>
      <c r="EO5" s="124" t="n"/>
      <c r="EP5" s="125" t="n"/>
      <c r="EQ5" s="124" t="n"/>
      <c r="ER5" s="125" t="n"/>
      <c r="ES5" s="124" t="n"/>
      <c r="ET5" s="125" t="n"/>
      <c r="EU5" s="124" t="n"/>
      <c r="EV5" s="125" t="n"/>
      <c r="EW5" s="124" t="n"/>
      <c r="EX5" s="125" t="n"/>
      <c r="EY5" s="124" t="n"/>
      <c r="EZ5" s="125" t="n"/>
      <c r="FA5" s="124" t="n"/>
      <c r="FB5" s="125" t="n"/>
      <c r="FC5" s="126" t="n"/>
      <c r="FD5" s="127" t="n"/>
      <c r="FE5" s="128" t="n"/>
      <c r="FF5" s="127" t="n"/>
      <c r="FG5" s="128" t="n"/>
      <c r="FH5" s="127" t="n"/>
      <c r="FI5" s="128" t="n"/>
      <c r="FJ5" s="127" t="n"/>
      <c r="FK5" s="128" t="n"/>
      <c r="FL5" s="127" t="n"/>
      <c r="FM5" s="128" t="n"/>
      <c r="FN5" s="127" t="n"/>
      <c r="FO5" s="128" t="n"/>
      <c r="FP5" s="127" t="n"/>
      <c r="FQ5" s="128" t="n"/>
      <c r="FR5" s="127" t="n"/>
      <c r="FS5" s="128" t="n"/>
      <c r="FT5" s="129" t="n"/>
      <c r="FU5" s="130" t="n"/>
      <c r="FV5" s="131" t="n"/>
      <c r="FW5" s="130" t="n"/>
      <c r="FX5" s="131" t="n"/>
      <c r="FY5" s="130" t="n"/>
      <c r="FZ5" s="131" t="n"/>
      <c r="GA5" s="130" t="n"/>
      <c r="GB5" s="131" t="n"/>
      <c r="GC5" s="130" t="n"/>
      <c r="GD5" s="131" t="n"/>
      <c r="GE5" s="130" t="n"/>
      <c r="GF5" s="131" t="n"/>
      <c r="GG5" s="130" t="n"/>
      <c r="GH5" s="131" t="n"/>
      <c r="GI5" s="130" t="n"/>
      <c r="GJ5" s="131" t="n"/>
      <c r="GK5" s="132" t="n"/>
      <c r="GL5" s="133" t="n"/>
      <c r="GM5" s="134" t="n"/>
      <c r="GN5" s="133" t="n"/>
      <c r="GO5" s="134" t="n"/>
      <c r="GP5" s="133" t="n"/>
      <c r="GQ5" s="134" t="n"/>
      <c r="GR5" s="133" t="n"/>
      <c r="GS5" s="134" t="n"/>
      <c r="GT5" s="133" t="n"/>
      <c r="GU5" s="134" t="n"/>
      <c r="GV5" s="133" t="n"/>
      <c r="GW5" s="134" t="n"/>
      <c r="GX5" s="133" t="n"/>
      <c r="GY5" s="134" t="n"/>
      <c r="GZ5" s="133" t="n"/>
      <c r="HA5" s="134" t="n"/>
      <c r="HB5" s="135" t="n"/>
      <c r="HC5">
        <f>97-SUMPRODUCT(MAX(($G$4:$HB$4="ح")*($G5:$HB5=TRUE)*(97-$G$47:$HB$47)))</f>
        <v>97</v>
      </c>
      <c r="HD5">
        <f>SUMPRODUCT(($G$4:$HB$4="ح")*($G5:$HB5=TRUE)*($G$47:$HB$47&gt;$HC$1-8))</f>
        <v>0</v>
      </c>
      <c r="HE5">
        <f>(COUNTIF($G5:$V5,TRUE)&gt;0)*($W5&lt;&gt;TRUE)+(COUNTIF($X5:$AM5,TRUE)&gt;0)*($AN5&lt;&gt;TRUE)+(COUNTIF($AO5:$BD5,TRUE)&gt;0)*($BE5&lt;&gt;TRUE)+(COUNTIF($BF5:$BU5,TRUE)&gt;0)*($BV5&lt;&gt;TRUE)+(COUNTIF($BW5:$CL5,TRUE)&gt;0)*($CM5&lt;&gt;TRUE)+(COUNTIF($CN5:$DC5,TRUE)&gt;0)*($DD5&lt;&gt;TRUE)+(COUNTIF($DE5:$DT5,TRUE)&gt;0)*($DU5&lt;&gt;TRUE)+(COUNTIF($DV5:$EK5,TRUE)&gt;0)*($EL5&lt;&gt;TRUE)+(COUNTIF($EM5:$FB5,TRUE)&gt;0)*($FC5&lt;&gt;TRUE)+(COUNTIF($FD5:$FS5,TRUE)&gt;0)*($FT5&lt;&gt;TRUE)+(COUNTIF($FU5:$GJ5,TRUE)&gt;0)*($GK5&lt;&gt;TRUE)+(COUNTIF($GL5:$HA5,TRUE)&gt;0)*($HB5&lt;&gt;TRUE)</f>
        <v>0</v>
      </c>
      <c r="HF5">
        <f>IF($HE5=0,0,13-MAX((COUNTIF($G5:$V5,TRUE)&gt;0)*($W5&lt;&gt;TRUE)*12,(COUNTIF($X5:$AM5,TRUE)&gt;0)*($AN5&lt;&gt;TRUE)*11,(COUNTIF($AO5:$BD5,TRUE)&gt;0)*($BE5&lt;&gt;TRUE)*10,(COUNTIF($BF5:$BU5,TRUE)&gt;0)*($BV5&lt;&gt;TRUE)*9,(COUNTIF($BW5:$CL5,TRUE)&gt;0)*($CM5&lt;&gt;TRUE)*8,(COUNTIF($CN5:$DC5,TRUE)&gt;0)*($DD5&lt;&gt;TRUE)*7,(COUNTIF($DE5:$DT5,TRUE)&gt;0)*($DU5&lt;&gt;TRUE)*6,(COUNTIF($DV5:$EK5,TRUE)&gt;0)*($EL5&lt;&gt;TRUE)*5,(COUNTIF($EM5:$FB5,TRUE)&gt;0)*($FC5&lt;&gt;TRUE)*4,(COUNTIF($FD5:$FS5,TRUE)&gt;0)*($FT5&lt;&gt;TRUE)*3,(COUNTIF($FU5:$GJ5,TRUE)&gt;0)*($GK5&lt;&gt;TRUE)*2,(COUNTIF($GL5:$HA5,TRUE)&gt;0)*($HB5&lt;&gt;TRUE)*1))</f>
        <v>0</v>
      </c>
    </row>
    <row r="6" ht="22.5" customHeight="1">
      <c r="A6" s="36" t="n">
        <v>2</v>
      </c>
      <c r="B6" s="97" t="n"/>
      <c r="C6" s="28" t="n"/>
      <c r="D6" s="98" t="str">
        <f>IF($B6="","",IF($HC6=97,"-",IF($HD6=0,"متوقف",SUMPRODUCT(($G$4:$HB$4="ح")*($G$20:$HB$20&gt;0)*($G6:$HB6&lt;&gt;TRUE)*($G$47:$HB$47&gt;$HC$1-8)*($G$47:$HB$47&gt;=$HC6)))))</f>
        <v/>
      </c>
      <c r="E6" s="98" t="str">
        <f>IF(OR($B6="",$HC6=97),"",SUMPRODUCT(($G$4:$HA$4="ح")*($G6:$HA6=TRUE)*($H6:$HB6&lt;&gt;TRUE)*($G$47:$HA$47&gt;$HC$1-8)))</f>
        <v/>
      </c>
      <c r="F6" s="99" t="str">
        <f>IF($B6="","",IF($HE6=0,IF($HC6=97,"-","تمام"),IF($HE6=1,IF(INDEX($G$1:$HB$1,1,17*($HF6-1)+1)="","شهر "&amp;$HF6,INDEX($G$1:$HB$1,1,17*($HF6-1)+1)),IF($HE6=2,"شهرين",$HE6&amp;" شهور"))))</f>
        <v/>
      </c>
      <c r="G6" s="100" t="n"/>
      <c r="H6" s="101" t="n"/>
      <c r="I6" s="100" t="n"/>
      <c r="J6" s="101" t="n"/>
      <c r="K6" s="100" t="n"/>
      <c r="L6" s="101" t="n"/>
      <c r="M6" s="100" t="n"/>
      <c r="N6" s="101" t="n"/>
      <c r="O6" s="100" t="n"/>
      <c r="P6" s="101" t="n"/>
      <c r="Q6" s="100" t="n"/>
      <c r="R6" s="101" t="n"/>
      <c r="S6" s="100" t="n"/>
      <c r="T6" s="101" t="n"/>
      <c r="U6" s="100" t="n"/>
      <c r="V6" s="101" t="n"/>
      <c r="W6" s="102" t="n"/>
      <c r="X6" s="103" t="n"/>
      <c r="Y6" s="104" t="n"/>
      <c r="Z6" s="103" t="n"/>
      <c r="AA6" s="104" t="n"/>
      <c r="AB6" s="103" t="n"/>
      <c r="AC6" s="104" t="n"/>
      <c r="AD6" s="103" t="n"/>
      <c r="AE6" s="104" t="n"/>
      <c r="AF6" s="103" t="n"/>
      <c r="AG6" s="104" t="n"/>
      <c r="AH6" s="103" t="n"/>
      <c r="AI6" s="104" t="n"/>
      <c r="AJ6" s="103" t="n"/>
      <c r="AK6" s="104" t="n"/>
      <c r="AL6" s="103" t="n"/>
      <c r="AM6" s="104" t="n"/>
      <c r="AN6" s="105" t="n"/>
      <c r="AO6" s="106" t="n"/>
      <c r="AP6" s="107" t="n"/>
      <c r="AQ6" s="106" t="n"/>
      <c r="AR6" s="107" t="n"/>
      <c r="AS6" s="106" t="n"/>
      <c r="AT6" s="107" t="n"/>
      <c r="AU6" s="106" t="n"/>
      <c r="AV6" s="107" t="n"/>
      <c r="AW6" s="106" t="n"/>
      <c r="AX6" s="107" t="n"/>
      <c r="AY6" s="106" t="n"/>
      <c r="AZ6" s="107" t="n"/>
      <c r="BA6" s="106" t="n"/>
      <c r="BB6" s="107" t="n"/>
      <c r="BC6" s="106" t="n"/>
      <c r="BD6" s="107" t="n"/>
      <c r="BE6" s="108" t="n"/>
      <c r="BF6" s="109" t="n"/>
      <c r="BG6" s="110" t="n"/>
      <c r="BH6" s="109" t="n"/>
      <c r="BI6" s="110" t="n"/>
      <c r="BJ6" s="109" t="n"/>
      <c r="BK6" s="110" t="n"/>
      <c r="BL6" s="109" t="n"/>
      <c r="BM6" s="110" t="n"/>
      <c r="BN6" s="109" t="n"/>
      <c r="BO6" s="110" t="n"/>
      <c r="BP6" s="109" t="n"/>
      <c r="BQ6" s="110" t="n"/>
      <c r="BR6" s="109" t="n"/>
      <c r="BS6" s="110" t="n"/>
      <c r="BT6" s="109" t="n"/>
      <c r="BU6" s="110" t="n"/>
      <c r="BV6" s="111" t="n"/>
      <c r="BW6" s="112" t="n"/>
      <c r="BX6" s="113" t="n"/>
      <c r="BY6" s="112" t="n"/>
      <c r="BZ6" s="113" t="n"/>
      <c r="CA6" s="112" t="n"/>
      <c r="CB6" s="113" t="n"/>
      <c r="CC6" s="112" t="n"/>
      <c r="CD6" s="113" t="n"/>
      <c r="CE6" s="112" t="n"/>
      <c r="CF6" s="113" t="n"/>
      <c r="CG6" s="112" t="n"/>
      <c r="CH6" s="113" t="n"/>
      <c r="CI6" s="112" t="n"/>
      <c r="CJ6" s="113" t="n"/>
      <c r="CK6" s="112" t="n"/>
      <c r="CL6" s="113" t="n"/>
      <c r="CM6" s="114" t="n"/>
      <c r="CN6" s="115" t="n"/>
      <c r="CO6" s="116" t="n"/>
      <c r="CP6" s="115" t="n"/>
      <c r="CQ6" s="116" t="n"/>
      <c r="CR6" s="115" t="n"/>
      <c r="CS6" s="116" t="n"/>
      <c r="CT6" s="115" t="n"/>
      <c r="CU6" s="116" t="n"/>
      <c r="CV6" s="115" t="n"/>
      <c r="CW6" s="116" t="n"/>
      <c r="CX6" s="115" t="n"/>
      <c r="CY6" s="116" t="n"/>
      <c r="CZ6" s="115" t="n"/>
      <c r="DA6" s="116" t="n"/>
      <c r="DB6" s="115" t="n"/>
      <c r="DC6" s="116" t="n"/>
      <c r="DD6" s="117" t="n"/>
      <c r="DE6" s="118" t="n"/>
      <c r="DF6" s="119" t="n"/>
      <c r="DG6" s="118" t="n"/>
      <c r="DH6" s="119" t="n"/>
      <c r="DI6" s="118" t="n"/>
      <c r="DJ6" s="119" t="n"/>
      <c r="DK6" s="118" t="n"/>
      <c r="DL6" s="119" t="n"/>
      <c r="DM6" s="118" t="n"/>
      <c r="DN6" s="119" t="n"/>
      <c r="DO6" s="118" t="n"/>
      <c r="DP6" s="119" t="n"/>
      <c r="DQ6" s="118" t="n"/>
      <c r="DR6" s="119" t="n"/>
      <c r="DS6" s="118" t="n"/>
      <c r="DT6" s="119" t="n"/>
      <c r="DU6" s="120" t="n"/>
      <c r="DV6" s="121" t="n"/>
      <c r="DW6" s="122" t="n"/>
      <c r="DX6" s="121" t="n"/>
      <c r="DY6" s="122" t="n"/>
      <c r="DZ6" s="121" t="n"/>
      <c r="EA6" s="122" t="n"/>
      <c r="EB6" s="121" t="n"/>
      <c r="EC6" s="122" t="n"/>
      <c r="ED6" s="121" t="n"/>
      <c r="EE6" s="122" t="n"/>
      <c r="EF6" s="121" t="n"/>
      <c r="EG6" s="122" t="n"/>
      <c r="EH6" s="121" t="n"/>
      <c r="EI6" s="122" t="n"/>
      <c r="EJ6" s="121" t="n"/>
      <c r="EK6" s="122" t="n"/>
      <c r="EL6" s="123" t="n"/>
      <c r="EM6" s="124" t="n"/>
      <c r="EN6" s="125" t="n"/>
      <c r="EO6" s="124" t="n"/>
      <c r="EP6" s="125" t="n"/>
      <c r="EQ6" s="124" t="n"/>
      <c r="ER6" s="125" t="n"/>
      <c r="ES6" s="124" t="n"/>
      <c r="ET6" s="125" t="n"/>
      <c r="EU6" s="124" t="n"/>
      <c r="EV6" s="125" t="n"/>
      <c r="EW6" s="124" t="n"/>
      <c r="EX6" s="125" t="n"/>
      <c r="EY6" s="124" t="n"/>
      <c r="EZ6" s="125" t="n"/>
      <c r="FA6" s="124" t="n"/>
      <c r="FB6" s="125" t="n"/>
      <c r="FC6" s="126" t="n"/>
      <c r="FD6" s="127" t="n"/>
      <c r="FE6" s="128" t="n"/>
      <c r="FF6" s="127" t="n"/>
      <c r="FG6" s="128" t="n"/>
      <c r="FH6" s="127" t="n"/>
      <c r="FI6" s="128" t="n"/>
      <c r="FJ6" s="127" t="n"/>
      <c r="FK6" s="128" t="n"/>
      <c r="FL6" s="127" t="n"/>
      <c r="FM6" s="128" t="n"/>
      <c r="FN6" s="127" t="n"/>
      <c r="FO6" s="128" t="n"/>
      <c r="FP6" s="127" t="n"/>
      <c r="FQ6" s="128" t="n"/>
      <c r="FR6" s="127" t="n"/>
      <c r="FS6" s="128" t="n"/>
      <c r="FT6" s="129" t="n"/>
      <c r="FU6" s="130" t="n"/>
      <c r="FV6" s="131" t="n"/>
      <c r="FW6" s="130" t="n"/>
      <c r="FX6" s="131" t="n"/>
      <c r="FY6" s="130" t="n"/>
      <c r="FZ6" s="131" t="n"/>
      <c r="GA6" s="130" t="n"/>
      <c r="GB6" s="131" t="n"/>
      <c r="GC6" s="130" t="n"/>
      <c r="GD6" s="131" t="n"/>
      <c r="GE6" s="130" t="n"/>
      <c r="GF6" s="131" t="n"/>
      <c r="GG6" s="130" t="n"/>
      <c r="GH6" s="131" t="n"/>
      <c r="GI6" s="130" t="n"/>
      <c r="GJ6" s="131" t="n"/>
      <c r="GK6" s="132" t="n"/>
      <c r="GL6" s="133" t="n"/>
      <c r="GM6" s="134" t="n"/>
      <c r="GN6" s="133" t="n"/>
      <c r="GO6" s="134" t="n"/>
      <c r="GP6" s="133" t="n"/>
      <c r="GQ6" s="134" t="n"/>
      <c r="GR6" s="133" t="n"/>
      <c r="GS6" s="134" t="n"/>
      <c r="GT6" s="133" t="n"/>
      <c r="GU6" s="134" t="n"/>
      <c r="GV6" s="133" t="n"/>
      <c r="GW6" s="134" t="n"/>
      <c r="GX6" s="133" t="n"/>
      <c r="GY6" s="134" t="n"/>
      <c r="GZ6" s="133" t="n"/>
      <c r="HA6" s="134" t="n"/>
      <c r="HB6" s="135" t="n"/>
      <c r="HC6">
        <f>97-SUMPRODUCT(MAX(($G$4:$HB$4="ح")*($G6:$HB6=TRUE)*(97-$G$47:$HB$47)))</f>
        <v>97</v>
      </c>
      <c r="HD6">
        <f>SUMPRODUCT(($G$4:$HB$4="ح")*($G6:$HB6=TRUE)*($G$47:$HB$47&gt;$HC$1-8))</f>
        <v>0</v>
      </c>
      <c r="HE6">
        <f>(COUNTIF($G6:$V6,TRUE)&gt;0)*($W6&lt;&gt;TRUE)+(COUNTIF($X6:$AM6,TRUE)&gt;0)*($AN6&lt;&gt;TRUE)+(COUNTIF($AO6:$BD6,TRUE)&gt;0)*($BE6&lt;&gt;TRUE)+(COUNTIF($BF6:$BU6,TRUE)&gt;0)*($BV6&lt;&gt;TRUE)+(COUNTIF($BW6:$CL6,TRUE)&gt;0)*($CM6&lt;&gt;TRUE)+(COUNTIF($CN6:$DC6,TRUE)&gt;0)*($DD6&lt;&gt;TRUE)+(COUNTIF($DE6:$DT6,TRUE)&gt;0)*($DU6&lt;&gt;TRUE)+(COUNTIF($DV6:$EK6,TRUE)&gt;0)*($EL6&lt;&gt;TRUE)+(COUNTIF($EM6:$FB6,TRUE)&gt;0)*($FC6&lt;&gt;TRUE)+(COUNTIF($FD6:$FS6,TRUE)&gt;0)*($FT6&lt;&gt;TRUE)+(COUNTIF($FU6:$GJ6,TRUE)&gt;0)*($GK6&lt;&gt;TRUE)+(COUNTIF($GL6:$HA6,TRUE)&gt;0)*($HB6&lt;&gt;TRUE)</f>
        <v>0</v>
      </c>
      <c r="HF6">
        <f>IF($HE6=0,0,13-MAX((COUNTIF($G6:$V6,TRUE)&gt;0)*($W6&lt;&gt;TRUE)*12,(COUNTIF($X6:$AM6,TRUE)&gt;0)*($AN6&lt;&gt;TRUE)*11,(COUNTIF($AO6:$BD6,TRUE)&gt;0)*($BE6&lt;&gt;TRUE)*10,(COUNTIF($BF6:$BU6,TRUE)&gt;0)*($BV6&lt;&gt;TRUE)*9,(COUNTIF($BW6:$CL6,TRUE)&gt;0)*($CM6&lt;&gt;TRUE)*8,(COUNTIF($CN6:$DC6,TRUE)&gt;0)*($DD6&lt;&gt;TRUE)*7,(COUNTIF($DE6:$DT6,TRUE)&gt;0)*($DU6&lt;&gt;TRUE)*6,(COUNTIF($DV6:$EK6,TRUE)&gt;0)*($EL6&lt;&gt;TRUE)*5,(COUNTIF($EM6:$FB6,TRUE)&gt;0)*($FC6&lt;&gt;TRUE)*4,(COUNTIF($FD6:$FS6,TRUE)&gt;0)*($FT6&lt;&gt;TRUE)*3,(COUNTIF($FU6:$GJ6,TRUE)&gt;0)*($GK6&lt;&gt;TRUE)*2,(COUNTIF($GL6:$HA6,TRUE)&gt;0)*($HB6&lt;&gt;TRUE)*1))</f>
        <v>0</v>
      </c>
    </row>
    <row r="7" ht="22.5" customHeight="1">
      <c r="A7" s="36" t="n">
        <v>3</v>
      </c>
      <c r="B7" s="97" t="n"/>
      <c r="C7" s="28" t="n"/>
      <c r="D7" s="98" t="str">
        <f>IF($B7="","",IF($HC7=97,"-",IF($HD7=0,"متوقف",SUMPRODUCT(($G$4:$HB$4="ح")*($G$20:$HB$20&gt;0)*($G7:$HB7&lt;&gt;TRUE)*($G$47:$HB$47&gt;$HC$1-8)*($G$47:$HB$47&gt;=$HC7)))))</f>
        <v/>
      </c>
      <c r="E7" s="98" t="str">
        <f>IF(OR($B7="",$HC7=97),"",SUMPRODUCT(($G$4:$HA$4="ح")*($G7:$HA7=TRUE)*($H7:$HB7&lt;&gt;TRUE)*($G$47:$HA$47&gt;$HC$1-8)))</f>
        <v/>
      </c>
      <c r="F7" s="99" t="str">
        <f>IF($B7="","",IF($HE7=0,IF($HC7=97,"-","تمام"),IF($HE7=1,IF(INDEX($G$1:$HB$1,1,17*($HF7-1)+1)="","شهر "&amp;$HF7,INDEX($G$1:$HB$1,1,17*($HF7-1)+1)),IF($HE7=2,"شهرين",$HE7&amp;" شهور"))))</f>
        <v/>
      </c>
      <c r="G7" s="100" t="n"/>
      <c r="H7" s="101" t="n"/>
      <c r="I7" s="100" t="n"/>
      <c r="J7" s="101" t="n"/>
      <c r="K7" s="100" t="n"/>
      <c r="L7" s="101" t="n"/>
      <c r="M7" s="100" t="n"/>
      <c r="N7" s="101" t="n"/>
      <c r="O7" s="100" t="n"/>
      <c r="P7" s="101" t="n"/>
      <c r="Q7" s="100" t="n"/>
      <c r="R7" s="101" t="n"/>
      <c r="S7" s="100" t="n"/>
      <c r="T7" s="101" t="n"/>
      <c r="U7" s="100" t="n"/>
      <c r="V7" s="101" t="n"/>
      <c r="W7" s="102" t="n"/>
      <c r="X7" s="103" t="n"/>
      <c r="Y7" s="104" t="n"/>
      <c r="Z7" s="103" t="n"/>
      <c r="AA7" s="104" t="n"/>
      <c r="AB7" s="103" t="n"/>
      <c r="AC7" s="104" t="n"/>
      <c r="AD7" s="103" t="n"/>
      <c r="AE7" s="104" t="n"/>
      <c r="AF7" s="103" t="n"/>
      <c r="AG7" s="104" t="n"/>
      <c r="AH7" s="103" t="n"/>
      <c r="AI7" s="104" t="n"/>
      <c r="AJ7" s="103" t="n"/>
      <c r="AK7" s="104" t="n"/>
      <c r="AL7" s="103" t="n"/>
      <c r="AM7" s="104" t="n"/>
      <c r="AN7" s="105" t="n"/>
      <c r="AO7" s="106" t="n"/>
      <c r="AP7" s="107" t="n"/>
      <c r="AQ7" s="106" t="n"/>
      <c r="AR7" s="107" t="n"/>
      <c r="AS7" s="106" t="n"/>
      <c r="AT7" s="107" t="n"/>
      <c r="AU7" s="106" t="n"/>
      <c r="AV7" s="107" t="n"/>
      <c r="AW7" s="106" t="n"/>
      <c r="AX7" s="107" t="n"/>
      <c r="AY7" s="106" t="n"/>
      <c r="AZ7" s="107" t="n"/>
      <c r="BA7" s="106" t="n"/>
      <c r="BB7" s="107" t="n"/>
      <c r="BC7" s="106" t="n"/>
      <c r="BD7" s="107" t="n"/>
      <c r="BE7" s="108" t="n"/>
      <c r="BF7" s="109" t="n"/>
      <c r="BG7" s="110" t="n"/>
      <c r="BH7" s="109" t="n"/>
      <c r="BI7" s="110" t="n"/>
      <c r="BJ7" s="109" t="n"/>
      <c r="BK7" s="110" t="n"/>
      <c r="BL7" s="109" t="n"/>
      <c r="BM7" s="110" t="n"/>
      <c r="BN7" s="109" t="n"/>
      <c r="BO7" s="110" t="n"/>
      <c r="BP7" s="109" t="n"/>
      <c r="BQ7" s="110" t="n"/>
      <c r="BR7" s="109" t="n"/>
      <c r="BS7" s="110" t="n"/>
      <c r="BT7" s="109" t="n"/>
      <c r="BU7" s="110" t="n"/>
      <c r="BV7" s="111" t="n"/>
      <c r="BW7" s="112" t="n"/>
      <c r="BX7" s="113" t="n"/>
      <c r="BY7" s="112" t="n"/>
      <c r="BZ7" s="113" t="n"/>
      <c r="CA7" s="112" t="n"/>
      <c r="CB7" s="113" t="n"/>
      <c r="CC7" s="112" t="n"/>
      <c r="CD7" s="113" t="n"/>
      <c r="CE7" s="112" t="n"/>
      <c r="CF7" s="113" t="n"/>
      <c r="CG7" s="112" t="n"/>
      <c r="CH7" s="113" t="n"/>
      <c r="CI7" s="112" t="n"/>
      <c r="CJ7" s="113" t="n"/>
      <c r="CK7" s="112" t="n"/>
      <c r="CL7" s="113" t="n"/>
      <c r="CM7" s="114" t="n"/>
      <c r="CN7" s="115" t="n"/>
      <c r="CO7" s="116" t="n"/>
      <c r="CP7" s="115" t="n"/>
      <c r="CQ7" s="116" t="n"/>
      <c r="CR7" s="115" t="n"/>
      <c r="CS7" s="116" t="n"/>
      <c r="CT7" s="115" t="n"/>
      <c r="CU7" s="116" t="n"/>
      <c r="CV7" s="115" t="n"/>
      <c r="CW7" s="116" t="n"/>
      <c r="CX7" s="115" t="n"/>
      <c r="CY7" s="116" t="n"/>
      <c r="CZ7" s="115" t="n"/>
      <c r="DA7" s="116" t="n"/>
      <c r="DB7" s="115" t="n"/>
      <c r="DC7" s="116" t="n"/>
      <c r="DD7" s="117" t="n"/>
      <c r="DE7" s="118" t="n"/>
      <c r="DF7" s="119" t="n"/>
      <c r="DG7" s="118" t="n"/>
      <c r="DH7" s="119" t="n"/>
      <c r="DI7" s="118" t="n"/>
      <c r="DJ7" s="119" t="n"/>
      <c r="DK7" s="118" t="n"/>
      <c r="DL7" s="119" t="n"/>
      <c r="DM7" s="118" t="n"/>
      <c r="DN7" s="119" t="n"/>
      <c r="DO7" s="118" t="n"/>
      <c r="DP7" s="119" t="n"/>
      <c r="DQ7" s="118" t="n"/>
      <c r="DR7" s="119" t="n"/>
      <c r="DS7" s="118" t="n"/>
      <c r="DT7" s="119" t="n"/>
      <c r="DU7" s="120" t="n"/>
      <c r="DV7" s="121" t="n"/>
      <c r="DW7" s="122" t="n"/>
      <c r="DX7" s="121" t="n"/>
      <c r="DY7" s="122" t="n"/>
      <c r="DZ7" s="121" t="n"/>
      <c r="EA7" s="122" t="n"/>
      <c r="EB7" s="121" t="n"/>
      <c r="EC7" s="122" t="n"/>
      <c r="ED7" s="121" t="n"/>
      <c r="EE7" s="122" t="n"/>
      <c r="EF7" s="121" t="n"/>
      <c r="EG7" s="122" t="n"/>
      <c r="EH7" s="121" t="n"/>
      <c r="EI7" s="122" t="n"/>
      <c r="EJ7" s="121" t="n"/>
      <c r="EK7" s="122" t="n"/>
      <c r="EL7" s="123" t="n"/>
      <c r="EM7" s="124" t="n"/>
      <c r="EN7" s="125" t="n"/>
      <c r="EO7" s="124" t="n"/>
      <c r="EP7" s="125" t="n"/>
      <c r="EQ7" s="124" t="n"/>
      <c r="ER7" s="125" t="n"/>
      <c r="ES7" s="124" t="n"/>
      <c r="ET7" s="125" t="n"/>
      <c r="EU7" s="124" t="n"/>
      <c r="EV7" s="125" t="n"/>
      <c r="EW7" s="124" t="n"/>
      <c r="EX7" s="125" t="n"/>
      <c r="EY7" s="124" t="n"/>
      <c r="EZ7" s="125" t="n"/>
      <c r="FA7" s="124" t="n"/>
      <c r="FB7" s="125" t="n"/>
      <c r="FC7" s="126" t="n"/>
      <c r="FD7" s="127" t="n"/>
      <c r="FE7" s="128" t="n"/>
      <c r="FF7" s="127" t="n"/>
      <c r="FG7" s="128" t="n"/>
      <c r="FH7" s="127" t="n"/>
      <c r="FI7" s="128" t="n"/>
      <c r="FJ7" s="127" t="n"/>
      <c r="FK7" s="128" t="n"/>
      <c r="FL7" s="127" t="n"/>
      <c r="FM7" s="128" t="n"/>
      <c r="FN7" s="127" t="n"/>
      <c r="FO7" s="128" t="n"/>
      <c r="FP7" s="127" t="n"/>
      <c r="FQ7" s="128" t="n"/>
      <c r="FR7" s="127" t="n"/>
      <c r="FS7" s="128" t="n"/>
      <c r="FT7" s="129" t="n"/>
      <c r="FU7" s="130" t="n"/>
      <c r="FV7" s="131" t="n"/>
      <c r="FW7" s="130" t="n"/>
      <c r="FX7" s="131" t="n"/>
      <c r="FY7" s="130" t="n"/>
      <c r="FZ7" s="131" t="n"/>
      <c r="GA7" s="130" t="n"/>
      <c r="GB7" s="131" t="n"/>
      <c r="GC7" s="130" t="n"/>
      <c r="GD7" s="131" t="n"/>
      <c r="GE7" s="130" t="n"/>
      <c r="GF7" s="131" t="n"/>
      <c r="GG7" s="130" t="n"/>
      <c r="GH7" s="131" t="n"/>
      <c r="GI7" s="130" t="n"/>
      <c r="GJ7" s="131" t="n"/>
      <c r="GK7" s="132" t="n"/>
      <c r="GL7" s="133" t="n"/>
      <c r="GM7" s="134" t="n"/>
      <c r="GN7" s="133" t="n"/>
      <c r="GO7" s="134" t="n"/>
      <c r="GP7" s="133" t="n"/>
      <c r="GQ7" s="134" t="n"/>
      <c r="GR7" s="133" t="n"/>
      <c r="GS7" s="134" t="n"/>
      <c r="GT7" s="133" t="n"/>
      <c r="GU7" s="134" t="n"/>
      <c r="GV7" s="133" t="n"/>
      <c r="GW7" s="134" t="n"/>
      <c r="GX7" s="133" t="n"/>
      <c r="GY7" s="134" t="n"/>
      <c r="GZ7" s="133" t="n"/>
      <c r="HA7" s="134" t="n"/>
      <c r="HB7" s="135" t="n"/>
      <c r="HC7">
        <f>97-SUMPRODUCT(MAX(($G$4:$HB$4="ح")*($G7:$HB7=TRUE)*(97-$G$47:$HB$47)))</f>
        <v>97</v>
      </c>
      <c r="HD7">
        <f>SUMPRODUCT(($G$4:$HB$4="ح")*($G7:$HB7=TRUE)*($G$47:$HB$47&gt;$HC$1-8))</f>
        <v>0</v>
      </c>
      <c r="HE7">
        <f>(COUNTIF($G7:$V7,TRUE)&gt;0)*($W7&lt;&gt;TRUE)+(COUNTIF($X7:$AM7,TRUE)&gt;0)*($AN7&lt;&gt;TRUE)+(COUNTIF($AO7:$BD7,TRUE)&gt;0)*($BE7&lt;&gt;TRUE)+(COUNTIF($BF7:$BU7,TRUE)&gt;0)*($BV7&lt;&gt;TRUE)+(COUNTIF($BW7:$CL7,TRUE)&gt;0)*($CM7&lt;&gt;TRUE)+(COUNTIF($CN7:$DC7,TRUE)&gt;0)*($DD7&lt;&gt;TRUE)+(COUNTIF($DE7:$DT7,TRUE)&gt;0)*($DU7&lt;&gt;TRUE)+(COUNTIF($DV7:$EK7,TRUE)&gt;0)*($EL7&lt;&gt;TRUE)+(COUNTIF($EM7:$FB7,TRUE)&gt;0)*($FC7&lt;&gt;TRUE)+(COUNTIF($FD7:$FS7,TRUE)&gt;0)*($FT7&lt;&gt;TRUE)+(COUNTIF($FU7:$GJ7,TRUE)&gt;0)*($GK7&lt;&gt;TRUE)+(COUNTIF($GL7:$HA7,TRUE)&gt;0)*($HB7&lt;&gt;TRUE)</f>
        <v>0</v>
      </c>
      <c r="HF7">
        <f>IF($HE7=0,0,13-MAX((COUNTIF($G7:$V7,TRUE)&gt;0)*($W7&lt;&gt;TRUE)*12,(COUNTIF($X7:$AM7,TRUE)&gt;0)*($AN7&lt;&gt;TRUE)*11,(COUNTIF($AO7:$BD7,TRUE)&gt;0)*($BE7&lt;&gt;TRUE)*10,(COUNTIF($BF7:$BU7,TRUE)&gt;0)*($BV7&lt;&gt;TRUE)*9,(COUNTIF($BW7:$CL7,TRUE)&gt;0)*($CM7&lt;&gt;TRUE)*8,(COUNTIF($CN7:$DC7,TRUE)&gt;0)*($DD7&lt;&gt;TRUE)*7,(COUNTIF($DE7:$DT7,TRUE)&gt;0)*($DU7&lt;&gt;TRUE)*6,(COUNTIF($DV7:$EK7,TRUE)&gt;0)*($EL7&lt;&gt;TRUE)*5,(COUNTIF($EM7:$FB7,TRUE)&gt;0)*($FC7&lt;&gt;TRUE)*4,(COUNTIF($FD7:$FS7,TRUE)&gt;0)*($FT7&lt;&gt;TRUE)*3,(COUNTIF($FU7:$GJ7,TRUE)&gt;0)*($GK7&lt;&gt;TRUE)*2,(COUNTIF($GL7:$HA7,TRUE)&gt;0)*($HB7&lt;&gt;TRUE)*1))</f>
        <v>0</v>
      </c>
    </row>
    <row r="8" ht="22.5" customHeight="1">
      <c r="A8" s="36" t="n">
        <v>4</v>
      </c>
      <c r="B8" s="97" t="n"/>
      <c r="C8" s="28" t="n"/>
      <c r="D8" s="98" t="str">
        <f>IF($B8="","",IF($HC8=97,"-",IF($HD8=0,"متوقف",SUMPRODUCT(($G$4:$HB$4="ح")*($G$20:$HB$20&gt;0)*($G8:$HB8&lt;&gt;TRUE)*($G$47:$HB$47&gt;$HC$1-8)*($G$47:$HB$47&gt;=$HC8)))))</f>
        <v/>
      </c>
      <c r="E8" s="98" t="str">
        <f>IF(OR($B8="",$HC8=97),"",SUMPRODUCT(($G$4:$HA$4="ح")*($G8:$HA8=TRUE)*($H8:$HB8&lt;&gt;TRUE)*($G$47:$HA$47&gt;$HC$1-8)))</f>
        <v/>
      </c>
      <c r="F8" s="99" t="str">
        <f>IF($B8="","",IF($HE8=0,IF($HC8=97,"-","تمام"),IF($HE8=1,IF(INDEX($G$1:$HB$1,1,17*($HF8-1)+1)="","شهر "&amp;$HF8,INDEX($G$1:$HB$1,1,17*($HF8-1)+1)),IF($HE8=2,"شهرين",$HE8&amp;" شهور"))))</f>
        <v/>
      </c>
      <c r="G8" s="100" t="n"/>
      <c r="H8" s="101" t="n"/>
      <c r="I8" s="100" t="n"/>
      <c r="J8" s="101" t="n"/>
      <c r="K8" s="100" t="n"/>
      <c r="L8" s="101" t="n"/>
      <c r="M8" s="100" t="n"/>
      <c r="N8" s="101" t="n"/>
      <c r="O8" s="100" t="n"/>
      <c r="P8" s="101" t="n"/>
      <c r="Q8" s="100" t="n"/>
      <c r="R8" s="101" t="n"/>
      <c r="S8" s="100" t="n"/>
      <c r="T8" s="101" t="n"/>
      <c r="U8" s="100" t="n"/>
      <c r="V8" s="101" t="n"/>
      <c r="W8" s="102" t="n"/>
      <c r="X8" s="103" t="n"/>
      <c r="Y8" s="104" t="n"/>
      <c r="Z8" s="103" t="n"/>
      <c r="AA8" s="104" t="n"/>
      <c r="AB8" s="103" t="n"/>
      <c r="AC8" s="104" t="n"/>
      <c r="AD8" s="103" t="n"/>
      <c r="AE8" s="104" t="n"/>
      <c r="AF8" s="103" t="n"/>
      <c r="AG8" s="104" t="n"/>
      <c r="AH8" s="103" t="n"/>
      <c r="AI8" s="104" t="n"/>
      <c r="AJ8" s="103" t="n"/>
      <c r="AK8" s="104" t="n"/>
      <c r="AL8" s="103" t="n"/>
      <c r="AM8" s="104" t="n"/>
      <c r="AN8" s="105" t="n"/>
      <c r="AO8" s="106" t="n"/>
      <c r="AP8" s="107" t="n"/>
      <c r="AQ8" s="106" t="n"/>
      <c r="AR8" s="107" t="n"/>
      <c r="AS8" s="106" t="n"/>
      <c r="AT8" s="107" t="n"/>
      <c r="AU8" s="106" t="n"/>
      <c r="AV8" s="107" t="n"/>
      <c r="AW8" s="106" t="n"/>
      <c r="AX8" s="107" t="n"/>
      <c r="AY8" s="106" t="n"/>
      <c r="AZ8" s="107" t="n"/>
      <c r="BA8" s="106" t="n"/>
      <c r="BB8" s="107" t="n"/>
      <c r="BC8" s="106" t="n"/>
      <c r="BD8" s="107" t="n"/>
      <c r="BE8" s="108" t="n"/>
      <c r="BF8" s="109" t="n"/>
      <c r="BG8" s="110" t="n"/>
      <c r="BH8" s="109" t="n"/>
      <c r="BI8" s="110" t="n"/>
      <c r="BJ8" s="109" t="n"/>
      <c r="BK8" s="110" t="n"/>
      <c r="BL8" s="109" t="n"/>
      <c r="BM8" s="110" t="n"/>
      <c r="BN8" s="109" t="n"/>
      <c r="BO8" s="110" t="n"/>
      <c r="BP8" s="109" t="n"/>
      <c r="BQ8" s="110" t="n"/>
      <c r="BR8" s="109" t="n"/>
      <c r="BS8" s="110" t="n"/>
      <c r="BT8" s="109" t="n"/>
      <c r="BU8" s="110" t="n"/>
      <c r="BV8" s="111" t="n"/>
      <c r="BW8" s="112" t="n"/>
      <c r="BX8" s="113" t="n"/>
      <c r="BY8" s="112" t="n"/>
      <c r="BZ8" s="113" t="n"/>
      <c r="CA8" s="112" t="n"/>
      <c r="CB8" s="113" t="n"/>
      <c r="CC8" s="112" t="n"/>
      <c r="CD8" s="113" t="n"/>
      <c r="CE8" s="112" t="n"/>
      <c r="CF8" s="113" t="n"/>
      <c r="CG8" s="112" t="n"/>
      <c r="CH8" s="113" t="n"/>
      <c r="CI8" s="112" t="n"/>
      <c r="CJ8" s="113" t="n"/>
      <c r="CK8" s="112" t="n"/>
      <c r="CL8" s="113" t="n"/>
      <c r="CM8" s="114" t="n"/>
      <c r="CN8" s="115" t="n"/>
      <c r="CO8" s="116" t="n"/>
      <c r="CP8" s="115" t="n"/>
      <c r="CQ8" s="116" t="n"/>
      <c r="CR8" s="115" t="n"/>
      <c r="CS8" s="116" t="n"/>
      <c r="CT8" s="115" t="n"/>
      <c r="CU8" s="116" t="n"/>
      <c r="CV8" s="115" t="n"/>
      <c r="CW8" s="116" t="n"/>
      <c r="CX8" s="115" t="n"/>
      <c r="CY8" s="116" t="n"/>
      <c r="CZ8" s="115" t="n"/>
      <c r="DA8" s="116" t="n"/>
      <c r="DB8" s="115" t="n"/>
      <c r="DC8" s="116" t="n"/>
      <c r="DD8" s="117" t="n"/>
      <c r="DE8" s="118" t="n"/>
      <c r="DF8" s="119" t="n"/>
      <c r="DG8" s="118" t="n"/>
      <c r="DH8" s="119" t="n"/>
      <c r="DI8" s="118" t="n"/>
      <c r="DJ8" s="119" t="n"/>
      <c r="DK8" s="118" t="n"/>
      <c r="DL8" s="119" t="n"/>
      <c r="DM8" s="118" t="n"/>
      <c r="DN8" s="119" t="n"/>
      <c r="DO8" s="118" t="n"/>
      <c r="DP8" s="119" t="n"/>
      <c r="DQ8" s="118" t="n"/>
      <c r="DR8" s="119" t="n"/>
      <c r="DS8" s="118" t="n"/>
      <c r="DT8" s="119" t="n"/>
      <c r="DU8" s="120" t="n"/>
      <c r="DV8" s="121" t="n"/>
      <c r="DW8" s="122" t="n"/>
      <c r="DX8" s="121" t="n"/>
      <c r="DY8" s="122" t="n"/>
      <c r="DZ8" s="121" t="n"/>
      <c r="EA8" s="122" t="n"/>
      <c r="EB8" s="121" t="n"/>
      <c r="EC8" s="122" t="n"/>
      <c r="ED8" s="121" t="n"/>
      <c r="EE8" s="122" t="n"/>
      <c r="EF8" s="121" t="n"/>
      <c r="EG8" s="122" t="n"/>
      <c r="EH8" s="121" t="n"/>
      <c r="EI8" s="122" t="n"/>
      <c r="EJ8" s="121" t="n"/>
      <c r="EK8" s="122" t="n"/>
      <c r="EL8" s="123" t="n"/>
      <c r="EM8" s="124" t="n"/>
      <c r="EN8" s="125" t="n"/>
      <c r="EO8" s="124" t="n"/>
      <c r="EP8" s="125" t="n"/>
      <c r="EQ8" s="124" t="n"/>
      <c r="ER8" s="125" t="n"/>
      <c r="ES8" s="124" t="n"/>
      <c r="ET8" s="125" t="n"/>
      <c r="EU8" s="124" t="n"/>
      <c r="EV8" s="125" t="n"/>
      <c r="EW8" s="124" t="n"/>
      <c r="EX8" s="125" t="n"/>
      <c r="EY8" s="124" t="n"/>
      <c r="EZ8" s="125" t="n"/>
      <c r="FA8" s="124" t="n"/>
      <c r="FB8" s="125" t="n"/>
      <c r="FC8" s="126" t="n"/>
      <c r="FD8" s="127" t="n"/>
      <c r="FE8" s="128" t="n"/>
      <c r="FF8" s="127" t="n"/>
      <c r="FG8" s="128" t="n"/>
      <c r="FH8" s="127" t="n"/>
      <c r="FI8" s="128" t="n"/>
      <c r="FJ8" s="127" t="n"/>
      <c r="FK8" s="128" t="n"/>
      <c r="FL8" s="127" t="n"/>
      <c r="FM8" s="128" t="n"/>
      <c r="FN8" s="127" t="n"/>
      <c r="FO8" s="128" t="n"/>
      <c r="FP8" s="127" t="n"/>
      <c r="FQ8" s="128" t="n"/>
      <c r="FR8" s="127" t="n"/>
      <c r="FS8" s="128" t="n"/>
      <c r="FT8" s="129" t="n"/>
      <c r="FU8" s="130" t="n"/>
      <c r="FV8" s="131" t="n"/>
      <c r="FW8" s="130" t="n"/>
      <c r="FX8" s="131" t="n"/>
      <c r="FY8" s="130" t="n"/>
      <c r="FZ8" s="131" t="n"/>
      <c r="GA8" s="130" t="n"/>
      <c r="GB8" s="131" t="n"/>
      <c r="GC8" s="130" t="n"/>
      <c r="GD8" s="131" t="n"/>
      <c r="GE8" s="130" t="n"/>
      <c r="GF8" s="131" t="n"/>
      <c r="GG8" s="130" t="n"/>
      <c r="GH8" s="131" t="n"/>
      <c r="GI8" s="130" t="n"/>
      <c r="GJ8" s="131" t="n"/>
      <c r="GK8" s="132" t="n"/>
      <c r="GL8" s="133" t="n"/>
      <c r="GM8" s="134" t="n"/>
      <c r="GN8" s="133" t="n"/>
      <c r="GO8" s="134" t="n"/>
      <c r="GP8" s="133" t="n"/>
      <c r="GQ8" s="134" t="n"/>
      <c r="GR8" s="133" t="n"/>
      <c r="GS8" s="134" t="n"/>
      <c r="GT8" s="133" t="n"/>
      <c r="GU8" s="134" t="n"/>
      <c r="GV8" s="133" t="n"/>
      <c r="GW8" s="134" t="n"/>
      <c r="GX8" s="133" t="n"/>
      <c r="GY8" s="134" t="n"/>
      <c r="GZ8" s="133" t="n"/>
      <c r="HA8" s="134" t="n"/>
      <c r="HB8" s="135" t="n"/>
      <c r="HC8">
        <f>97-SUMPRODUCT(MAX(($G$4:$HB$4="ح")*($G8:$HB8=TRUE)*(97-$G$47:$HB$47)))</f>
        <v>97</v>
      </c>
      <c r="HD8">
        <f>SUMPRODUCT(($G$4:$HB$4="ح")*($G8:$HB8=TRUE)*($G$47:$HB$47&gt;$HC$1-8))</f>
        <v>0</v>
      </c>
      <c r="HE8">
        <f>(COUNTIF($G8:$V8,TRUE)&gt;0)*($W8&lt;&gt;TRUE)+(COUNTIF($X8:$AM8,TRUE)&gt;0)*($AN8&lt;&gt;TRUE)+(COUNTIF($AO8:$BD8,TRUE)&gt;0)*($BE8&lt;&gt;TRUE)+(COUNTIF($BF8:$BU8,TRUE)&gt;0)*($BV8&lt;&gt;TRUE)+(COUNTIF($BW8:$CL8,TRUE)&gt;0)*($CM8&lt;&gt;TRUE)+(COUNTIF($CN8:$DC8,TRUE)&gt;0)*($DD8&lt;&gt;TRUE)+(COUNTIF($DE8:$DT8,TRUE)&gt;0)*($DU8&lt;&gt;TRUE)+(COUNTIF($DV8:$EK8,TRUE)&gt;0)*($EL8&lt;&gt;TRUE)+(COUNTIF($EM8:$FB8,TRUE)&gt;0)*($FC8&lt;&gt;TRUE)+(COUNTIF($FD8:$FS8,TRUE)&gt;0)*($FT8&lt;&gt;TRUE)+(COUNTIF($FU8:$GJ8,TRUE)&gt;0)*($GK8&lt;&gt;TRUE)+(COUNTIF($GL8:$HA8,TRUE)&gt;0)*($HB8&lt;&gt;TRUE)</f>
        <v>0</v>
      </c>
      <c r="HF8">
        <f>IF($HE8=0,0,13-MAX((COUNTIF($G8:$V8,TRUE)&gt;0)*($W8&lt;&gt;TRUE)*12,(COUNTIF($X8:$AM8,TRUE)&gt;0)*($AN8&lt;&gt;TRUE)*11,(COUNTIF($AO8:$BD8,TRUE)&gt;0)*($BE8&lt;&gt;TRUE)*10,(COUNTIF($BF8:$BU8,TRUE)&gt;0)*($BV8&lt;&gt;TRUE)*9,(COUNTIF($BW8:$CL8,TRUE)&gt;0)*($CM8&lt;&gt;TRUE)*8,(COUNTIF($CN8:$DC8,TRUE)&gt;0)*($DD8&lt;&gt;TRUE)*7,(COUNTIF($DE8:$DT8,TRUE)&gt;0)*($DU8&lt;&gt;TRUE)*6,(COUNTIF($DV8:$EK8,TRUE)&gt;0)*($EL8&lt;&gt;TRUE)*5,(COUNTIF($EM8:$FB8,TRUE)&gt;0)*($FC8&lt;&gt;TRUE)*4,(COUNTIF($FD8:$FS8,TRUE)&gt;0)*($FT8&lt;&gt;TRUE)*3,(COUNTIF($FU8:$GJ8,TRUE)&gt;0)*($GK8&lt;&gt;TRUE)*2,(COUNTIF($GL8:$HA8,TRUE)&gt;0)*($HB8&lt;&gt;TRUE)*1))</f>
        <v>0</v>
      </c>
    </row>
    <row r="9" ht="22.5" customHeight="1">
      <c r="A9" s="36" t="n">
        <v>5</v>
      </c>
      <c r="B9" s="97" t="n"/>
      <c r="C9" s="28" t="n"/>
      <c r="D9" s="98" t="str">
        <f>IF($B9="","",IF($HC9=97,"-",IF($HD9=0,"متوقف",SUMPRODUCT(($G$4:$HB$4="ح")*($G$20:$HB$20&gt;0)*($G9:$HB9&lt;&gt;TRUE)*($G$47:$HB$47&gt;$HC$1-8)*($G$47:$HB$47&gt;=$HC9)))))</f>
        <v/>
      </c>
      <c r="E9" s="98" t="str">
        <f>IF(OR($B9="",$HC9=97),"",SUMPRODUCT(($G$4:$HA$4="ح")*($G9:$HA9=TRUE)*($H9:$HB9&lt;&gt;TRUE)*($G$47:$HA$47&gt;$HC$1-8)))</f>
        <v/>
      </c>
      <c r="F9" s="99" t="str">
        <f>IF($B9="","",IF($HE9=0,IF($HC9=97,"-","تمام"),IF($HE9=1,IF(INDEX($G$1:$HB$1,1,17*($HF9-1)+1)="","شهر "&amp;$HF9,INDEX($G$1:$HB$1,1,17*($HF9-1)+1)),IF($HE9=2,"شهرين",$HE9&amp;" شهور"))))</f>
        <v/>
      </c>
      <c r="G9" s="100" t="n"/>
      <c r="H9" s="101" t="n"/>
      <c r="I9" s="100" t="n"/>
      <c r="J9" s="101" t="n"/>
      <c r="K9" s="100" t="n"/>
      <c r="L9" s="101" t="n"/>
      <c r="M9" s="100" t="n"/>
      <c r="N9" s="101" t="n"/>
      <c r="O9" s="100" t="n"/>
      <c r="P9" s="101" t="n"/>
      <c r="Q9" s="100" t="n"/>
      <c r="R9" s="101" t="n"/>
      <c r="S9" s="100" t="n"/>
      <c r="T9" s="101" t="n"/>
      <c r="U9" s="100" t="n"/>
      <c r="V9" s="101" t="n"/>
      <c r="W9" s="102" t="n"/>
      <c r="X9" s="103" t="n"/>
      <c r="Y9" s="104" t="n"/>
      <c r="Z9" s="103" t="n"/>
      <c r="AA9" s="104" t="n"/>
      <c r="AB9" s="103" t="n"/>
      <c r="AC9" s="104" t="n"/>
      <c r="AD9" s="103" t="n"/>
      <c r="AE9" s="104" t="n"/>
      <c r="AF9" s="103" t="n"/>
      <c r="AG9" s="104" t="n"/>
      <c r="AH9" s="103" t="n"/>
      <c r="AI9" s="104" t="n"/>
      <c r="AJ9" s="103" t="n"/>
      <c r="AK9" s="104" t="n"/>
      <c r="AL9" s="103" t="n"/>
      <c r="AM9" s="104" t="n"/>
      <c r="AN9" s="105" t="n"/>
      <c r="AO9" s="106" t="n"/>
      <c r="AP9" s="107" t="n"/>
      <c r="AQ9" s="106" t="n"/>
      <c r="AR9" s="107" t="n"/>
      <c r="AS9" s="106" t="n"/>
      <c r="AT9" s="107" t="n"/>
      <c r="AU9" s="106" t="n"/>
      <c r="AV9" s="107" t="n"/>
      <c r="AW9" s="106" t="n"/>
      <c r="AX9" s="107" t="n"/>
      <c r="AY9" s="106" t="n"/>
      <c r="AZ9" s="107" t="n"/>
      <c r="BA9" s="106" t="n"/>
      <c r="BB9" s="107" t="n"/>
      <c r="BC9" s="106" t="n"/>
      <c r="BD9" s="107" t="n"/>
      <c r="BE9" s="108" t="n"/>
      <c r="BF9" s="109" t="n"/>
      <c r="BG9" s="110" t="n"/>
      <c r="BH9" s="109" t="n"/>
      <c r="BI9" s="110" t="n"/>
      <c r="BJ9" s="109" t="n"/>
      <c r="BK9" s="110" t="n"/>
      <c r="BL9" s="109" t="n"/>
      <c r="BM9" s="110" t="n"/>
      <c r="BN9" s="109" t="n"/>
      <c r="BO9" s="110" t="n"/>
      <c r="BP9" s="109" t="n"/>
      <c r="BQ9" s="110" t="n"/>
      <c r="BR9" s="109" t="n"/>
      <c r="BS9" s="110" t="n"/>
      <c r="BT9" s="109" t="n"/>
      <c r="BU9" s="110" t="n"/>
      <c r="BV9" s="111" t="n"/>
      <c r="BW9" s="112" t="n"/>
      <c r="BX9" s="113" t="n"/>
      <c r="BY9" s="112" t="n"/>
      <c r="BZ9" s="113" t="n"/>
      <c r="CA9" s="112" t="n"/>
      <c r="CB9" s="113" t="n"/>
      <c r="CC9" s="112" t="n"/>
      <c r="CD9" s="113" t="n"/>
      <c r="CE9" s="112" t="n"/>
      <c r="CF9" s="113" t="n"/>
      <c r="CG9" s="112" t="n"/>
      <c r="CH9" s="113" t="n"/>
      <c r="CI9" s="112" t="n"/>
      <c r="CJ9" s="113" t="n"/>
      <c r="CK9" s="112" t="n"/>
      <c r="CL9" s="113" t="n"/>
      <c r="CM9" s="114" t="n"/>
      <c r="CN9" s="115" t="n"/>
      <c r="CO9" s="116" t="n"/>
      <c r="CP9" s="115" t="n"/>
      <c r="CQ9" s="116" t="n"/>
      <c r="CR9" s="115" t="n"/>
      <c r="CS9" s="116" t="n"/>
      <c r="CT9" s="115" t="n"/>
      <c r="CU9" s="116" t="n"/>
      <c r="CV9" s="115" t="n"/>
      <c r="CW9" s="116" t="n"/>
      <c r="CX9" s="115" t="n"/>
      <c r="CY9" s="116" t="n"/>
      <c r="CZ9" s="115" t="n"/>
      <c r="DA9" s="116" t="n"/>
      <c r="DB9" s="115" t="n"/>
      <c r="DC9" s="116" t="n"/>
      <c r="DD9" s="117" t="n"/>
      <c r="DE9" s="118" t="n"/>
      <c r="DF9" s="119" t="n"/>
      <c r="DG9" s="118" t="n"/>
      <c r="DH9" s="119" t="n"/>
      <c r="DI9" s="118" t="n"/>
      <c r="DJ9" s="119" t="n"/>
      <c r="DK9" s="118" t="n"/>
      <c r="DL9" s="119" t="n"/>
      <c r="DM9" s="118" t="n"/>
      <c r="DN9" s="119" t="n"/>
      <c r="DO9" s="118" t="n"/>
      <c r="DP9" s="119" t="n"/>
      <c r="DQ9" s="118" t="n"/>
      <c r="DR9" s="119" t="n"/>
      <c r="DS9" s="118" t="n"/>
      <c r="DT9" s="119" t="n"/>
      <c r="DU9" s="120" t="n"/>
      <c r="DV9" s="121" t="n"/>
      <c r="DW9" s="122" t="n"/>
      <c r="DX9" s="121" t="n"/>
      <c r="DY9" s="122" t="n"/>
      <c r="DZ9" s="121" t="n"/>
      <c r="EA9" s="122" t="n"/>
      <c r="EB9" s="121" t="n"/>
      <c r="EC9" s="122" t="n"/>
      <c r="ED9" s="121" t="n"/>
      <c r="EE9" s="122" t="n"/>
      <c r="EF9" s="121" t="n"/>
      <c r="EG9" s="122" t="n"/>
      <c r="EH9" s="121" t="n"/>
      <c r="EI9" s="122" t="n"/>
      <c r="EJ9" s="121" t="n"/>
      <c r="EK9" s="122" t="n"/>
      <c r="EL9" s="123" t="n"/>
      <c r="EM9" s="124" t="n"/>
      <c r="EN9" s="125" t="n"/>
      <c r="EO9" s="124" t="n"/>
      <c r="EP9" s="125" t="n"/>
      <c r="EQ9" s="124" t="n"/>
      <c r="ER9" s="125" t="n"/>
      <c r="ES9" s="124" t="n"/>
      <c r="ET9" s="125" t="n"/>
      <c r="EU9" s="124" t="n"/>
      <c r="EV9" s="125" t="n"/>
      <c r="EW9" s="124" t="n"/>
      <c r="EX9" s="125" t="n"/>
      <c r="EY9" s="124" t="n"/>
      <c r="EZ9" s="125" t="n"/>
      <c r="FA9" s="124" t="n"/>
      <c r="FB9" s="125" t="n"/>
      <c r="FC9" s="126" t="n"/>
      <c r="FD9" s="127" t="n"/>
      <c r="FE9" s="128" t="n"/>
      <c r="FF9" s="127" t="n"/>
      <c r="FG9" s="128" t="n"/>
      <c r="FH9" s="127" t="n"/>
      <c r="FI9" s="128" t="n"/>
      <c r="FJ9" s="127" t="n"/>
      <c r="FK9" s="128" t="n"/>
      <c r="FL9" s="127" t="n"/>
      <c r="FM9" s="128" t="n"/>
      <c r="FN9" s="127" t="n"/>
      <c r="FO9" s="128" t="n"/>
      <c r="FP9" s="127" t="n"/>
      <c r="FQ9" s="128" t="n"/>
      <c r="FR9" s="127" t="n"/>
      <c r="FS9" s="128" t="n"/>
      <c r="FT9" s="129" t="n"/>
      <c r="FU9" s="130" t="n"/>
      <c r="FV9" s="131" t="n"/>
      <c r="FW9" s="130" t="n"/>
      <c r="FX9" s="131" t="n"/>
      <c r="FY9" s="130" t="n"/>
      <c r="FZ9" s="131" t="n"/>
      <c r="GA9" s="130" t="n"/>
      <c r="GB9" s="131" t="n"/>
      <c r="GC9" s="130" t="n"/>
      <c r="GD9" s="131" t="n"/>
      <c r="GE9" s="130" t="n"/>
      <c r="GF9" s="131" t="n"/>
      <c r="GG9" s="130" t="n"/>
      <c r="GH9" s="131" t="n"/>
      <c r="GI9" s="130" t="n"/>
      <c r="GJ9" s="131" t="n"/>
      <c r="GK9" s="132" t="n"/>
      <c r="GL9" s="133" t="n"/>
      <c r="GM9" s="134" t="n"/>
      <c r="GN9" s="133" t="n"/>
      <c r="GO9" s="134" t="n"/>
      <c r="GP9" s="133" t="n"/>
      <c r="GQ9" s="134" t="n"/>
      <c r="GR9" s="133" t="n"/>
      <c r="GS9" s="134" t="n"/>
      <c r="GT9" s="133" t="n"/>
      <c r="GU9" s="134" t="n"/>
      <c r="GV9" s="133" t="n"/>
      <c r="GW9" s="134" t="n"/>
      <c r="GX9" s="133" t="n"/>
      <c r="GY9" s="134" t="n"/>
      <c r="GZ9" s="133" t="n"/>
      <c r="HA9" s="134" t="n"/>
      <c r="HB9" s="135" t="n"/>
      <c r="HC9">
        <f>97-SUMPRODUCT(MAX(($G$4:$HB$4="ح")*($G9:$HB9=TRUE)*(97-$G$47:$HB$47)))</f>
        <v>97</v>
      </c>
      <c r="HD9">
        <f>SUMPRODUCT(($G$4:$HB$4="ح")*($G9:$HB9=TRUE)*($G$47:$HB$47&gt;$HC$1-8))</f>
        <v>0</v>
      </c>
      <c r="HE9">
        <f>(COUNTIF($G9:$V9,TRUE)&gt;0)*($W9&lt;&gt;TRUE)+(COUNTIF($X9:$AM9,TRUE)&gt;0)*($AN9&lt;&gt;TRUE)+(COUNTIF($AO9:$BD9,TRUE)&gt;0)*($BE9&lt;&gt;TRUE)+(COUNTIF($BF9:$BU9,TRUE)&gt;0)*($BV9&lt;&gt;TRUE)+(COUNTIF($BW9:$CL9,TRUE)&gt;0)*($CM9&lt;&gt;TRUE)+(COUNTIF($CN9:$DC9,TRUE)&gt;0)*($DD9&lt;&gt;TRUE)+(COUNTIF($DE9:$DT9,TRUE)&gt;0)*($DU9&lt;&gt;TRUE)+(COUNTIF($DV9:$EK9,TRUE)&gt;0)*($EL9&lt;&gt;TRUE)+(COUNTIF($EM9:$FB9,TRUE)&gt;0)*($FC9&lt;&gt;TRUE)+(COUNTIF($FD9:$FS9,TRUE)&gt;0)*($FT9&lt;&gt;TRUE)+(COUNTIF($FU9:$GJ9,TRUE)&gt;0)*($GK9&lt;&gt;TRUE)+(COUNTIF($GL9:$HA9,TRUE)&gt;0)*($HB9&lt;&gt;TRUE)</f>
        <v>0</v>
      </c>
      <c r="HF9">
        <f>IF($HE9=0,0,13-MAX((COUNTIF($G9:$V9,TRUE)&gt;0)*($W9&lt;&gt;TRUE)*12,(COUNTIF($X9:$AM9,TRUE)&gt;0)*($AN9&lt;&gt;TRUE)*11,(COUNTIF($AO9:$BD9,TRUE)&gt;0)*($BE9&lt;&gt;TRUE)*10,(COUNTIF($BF9:$BU9,TRUE)&gt;0)*($BV9&lt;&gt;TRUE)*9,(COUNTIF($BW9:$CL9,TRUE)&gt;0)*($CM9&lt;&gt;TRUE)*8,(COUNTIF($CN9:$DC9,TRUE)&gt;0)*($DD9&lt;&gt;TRUE)*7,(COUNTIF($DE9:$DT9,TRUE)&gt;0)*($DU9&lt;&gt;TRUE)*6,(COUNTIF($DV9:$EK9,TRUE)&gt;0)*($EL9&lt;&gt;TRUE)*5,(COUNTIF($EM9:$FB9,TRUE)&gt;0)*($FC9&lt;&gt;TRUE)*4,(COUNTIF($FD9:$FS9,TRUE)&gt;0)*($FT9&lt;&gt;TRUE)*3,(COUNTIF($FU9:$GJ9,TRUE)&gt;0)*($GK9&lt;&gt;TRUE)*2,(COUNTIF($GL9:$HA9,TRUE)&gt;0)*($HB9&lt;&gt;TRUE)*1))</f>
        <v>0</v>
      </c>
    </row>
    <row r="10" ht="22.5" customHeight="1">
      <c r="A10" s="36" t="n">
        <v>6</v>
      </c>
      <c r="B10" s="97" t="n"/>
      <c r="C10" s="28" t="n"/>
      <c r="D10" s="98" t="str">
        <f>IF($B10="","",IF($HC10=97,"-",IF($HD10=0,"متوقف",SUMPRODUCT(($G$4:$HB$4="ح")*($G$20:$HB$20&gt;0)*($G10:$HB10&lt;&gt;TRUE)*($G$47:$HB$47&gt;$HC$1-8)*($G$47:$HB$47&gt;=$HC10)))))</f>
        <v/>
      </c>
      <c r="E10" s="98" t="str">
        <f>IF(OR($B10="",$HC10=97),"",SUMPRODUCT(($G$4:$HA$4="ح")*($G10:$HA10=TRUE)*($H10:$HB10&lt;&gt;TRUE)*($G$47:$HA$47&gt;$HC$1-8)))</f>
        <v/>
      </c>
      <c r="F10" s="99" t="str">
        <f>IF($B10="","",IF($HE10=0,IF($HC10=97,"-","تمام"),IF($HE10=1,IF(INDEX($G$1:$HB$1,1,17*($HF10-1)+1)="","شهر "&amp;$HF10,INDEX($G$1:$HB$1,1,17*($HF10-1)+1)),IF($HE10=2,"شهرين",$HE10&amp;" شهور"))))</f>
        <v/>
      </c>
      <c r="G10" s="100" t="n"/>
      <c r="H10" s="101" t="n"/>
      <c r="I10" s="100" t="n"/>
      <c r="J10" s="101" t="n"/>
      <c r="K10" s="100" t="n"/>
      <c r="L10" s="101" t="n"/>
      <c r="M10" s="100" t="n"/>
      <c r="N10" s="101" t="n"/>
      <c r="O10" s="100" t="n"/>
      <c r="P10" s="101" t="n"/>
      <c r="Q10" s="100" t="n"/>
      <c r="R10" s="101" t="n"/>
      <c r="S10" s="100" t="n"/>
      <c r="T10" s="101" t="n"/>
      <c r="U10" s="100" t="n"/>
      <c r="V10" s="101" t="n"/>
      <c r="W10" s="102" t="n"/>
      <c r="X10" s="103" t="n"/>
      <c r="Y10" s="104" t="n"/>
      <c r="Z10" s="103" t="n"/>
      <c r="AA10" s="104" t="n"/>
      <c r="AB10" s="103" t="n"/>
      <c r="AC10" s="104" t="n"/>
      <c r="AD10" s="103" t="n"/>
      <c r="AE10" s="104" t="n"/>
      <c r="AF10" s="103" t="n"/>
      <c r="AG10" s="104" t="n"/>
      <c r="AH10" s="103" t="n"/>
      <c r="AI10" s="104" t="n"/>
      <c r="AJ10" s="103" t="n"/>
      <c r="AK10" s="104" t="n"/>
      <c r="AL10" s="103" t="n"/>
      <c r="AM10" s="104" t="n"/>
      <c r="AN10" s="105" t="n"/>
      <c r="AO10" s="106" t="n"/>
      <c r="AP10" s="107" t="n"/>
      <c r="AQ10" s="106" t="n"/>
      <c r="AR10" s="107" t="n"/>
      <c r="AS10" s="106" t="n"/>
      <c r="AT10" s="107" t="n"/>
      <c r="AU10" s="106" t="n"/>
      <c r="AV10" s="107" t="n"/>
      <c r="AW10" s="106" t="n"/>
      <c r="AX10" s="107" t="n"/>
      <c r="AY10" s="106" t="n"/>
      <c r="AZ10" s="107" t="n"/>
      <c r="BA10" s="106" t="n"/>
      <c r="BB10" s="107" t="n"/>
      <c r="BC10" s="106" t="n"/>
      <c r="BD10" s="107" t="n"/>
      <c r="BE10" s="108" t="n"/>
      <c r="BF10" s="109" t="n"/>
      <c r="BG10" s="110" t="n"/>
      <c r="BH10" s="109" t="n"/>
      <c r="BI10" s="110" t="n"/>
      <c r="BJ10" s="109" t="n"/>
      <c r="BK10" s="110" t="n"/>
      <c r="BL10" s="109" t="n"/>
      <c r="BM10" s="110" t="n"/>
      <c r="BN10" s="109" t="n"/>
      <c r="BO10" s="110" t="n"/>
      <c r="BP10" s="109" t="n"/>
      <c r="BQ10" s="110" t="n"/>
      <c r="BR10" s="109" t="n"/>
      <c r="BS10" s="110" t="n"/>
      <c r="BT10" s="109" t="n"/>
      <c r="BU10" s="110" t="n"/>
      <c r="BV10" s="111" t="n"/>
      <c r="BW10" s="112" t="n"/>
      <c r="BX10" s="113" t="n"/>
      <c r="BY10" s="112" t="n"/>
      <c r="BZ10" s="113" t="n"/>
      <c r="CA10" s="112" t="n"/>
      <c r="CB10" s="113" t="n"/>
      <c r="CC10" s="112" t="n"/>
      <c r="CD10" s="113" t="n"/>
      <c r="CE10" s="112" t="n"/>
      <c r="CF10" s="113" t="n"/>
      <c r="CG10" s="112" t="n"/>
      <c r="CH10" s="113" t="n"/>
      <c r="CI10" s="112" t="n"/>
      <c r="CJ10" s="113" t="n"/>
      <c r="CK10" s="112" t="n"/>
      <c r="CL10" s="113" t="n"/>
      <c r="CM10" s="114" t="n"/>
      <c r="CN10" s="115" t="n"/>
      <c r="CO10" s="116" t="n"/>
      <c r="CP10" s="115" t="n"/>
      <c r="CQ10" s="116" t="n"/>
      <c r="CR10" s="115" t="n"/>
      <c r="CS10" s="116" t="n"/>
      <c r="CT10" s="115" t="n"/>
      <c r="CU10" s="116" t="n"/>
      <c r="CV10" s="115" t="n"/>
      <c r="CW10" s="116" t="n"/>
      <c r="CX10" s="115" t="n"/>
      <c r="CY10" s="116" t="n"/>
      <c r="CZ10" s="115" t="n"/>
      <c r="DA10" s="116" t="n"/>
      <c r="DB10" s="115" t="n"/>
      <c r="DC10" s="116" t="n"/>
      <c r="DD10" s="117" t="n"/>
      <c r="DE10" s="118" t="n"/>
      <c r="DF10" s="119" t="n"/>
      <c r="DG10" s="118" t="n"/>
      <c r="DH10" s="119" t="n"/>
      <c r="DI10" s="118" t="n"/>
      <c r="DJ10" s="119" t="n"/>
      <c r="DK10" s="118" t="n"/>
      <c r="DL10" s="119" t="n"/>
      <c r="DM10" s="118" t="n"/>
      <c r="DN10" s="119" t="n"/>
      <c r="DO10" s="118" t="n"/>
      <c r="DP10" s="119" t="n"/>
      <c r="DQ10" s="118" t="n"/>
      <c r="DR10" s="119" t="n"/>
      <c r="DS10" s="118" t="n"/>
      <c r="DT10" s="119" t="n"/>
      <c r="DU10" s="120" t="n"/>
      <c r="DV10" s="121" t="n"/>
      <c r="DW10" s="122" t="n"/>
      <c r="DX10" s="121" t="n"/>
      <c r="DY10" s="122" t="n"/>
      <c r="DZ10" s="121" t="n"/>
      <c r="EA10" s="122" t="n"/>
      <c r="EB10" s="121" t="n"/>
      <c r="EC10" s="122" t="n"/>
      <c r="ED10" s="121" t="n"/>
      <c r="EE10" s="122" t="n"/>
      <c r="EF10" s="121" t="n"/>
      <c r="EG10" s="122" t="n"/>
      <c r="EH10" s="121" t="n"/>
      <c r="EI10" s="122" t="n"/>
      <c r="EJ10" s="121" t="n"/>
      <c r="EK10" s="122" t="n"/>
      <c r="EL10" s="123" t="n"/>
      <c r="EM10" s="124" t="n"/>
      <c r="EN10" s="125" t="n"/>
      <c r="EO10" s="124" t="n"/>
      <c r="EP10" s="125" t="n"/>
      <c r="EQ10" s="124" t="n"/>
      <c r="ER10" s="125" t="n"/>
      <c r="ES10" s="124" t="n"/>
      <c r="ET10" s="125" t="n"/>
      <c r="EU10" s="124" t="n"/>
      <c r="EV10" s="125" t="n"/>
      <c r="EW10" s="124" t="n"/>
      <c r="EX10" s="125" t="n"/>
      <c r="EY10" s="124" t="n"/>
      <c r="EZ10" s="125" t="n"/>
      <c r="FA10" s="124" t="n"/>
      <c r="FB10" s="125" t="n"/>
      <c r="FC10" s="126" t="n"/>
      <c r="FD10" s="127" t="n"/>
      <c r="FE10" s="128" t="n"/>
      <c r="FF10" s="127" t="n"/>
      <c r="FG10" s="128" t="n"/>
      <c r="FH10" s="127" t="n"/>
      <c r="FI10" s="128" t="n"/>
      <c r="FJ10" s="127" t="n"/>
      <c r="FK10" s="128" t="n"/>
      <c r="FL10" s="127" t="n"/>
      <c r="FM10" s="128" t="n"/>
      <c r="FN10" s="127" t="n"/>
      <c r="FO10" s="128" t="n"/>
      <c r="FP10" s="127" t="n"/>
      <c r="FQ10" s="128" t="n"/>
      <c r="FR10" s="127" t="n"/>
      <c r="FS10" s="128" t="n"/>
      <c r="FT10" s="129" t="n"/>
      <c r="FU10" s="130" t="n"/>
      <c r="FV10" s="131" t="n"/>
      <c r="FW10" s="130" t="n"/>
      <c r="FX10" s="131" t="n"/>
      <c r="FY10" s="130" t="n"/>
      <c r="FZ10" s="131" t="n"/>
      <c r="GA10" s="130" t="n"/>
      <c r="GB10" s="131" t="n"/>
      <c r="GC10" s="130" t="n"/>
      <c r="GD10" s="131" t="n"/>
      <c r="GE10" s="130" t="n"/>
      <c r="GF10" s="131" t="n"/>
      <c r="GG10" s="130" t="n"/>
      <c r="GH10" s="131" t="n"/>
      <c r="GI10" s="130" t="n"/>
      <c r="GJ10" s="131" t="n"/>
      <c r="GK10" s="132" t="n"/>
      <c r="GL10" s="133" t="n"/>
      <c r="GM10" s="134" t="n"/>
      <c r="GN10" s="133" t="n"/>
      <c r="GO10" s="134" t="n"/>
      <c r="GP10" s="133" t="n"/>
      <c r="GQ10" s="134" t="n"/>
      <c r="GR10" s="133" t="n"/>
      <c r="GS10" s="134" t="n"/>
      <c r="GT10" s="133" t="n"/>
      <c r="GU10" s="134" t="n"/>
      <c r="GV10" s="133" t="n"/>
      <c r="GW10" s="134" t="n"/>
      <c r="GX10" s="133" t="n"/>
      <c r="GY10" s="134" t="n"/>
      <c r="GZ10" s="133" t="n"/>
      <c r="HA10" s="134" t="n"/>
      <c r="HB10" s="135" t="n"/>
      <c r="HC10">
        <f>97-SUMPRODUCT(MAX(($G$4:$HB$4="ح")*($G10:$HB10=TRUE)*(97-$G$47:$HB$47)))</f>
        <v>97</v>
      </c>
      <c r="HD10">
        <f>SUMPRODUCT(($G$4:$HB$4="ح")*($G10:$HB10=TRUE)*($G$47:$HB$47&gt;$HC$1-8))</f>
        <v>0</v>
      </c>
      <c r="HE10">
        <f>(COUNTIF($G10:$V10,TRUE)&gt;0)*($W10&lt;&gt;TRUE)+(COUNTIF($X10:$AM10,TRUE)&gt;0)*($AN10&lt;&gt;TRUE)+(COUNTIF($AO10:$BD10,TRUE)&gt;0)*($BE10&lt;&gt;TRUE)+(COUNTIF($BF10:$BU10,TRUE)&gt;0)*($BV10&lt;&gt;TRUE)+(COUNTIF($BW10:$CL10,TRUE)&gt;0)*($CM10&lt;&gt;TRUE)+(COUNTIF($CN10:$DC10,TRUE)&gt;0)*($DD10&lt;&gt;TRUE)+(COUNTIF($DE10:$DT10,TRUE)&gt;0)*($DU10&lt;&gt;TRUE)+(COUNTIF($DV10:$EK10,TRUE)&gt;0)*($EL10&lt;&gt;TRUE)+(COUNTIF($EM10:$FB10,TRUE)&gt;0)*($FC10&lt;&gt;TRUE)+(COUNTIF($FD10:$FS10,TRUE)&gt;0)*($FT10&lt;&gt;TRUE)+(COUNTIF($FU10:$GJ10,TRUE)&gt;0)*($GK10&lt;&gt;TRUE)+(COUNTIF($GL10:$HA10,TRUE)&gt;0)*($HB10&lt;&gt;TRUE)</f>
        <v>0</v>
      </c>
      <c r="HF10">
        <f>IF($HE10=0,0,13-MAX((COUNTIF($G10:$V10,TRUE)&gt;0)*($W10&lt;&gt;TRUE)*12,(COUNTIF($X10:$AM10,TRUE)&gt;0)*($AN10&lt;&gt;TRUE)*11,(COUNTIF($AO10:$BD10,TRUE)&gt;0)*($BE10&lt;&gt;TRUE)*10,(COUNTIF($BF10:$BU10,TRUE)&gt;0)*($BV10&lt;&gt;TRUE)*9,(COUNTIF($BW10:$CL10,TRUE)&gt;0)*($CM10&lt;&gt;TRUE)*8,(COUNTIF($CN10:$DC10,TRUE)&gt;0)*($DD10&lt;&gt;TRUE)*7,(COUNTIF($DE10:$DT10,TRUE)&gt;0)*($DU10&lt;&gt;TRUE)*6,(COUNTIF($DV10:$EK10,TRUE)&gt;0)*($EL10&lt;&gt;TRUE)*5,(COUNTIF($EM10:$FB10,TRUE)&gt;0)*($FC10&lt;&gt;TRUE)*4,(COUNTIF($FD10:$FS10,TRUE)&gt;0)*($FT10&lt;&gt;TRUE)*3,(COUNTIF($FU10:$GJ10,TRUE)&gt;0)*($GK10&lt;&gt;TRUE)*2,(COUNTIF($GL10:$HA10,TRUE)&gt;0)*($HB10&lt;&gt;TRUE)*1))</f>
        <v>0</v>
      </c>
    </row>
    <row r="11" ht="22.5" customHeight="1">
      <c r="A11" s="36" t="n">
        <v>7</v>
      </c>
      <c r="B11" s="97" t="n"/>
      <c r="C11" s="28" t="n"/>
      <c r="D11" s="98" t="str">
        <f>IF($B11="","",IF($HC11=97,"-",IF($HD11=0,"متوقف",SUMPRODUCT(($G$4:$HB$4="ح")*($G$20:$HB$20&gt;0)*($G11:$HB11&lt;&gt;TRUE)*($G$47:$HB$47&gt;$HC$1-8)*($G$47:$HB$47&gt;=$HC11)))))</f>
        <v/>
      </c>
      <c r="E11" s="98" t="str">
        <f>IF(OR($B11="",$HC11=97),"",SUMPRODUCT(($G$4:$HA$4="ح")*($G11:$HA11=TRUE)*($H11:$HB11&lt;&gt;TRUE)*($G$47:$HA$47&gt;$HC$1-8)))</f>
        <v/>
      </c>
      <c r="F11" s="99" t="str">
        <f>IF($B11="","",IF($HE11=0,IF($HC11=97,"-","تمام"),IF($HE11=1,IF(INDEX($G$1:$HB$1,1,17*($HF11-1)+1)="","شهر "&amp;$HF11,INDEX($G$1:$HB$1,1,17*($HF11-1)+1)),IF($HE11=2,"شهرين",$HE11&amp;" شهور"))))</f>
        <v/>
      </c>
      <c r="G11" s="100" t="n"/>
      <c r="H11" s="101" t="n"/>
      <c r="I11" s="100" t="n"/>
      <c r="J11" s="101" t="n"/>
      <c r="K11" s="100" t="n"/>
      <c r="L11" s="101" t="n"/>
      <c r="M11" s="100" t="n"/>
      <c r="N11" s="101" t="n"/>
      <c r="O11" s="100" t="n"/>
      <c r="P11" s="101" t="n"/>
      <c r="Q11" s="100" t="n"/>
      <c r="R11" s="101" t="n"/>
      <c r="S11" s="100" t="n"/>
      <c r="T11" s="101" t="n"/>
      <c r="U11" s="100" t="n"/>
      <c r="V11" s="101" t="n"/>
      <c r="W11" s="102" t="n"/>
      <c r="X11" s="103" t="n"/>
      <c r="Y11" s="104" t="n"/>
      <c r="Z11" s="103" t="n"/>
      <c r="AA11" s="104" t="n"/>
      <c r="AB11" s="103" t="n"/>
      <c r="AC11" s="104" t="n"/>
      <c r="AD11" s="103" t="n"/>
      <c r="AE11" s="104" t="n"/>
      <c r="AF11" s="103" t="n"/>
      <c r="AG11" s="104" t="n"/>
      <c r="AH11" s="103" t="n"/>
      <c r="AI11" s="104" t="n"/>
      <c r="AJ11" s="103" t="n"/>
      <c r="AK11" s="104" t="n"/>
      <c r="AL11" s="103" t="n"/>
      <c r="AM11" s="104" t="n"/>
      <c r="AN11" s="105" t="n"/>
      <c r="AO11" s="106" t="n"/>
      <c r="AP11" s="107" t="n"/>
      <c r="AQ11" s="106" t="n"/>
      <c r="AR11" s="107" t="n"/>
      <c r="AS11" s="106" t="n"/>
      <c r="AT11" s="107" t="n"/>
      <c r="AU11" s="106" t="n"/>
      <c r="AV11" s="107" t="n"/>
      <c r="AW11" s="106" t="n"/>
      <c r="AX11" s="107" t="n"/>
      <c r="AY11" s="106" t="n"/>
      <c r="AZ11" s="107" t="n"/>
      <c r="BA11" s="106" t="n"/>
      <c r="BB11" s="107" t="n"/>
      <c r="BC11" s="106" t="n"/>
      <c r="BD11" s="107" t="n"/>
      <c r="BE11" s="108" t="n"/>
      <c r="BF11" s="109" t="n"/>
      <c r="BG11" s="110" t="n"/>
      <c r="BH11" s="109" t="n"/>
      <c r="BI11" s="110" t="n"/>
      <c r="BJ11" s="109" t="n"/>
      <c r="BK11" s="110" t="n"/>
      <c r="BL11" s="109" t="n"/>
      <c r="BM11" s="110" t="n"/>
      <c r="BN11" s="109" t="n"/>
      <c r="BO11" s="110" t="n"/>
      <c r="BP11" s="109" t="n"/>
      <c r="BQ11" s="110" t="n"/>
      <c r="BR11" s="109" t="n"/>
      <c r="BS11" s="110" t="n"/>
      <c r="BT11" s="109" t="n"/>
      <c r="BU11" s="110" t="n"/>
      <c r="BV11" s="111" t="n"/>
      <c r="BW11" s="112" t="n"/>
      <c r="BX11" s="113" t="n"/>
      <c r="BY11" s="112" t="n"/>
      <c r="BZ11" s="113" t="n"/>
      <c r="CA11" s="112" t="n"/>
      <c r="CB11" s="113" t="n"/>
      <c r="CC11" s="112" t="n"/>
      <c r="CD11" s="113" t="n"/>
      <c r="CE11" s="112" t="n"/>
      <c r="CF11" s="113" t="n"/>
      <c r="CG11" s="112" t="n"/>
      <c r="CH11" s="113" t="n"/>
      <c r="CI11" s="112" t="n"/>
      <c r="CJ11" s="113" t="n"/>
      <c r="CK11" s="112" t="n"/>
      <c r="CL11" s="113" t="n"/>
      <c r="CM11" s="114" t="n"/>
      <c r="CN11" s="115" t="n"/>
      <c r="CO11" s="116" t="n"/>
      <c r="CP11" s="115" t="n"/>
      <c r="CQ11" s="116" t="n"/>
      <c r="CR11" s="115" t="n"/>
      <c r="CS11" s="116" t="n"/>
      <c r="CT11" s="115" t="n"/>
      <c r="CU11" s="116" t="n"/>
      <c r="CV11" s="115" t="n"/>
      <c r="CW11" s="116" t="n"/>
      <c r="CX11" s="115" t="n"/>
      <c r="CY11" s="116" t="n"/>
      <c r="CZ11" s="115" t="n"/>
      <c r="DA11" s="116" t="n"/>
      <c r="DB11" s="115" t="n"/>
      <c r="DC11" s="116" t="n"/>
      <c r="DD11" s="117" t="n"/>
      <c r="DE11" s="118" t="n"/>
      <c r="DF11" s="119" t="n"/>
      <c r="DG11" s="118" t="n"/>
      <c r="DH11" s="119" t="n"/>
      <c r="DI11" s="118" t="n"/>
      <c r="DJ11" s="119" t="n"/>
      <c r="DK11" s="118" t="n"/>
      <c r="DL11" s="119" t="n"/>
      <c r="DM11" s="118" t="n"/>
      <c r="DN11" s="119" t="n"/>
      <c r="DO11" s="118" t="n"/>
      <c r="DP11" s="119" t="n"/>
      <c r="DQ11" s="118" t="n"/>
      <c r="DR11" s="119" t="n"/>
      <c r="DS11" s="118" t="n"/>
      <c r="DT11" s="119" t="n"/>
      <c r="DU11" s="120" t="n"/>
      <c r="DV11" s="121" t="n"/>
      <c r="DW11" s="122" t="n"/>
      <c r="DX11" s="121" t="n"/>
      <c r="DY11" s="122" t="n"/>
      <c r="DZ11" s="121" t="n"/>
      <c r="EA11" s="122" t="n"/>
      <c r="EB11" s="121" t="n"/>
      <c r="EC11" s="122" t="n"/>
      <c r="ED11" s="121" t="n"/>
      <c r="EE11" s="122" t="n"/>
      <c r="EF11" s="121" t="n"/>
      <c r="EG11" s="122" t="n"/>
      <c r="EH11" s="121" t="n"/>
      <c r="EI11" s="122" t="n"/>
      <c r="EJ11" s="121" t="n"/>
      <c r="EK11" s="122" t="n"/>
      <c r="EL11" s="123" t="n"/>
      <c r="EM11" s="124" t="n"/>
      <c r="EN11" s="125" t="n"/>
      <c r="EO11" s="124" t="n"/>
      <c r="EP11" s="125" t="n"/>
      <c r="EQ11" s="124" t="n"/>
      <c r="ER11" s="125" t="n"/>
      <c r="ES11" s="124" t="n"/>
      <c r="ET11" s="125" t="n"/>
      <c r="EU11" s="124" t="n"/>
      <c r="EV11" s="125" t="n"/>
      <c r="EW11" s="124" t="n"/>
      <c r="EX11" s="125" t="n"/>
      <c r="EY11" s="124" t="n"/>
      <c r="EZ11" s="125" t="n"/>
      <c r="FA11" s="124" t="n"/>
      <c r="FB11" s="125" t="n"/>
      <c r="FC11" s="126" t="n"/>
      <c r="FD11" s="127" t="n"/>
      <c r="FE11" s="128" t="n"/>
      <c r="FF11" s="127" t="n"/>
      <c r="FG11" s="128" t="n"/>
      <c r="FH11" s="127" t="n"/>
      <c r="FI11" s="128" t="n"/>
      <c r="FJ11" s="127" t="n"/>
      <c r="FK11" s="128" t="n"/>
      <c r="FL11" s="127" t="n"/>
      <c r="FM11" s="128" t="n"/>
      <c r="FN11" s="127" t="n"/>
      <c r="FO11" s="128" t="n"/>
      <c r="FP11" s="127" t="n"/>
      <c r="FQ11" s="128" t="n"/>
      <c r="FR11" s="127" t="n"/>
      <c r="FS11" s="128" t="n"/>
      <c r="FT11" s="129" t="n"/>
      <c r="FU11" s="130" t="n"/>
      <c r="FV11" s="131" t="n"/>
      <c r="FW11" s="130" t="n"/>
      <c r="FX11" s="131" t="n"/>
      <c r="FY11" s="130" t="n"/>
      <c r="FZ11" s="131" t="n"/>
      <c r="GA11" s="130" t="n"/>
      <c r="GB11" s="131" t="n"/>
      <c r="GC11" s="130" t="n"/>
      <c r="GD11" s="131" t="n"/>
      <c r="GE11" s="130" t="n"/>
      <c r="GF11" s="131" t="n"/>
      <c r="GG11" s="130" t="n"/>
      <c r="GH11" s="131" t="n"/>
      <c r="GI11" s="130" t="n"/>
      <c r="GJ11" s="131" t="n"/>
      <c r="GK11" s="132" t="n"/>
      <c r="GL11" s="133" t="n"/>
      <c r="GM11" s="134" t="n"/>
      <c r="GN11" s="133" t="n"/>
      <c r="GO11" s="134" t="n"/>
      <c r="GP11" s="133" t="n"/>
      <c r="GQ11" s="134" t="n"/>
      <c r="GR11" s="133" t="n"/>
      <c r="GS11" s="134" t="n"/>
      <c r="GT11" s="133" t="n"/>
      <c r="GU11" s="134" t="n"/>
      <c r="GV11" s="133" t="n"/>
      <c r="GW11" s="134" t="n"/>
      <c r="GX11" s="133" t="n"/>
      <c r="GY11" s="134" t="n"/>
      <c r="GZ11" s="133" t="n"/>
      <c r="HA11" s="134" t="n"/>
      <c r="HB11" s="135" t="n"/>
      <c r="HC11">
        <f>97-SUMPRODUCT(MAX(($G$4:$HB$4="ح")*($G11:$HB11=TRUE)*(97-$G$47:$HB$47)))</f>
        <v>97</v>
      </c>
      <c r="HD11">
        <f>SUMPRODUCT(($G$4:$HB$4="ح")*($G11:$HB11=TRUE)*($G$47:$HB$47&gt;$HC$1-8))</f>
        <v>0</v>
      </c>
      <c r="HE11">
        <f>(COUNTIF($G11:$V11,TRUE)&gt;0)*($W11&lt;&gt;TRUE)+(COUNTIF($X11:$AM11,TRUE)&gt;0)*($AN11&lt;&gt;TRUE)+(COUNTIF($AO11:$BD11,TRUE)&gt;0)*($BE11&lt;&gt;TRUE)+(COUNTIF($BF11:$BU11,TRUE)&gt;0)*($BV11&lt;&gt;TRUE)+(COUNTIF($BW11:$CL11,TRUE)&gt;0)*($CM11&lt;&gt;TRUE)+(COUNTIF($CN11:$DC11,TRUE)&gt;0)*($DD11&lt;&gt;TRUE)+(COUNTIF($DE11:$DT11,TRUE)&gt;0)*($DU11&lt;&gt;TRUE)+(COUNTIF($DV11:$EK11,TRUE)&gt;0)*($EL11&lt;&gt;TRUE)+(COUNTIF($EM11:$FB11,TRUE)&gt;0)*($FC11&lt;&gt;TRUE)+(COUNTIF($FD11:$FS11,TRUE)&gt;0)*($FT11&lt;&gt;TRUE)+(COUNTIF($FU11:$GJ11,TRUE)&gt;0)*($GK11&lt;&gt;TRUE)+(COUNTIF($GL11:$HA11,TRUE)&gt;0)*($HB11&lt;&gt;TRUE)</f>
        <v>0</v>
      </c>
      <c r="HF11">
        <f>IF($HE11=0,0,13-MAX((COUNTIF($G11:$V11,TRUE)&gt;0)*($W11&lt;&gt;TRUE)*12,(COUNTIF($X11:$AM11,TRUE)&gt;0)*($AN11&lt;&gt;TRUE)*11,(COUNTIF($AO11:$BD11,TRUE)&gt;0)*($BE11&lt;&gt;TRUE)*10,(COUNTIF($BF11:$BU11,TRUE)&gt;0)*($BV11&lt;&gt;TRUE)*9,(COUNTIF($BW11:$CL11,TRUE)&gt;0)*($CM11&lt;&gt;TRUE)*8,(COUNTIF($CN11:$DC11,TRUE)&gt;0)*($DD11&lt;&gt;TRUE)*7,(COUNTIF($DE11:$DT11,TRUE)&gt;0)*($DU11&lt;&gt;TRUE)*6,(COUNTIF($DV11:$EK11,TRUE)&gt;0)*($EL11&lt;&gt;TRUE)*5,(COUNTIF($EM11:$FB11,TRUE)&gt;0)*($FC11&lt;&gt;TRUE)*4,(COUNTIF($FD11:$FS11,TRUE)&gt;0)*($FT11&lt;&gt;TRUE)*3,(COUNTIF($FU11:$GJ11,TRUE)&gt;0)*($GK11&lt;&gt;TRUE)*2,(COUNTIF($GL11:$HA11,TRUE)&gt;0)*($HB11&lt;&gt;TRUE)*1))</f>
        <v>0</v>
      </c>
    </row>
    <row r="12" ht="22.5" customHeight="1">
      <c r="A12" s="36" t="n">
        <v>8</v>
      </c>
      <c r="B12" s="97" t="n"/>
      <c r="C12" s="28" t="n"/>
      <c r="D12" s="98" t="str">
        <f>IF($B12="","",IF($HC12=97,"-",IF($HD12=0,"متوقف",SUMPRODUCT(($G$4:$HB$4="ح")*($G$20:$HB$20&gt;0)*($G12:$HB12&lt;&gt;TRUE)*($G$47:$HB$47&gt;$HC$1-8)*($G$47:$HB$47&gt;=$HC12)))))</f>
        <v/>
      </c>
      <c r="E12" s="98" t="str">
        <f>IF(OR($B12="",$HC12=97),"",SUMPRODUCT(($G$4:$HA$4="ح")*($G12:$HA12=TRUE)*($H12:$HB12&lt;&gt;TRUE)*($G$47:$HA$47&gt;$HC$1-8)))</f>
        <v/>
      </c>
      <c r="F12" s="99" t="str">
        <f>IF($B12="","",IF($HE12=0,IF($HC12=97,"-","تمام"),IF($HE12=1,IF(INDEX($G$1:$HB$1,1,17*($HF12-1)+1)="","شهر "&amp;$HF12,INDEX($G$1:$HB$1,1,17*($HF12-1)+1)),IF($HE12=2,"شهرين",$HE12&amp;" شهور"))))</f>
        <v/>
      </c>
      <c r="G12" s="100" t="n"/>
      <c r="H12" s="101" t="n"/>
      <c r="I12" s="100" t="n"/>
      <c r="J12" s="101" t="n"/>
      <c r="K12" s="100" t="n"/>
      <c r="L12" s="101" t="n"/>
      <c r="M12" s="100" t="n"/>
      <c r="N12" s="101" t="n"/>
      <c r="O12" s="100" t="n"/>
      <c r="P12" s="101" t="n"/>
      <c r="Q12" s="100" t="n"/>
      <c r="R12" s="101" t="n"/>
      <c r="S12" s="100" t="n"/>
      <c r="T12" s="101" t="n"/>
      <c r="U12" s="100" t="n"/>
      <c r="V12" s="101" t="n"/>
      <c r="W12" s="102" t="n"/>
      <c r="X12" s="103" t="n"/>
      <c r="Y12" s="104" t="n"/>
      <c r="Z12" s="103" t="n"/>
      <c r="AA12" s="104" t="n"/>
      <c r="AB12" s="103" t="n"/>
      <c r="AC12" s="104" t="n"/>
      <c r="AD12" s="103" t="n"/>
      <c r="AE12" s="104" t="n"/>
      <c r="AF12" s="103" t="n"/>
      <c r="AG12" s="104" t="n"/>
      <c r="AH12" s="103" t="n"/>
      <c r="AI12" s="104" t="n"/>
      <c r="AJ12" s="103" t="n"/>
      <c r="AK12" s="104" t="n"/>
      <c r="AL12" s="103" t="n"/>
      <c r="AM12" s="104" t="n"/>
      <c r="AN12" s="105" t="n"/>
      <c r="AO12" s="106" t="n"/>
      <c r="AP12" s="107" t="n"/>
      <c r="AQ12" s="106" t="n"/>
      <c r="AR12" s="107" t="n"/>
      <c r="AS12" s="106" t="n"/>
      <c r="AT12" s="107" t="n"/>
      <c r="AU12" s="106" t="n"/>
      <c r="AV12" s="107" t="n"/>
      <c r="AW12" s="106" t="n"/>
      <c r="AX12" s="107" t="n"/>
      <c r="AY12" s="106" t="n"/>
      <c r="AZ12" s="107" t="n"/>
      <c r="BA12" s="106" t="n"/>
      <c r="BB12" s="107" t="n"/>
      <c r="BC12" s="106" t="n"/>
      <c r="BD12" s="107" t="n"/>
      <c r="BE12" s="108" t="n"/>
      <c r="BF12" s="109" t="n"/>
      <c r="BG12" s="110" t="n"/>
      <c r="BH12" s="109" t="n"/>
      <c r="BI12" s="110" t="n"/>
      <c r="BJ12" s="109" t="n"/>
      <c r="BK12" s="110" t="n"/>
      <c r="BL12" s="109" t="n"/>
      <c r="BM12" s="110" t="n"/>
      <c r="BN12" s="109" t="n"/>
      <c r="BO12" s="110" t="n"/>
      <c r="BP12" s="109" t="n"/>
      <c r="BQ12" s="110" t="n"/>
      <c r="BR12" s="109" t="n"/>
      <c r="BS12" s="110" t="n"/>
      <c r="BT12" s="109" t="n"/>
      <c r="BU12" s="110" t="n"/>
      <c r="BV12" s="111" t="n"/>
      <c r="BW12" s="112" t="n"/>
      <c r="BX12" s="113" t="n"/>
      <c r="BY12" s="112" t="n"/>
      <c r="BZ12" s="113" t="n"/>
      <c r="CA12" s="112" t="n"/>
      <c r="CB12" s="113" t="n"/>
      <c r="CC12" s="112" t="n"/>
      <c r="CD12" s="113" t="n"/>
      <c r="CE12" s="112" t="n"/>
      <c r="CF12" s="113" t="n"/>
      <c r="CG12" s="112" t="n"/>
      <c r="CH12" s="113" t="n"/>
      <c r="CI12" s="112" t="n"/>
      <c r="CJ12" s="113" t="n"/>
      <c r="CK12" s="112" t="n"/>
      <c r="CL12" s="113" t="n"/>
      <c r="CM12" s="114" t="n"/>
      <c r="CN12" s="115" t="n"/>
      <c r="CO12" s="116" t="n"/>
      <c r="CP12" s="115" t="n"/>
      <c r="CQ12" s="116" t="n"/>
      <c r="CR12" s="115" t="n"/>
      <c r="CS12" s="116" t="n"/>
      <c r="CT12" s="115" t="n"/>
      <c r="CU12" s="116" t="n"/>
      <c r="CV12" s="115" t="n"/>
      <c r="CW12" s="116" t="n"/>
      <c r="CX12" s="115" t="n"/>
      <c r="CY12" s="116" t="n"/>
      <c r="CZ12" s="115" t="n"/>
      <c r="DA12" s="116" t="n"/>
      <c r="DB12" s="115" t="n"/>
      <c r="DC12" s="116" t="n"/>
      <c r="DD12" s="117" t="n"/>
      <c r="DE12" s="118" t="n"/>
      <c r="DF12" s="119" t="n"/>
      <c r="DG12" s="118" t="n"/>
      <c r="DH12" s="119" t="n"/>
      <c r="DI12" s="118" t="n"/>
      <c r="DJ12" s="119" t="n"/>
      <c r="DK12" s="118" t="n"/>
      <c r="DL12" s="119" t="n"/>
      <c r="DM12" s="118" t="n"/>
      <c r="DN12" s="119" t="n"/>
      <c r="DO12" s="118" t="n"/>
      <c r="DP12" s="119" t="n"/>
      <c r="DQ12" s="118" t="n"/>
      <c r="DR12" s="119" t="n"/>
      <c r="DS12" s="118" t="n"/>
      <c r="DT12" s="119" t="n"/>
      <c r="DU12" s="120" t="n"/>
      <c r="DV12" s="121" t="n"/>
      <c r="DW12" s="122" t="n"/>
      <c r="DX12" s="121" t="n"/>
      <c r="DY12" s="122" t="n"/>
      <c r="DZ12" s="121" t="n"/>
      <c r="EA12" s="122" t="n"/>
      <c r="EB12" s="121" t="n"/>
      <c r="EC12" s="122" t="n"/>
      <c r="ED12" s="121" t="n"/>
      <c r="EE12" s="122" t="n"/>
      <c r="EF12" s="121" t="n"/>
      <c r="EG12" s="122" t="n"/>
      <c r="EH12" s="121" t="n"/>
      <c r="EI12" s="122" t="n"/>
      <c r="EJ12" s="121" t="n"/>
      <c r="EK12" s="122" t="n"/>
      <c r="EL12" s="123" t="n"/>
      <c r="EM12" s="124" t="n"/>
      <c r="EN12" s="125" t="n"/>
      <c r="EO12" s="124" t="n"/>
      <c r="EP12" s="125" t="n"/>
      <c r="EQ12" s="124" t="n"/>
      <c r="ER12" s="125" t="n"/>
      <c r="ES12" s="124" t="n"/>
      <c r="ET12" s="125" t="n"/>
      <c r="EU12" s="124" t="n"/>
      <c r="EV12" s="125" t="n"/>
      <c r="EW12" s="124" t="n"/>
      <c r="EX12" s="125" t="n"/>
      <c r="EY12" s="124" t="n"/>
      <c r="EZ12" s="125" t="n"/>
      <c r="FA12" s="124" t="n"/>
      <c r="FB12" s="125" t="n"/>
      <c r="FC12" s="126" t="n"/>
      <c r="FD12" s="127" t="n"/>
      <c r="FE12" s="128" t="n"/>
      <c r="FF12" s="127" t="n"/>
      <c r="FG12" s="128" t="n"/>
      <c r="FH12" s="127" t="n"/>
      <c r="FI12" s="128" t="n"/>
      <c r="FJ12" s="127" t="n"/>
      <c r="FK12" s="128" t="n"/>
      <c r="FL12" s="127" t="n"/>
      <c r="FM12" s="128" t="n"/>
      <c r="FN12" s="127" t="n"/>
      <c r="FO12" s="128" t="n"/>
      <c r="FP12" s="127" t="n"/>
      <c r="FQ12" s="128" t="n"/>
      <c r="FR12" s="127" t="n"/>
      <c r="FS12" s="128" t="n"/>
      <c r="FT12" s="129" t="n"/>
      <c r="FU12" s="130" t="n"/>
      <c r="FV12" s="131" t="n"/>
      <c r="FW12" s="130" t="n"/>
      <c r="FX12" s="131" t="n"/>
      <c r="FY12" s="130" t="n"/>
      <c r="FZ12" s="131" t="n"/>
      <c r="GA12" s="130" t="n"/>
      <c r="GB12" s="131" t="n"/>
      <c r="GC12" s="130" t="n"/>
      <c r="GD12" s="131" t="n"/>
      <c r="GE12" s="130" t="n"/>
      <c r="GF12" s="131" t="n"/>
      <c r="GG12" s="130" t="n"/>
      <c r="GH12" s="131" t="n"/>
      <c r="GI12" s="130" t="n"/>
      <c r="GJ12" s="131" t="n"/>
      <c r="GK12" s="132" t="n"/>
      <c r="GL12" s="133" t="n"/>
      <c r="GM12" s="134" t="n"/>
      <c r="GN12" s="133" t="n"/>
      <c r="GO12" s="134" t="n"/>
      <c r="GP12" s="133" t="n"/>
      <c r="GQ12" s="134" t="n"/>
      <c r="GR12" s="133" t="n"/>
      <c r="GS12" s="134" t="n"/>
      <c r="GT12" s="133" t="n"/>
      <c r="GU12" s="134" t="n"/>
      <c r="GV12" s="133" t="n"/>
      <c r="GW12" s="134" t="n"/>
      <c r="GX12" s="133" t="n"/>
      <c r="GY12" s="134" t="n"/>
      <c r="GZ12" s="133" t="n"/>
      <c r="HA12" s="134" t="n"/>
      <c r="HB12" s="135" t="n"/>
      <c r="HC12">
        <f>97-SUMPRODUCT(MAX(($G$4:$HB$4="ح")*($G12:$HB12=TRUE)*(97-$G$47:$HB$47)))</f>
        <v>97</v>
      </c>
      <c r="HD12">
        <f>SUMPRODUCT(($G$4:$HB$4="ح")*($G12:$HB12=TRUE)*($G$47:$HB$47&gt;$HC$1-8))</f>
        <v>0</v>
      </c>
      <c r="HE12">
        <f>(COUNTIF($G12:$V12,TRUE)&gt;0)*($W12&lt;&gt;TRUE)+(COUNTIF($X12:$AM12,TRUE)&gt;0)*($AN12&lt;&gt;TRUE)+(COUNTIF($AO12:$BD12,TRUE)&gt;0)*($BE12&lt;&gt;TRUE)+(COUNTIF($BF12:$BU12,TRUE)&gt;0)*($BV12&lt;&gt;TRUE)+(COUNTIF($BW12:$CL12,TRUE)&gt;0)*($CM12&lt;&gt;TRUE)+(COUNTIF($CN12:$DC12,TRUE)&gt;0)*($DD12&lt;&gt;TRUE)+(COUNTIF($DE12:$DT12,TRUE)&gt;0)*($DU12&lt;&gt;TRUE)+(COUNTIF($DV12:$EK12,TRUE)&gt;0)*($EL12&lt;&gt;TRUE)+(COUNTIF($EM12:$FB12,TRUE)&gt;0)*($FC12&lt;&gt;TRUE)+(COUNTIF($FD12:$FS12,TRUE)&gt;0)*($FT12&lt;&gt;TRUE)+(COUNTIF($FU12:$GJ12,TRUE)&gt;0)*($GK12&lt;&gt;TRUE)+(COUNTIF($GL12:$HA12,TRUE)&gt;0)*($HB12&lt;&gt;TRUE)</f>
        <v>0</v>
      </c>
      <c r="HF12">
        <f>IF($HE12=0,0,13-MAX((COUNTIF($G12:$V12,TRUE)&gt;0)*($W12&lt;&gt;TRUE)*12,(COUNTIF($X12:$AM12,TRUE)&gt;0)*($AN12&lt;&gt;TRUE)*11,(COUNTIF($AO12:$BD12,TRUE)&gt;0)*($BE12&lt;&gt;TRUE)*10,(COUNTIF($BF12:$BU12,TRUE)&gt;0)*($BV12&lt;&gt;TRUE)*9,(COUNTIF($BW12:$CL12,TRUE)&gt;0)*($CM12&lt;&gt;TRUE)*8,(COUNTIF($CN12:$DC12,TRUE)&gt;0)*($DD12&lt;&gt;TRUE)*7,(COUNTIF($DE12:$DT12,TRUE)&gt;0)*($DU12&lt;&gt;TRUE)*6,(COUNTIF($DV12:$EK12,TRUE)&gt;0)*($EL12&lt;&gt;TRUE)*5,(COUNTIF($EM12:$FB12,TRUE)&gt;0)*($FC12&lt;&gt;TRUE)*4,(COUNTIF($FD12:$FS12,TRUE)&gt;0)*($FT12&lt;&gt;TRUE)*3,(COUNTIF($FU12:$GJ12,TRUE)&gt;0)*($GK12&lt;&gt;TRUE)*2,(COUNTIF($GL12:$HA12,TRUE)&gt;0)*($HB12&lt;&gt;TRUE)*1))</f>
        <v>0</v>
      </c>
    </row>
    <row r="13" ht="22.5" customHeight="1">
      <c r="A13" s="36" t="n">
        <v>9</v>
      </c>
      <c r="B13" s="97" t="n"/>
      <c r="C13" s="28" t="n"/>
      <c r="D13" s="98" t="str">
        <f>IF($B13="","",IF($HC13=97,"-",IF($HD13=0,"متوقف",SUMPRODUCT(($G$4:$HB$4="ح")*($G$20:$HB$20&gt;0)*($G13:$HB13&lt;&gt;TRUE)*($G$47:$HB$47&gt;$HC$1-8)*($G$47:$HB$47&gt;=$HC13)))))</f>
        <v/>
      </c>
      <c r="E13" s="98" t="str">
        <f>IF(OR($B13="",$HC13=97),"",SUMPRODUCT(($G$4:$HA$4="ح")*($G13:$HA13=TRUE)*($H13:$HB13&lt;&gt;TRUE)*($G$47:$HA$47&gt;$HC$1-8)))</f>
        <v/>
      </c>
      <c r="F13" s="99" t="str">
        <f>IF($B13="","",IF($HE13=0,IF($HC13=97,"-","تمام"),IF($HE13=1,IF(INDEX($G$1:$HB$1,1,17*($HF13-1)+1)="","شهر "&amp;$HF13,INDEX($G$1:$HB$1,1,17*($HF13-1)+1)),IF($HE13=2,"شهرين",$HE13&amp;" شهور"))))</f>
        <v/>
      </c>
      <c r="G13" s="100" t="n"/>
      <c r="H13" s="101" t="n"/>
      <c r="I13" s="100" t="n"/>
      <c r="J13" s="101" t="n"/>
      <c r="K13" s="100" t="n"/>
      <c r="L13" s="101" t="n"/>
      <c r="M13" s="100" t="n"/>
      <c r="N13" s="101" t="n"/>
      <c r="O13" s="100" t="n"/>
      <c r="P13" s="101" t="n"/>
      <c r="Q13" s="100" t="n"/>
      <c r="R13" s="101" t="n"/>
      <c r="S13" s="100" t="n"/>
      <c r="T13" s="101" t="n"/>
      <c r="U13" s="100" t="n"/>
      <c r="V13" s="101" t="n"/>
      <c r="W13" s="102" t="n"/>
      <c r="X13" s="103" t="n"/>
      <c r="Y13" s="104" t="n"/>
      <c r="Z13" s="103" t="n"/>
      <c r="AA13" s="104" t="n"/>
      <c r="AB13" s="103" t="n"/>
      <c r="AC13" s="104" t="n"/>
      <c r="AD13" s="103" t="n"/>
      <c r="AE13" s="104" t="n"/>
      <c r="AF13" s="103" t="n"/>
      <c r="AG13" s="104" t="n"/>
      <c r="AH13" s="103" t="n"/>
      <c r="AI13" s="104" t="n"/>
      <c r="AJ13" s="103" t="n"/>
      <c r="AK13" s="104" t="n"/>
      <c r="AL13" s="103" t="n"/>
      <c r="AM13" s="104" t="n"/>
      <c r="AN13" s="105" t="n"/>
      <c r="AO13" s="106" t="n"/>
      <c r="AP13" s="107" t="n"/>
      <c r="AQ13" s="106" t="n"/>
      <c r="AR13" s="107" t="n"/>
      <c r="AS13" s="106" t="n"/>
      <c r="AT13" s="107" t="n"/>
      <c r="AU13" s="106" t="n"/>
      <c r="AV13" s="107" t="n"/>
      <c r="AW13" s="106" t="n"/>
      <c r="AX13" s="107" t="n"/>
      <c r="AY13" s="106" t="n"/>
      <c r="AZ13" s="107" t="n"/>
      <c r="BA13" s="106" t="n"/>
      <c r="BB13" s="107" t="n"/>
      <c r="BC13" s="106" t="n"/>
      <c r="BD13" s="107" t="n"/>
      <c r="BE13" s="108" t="n"/>
      <c r="BF13" s="109" t="n"/>
      <c r="BG13" s="110" t="n"/>
      <c r="BH13" s="109" t="n"/>
      <c r="BI13" s="110" t="n"/>
      <c r="BJ13" s="109" t="n"/>
      <c r="BK13" s="110" t="n"/>
      <c r="BL13" s="109" t="n"/>
      <c r="BM13" s="110" t="n"/>
      <c r="BN13" s="109" t="n"/>
      <c r="BO13" s="110" t="n"/>
      <c r="BP13" s="109" t="n"/>
      <c r="BQ13" s="110" t="n"/>
      <c r="BR13" s="109" t="n"/>
      <c r="BS13" s="110" t="n"/>
      <c r="BT13" s="109" t="n"/>
      <c r="BU13" s="110" t="n"/>
      <c r="BV13" s="111" t="n"/>
      <c r="BW13" s="112" t="n"/>
      <c r="BX13" s="113" t="n"/>
      <c r="BY13" s="112" t="n"/>
      <c r="BZ13" s="113" t="n"/>
      <c r="CA13" s="112" t="n"/>
      <c r="CB13" s="113" t="n"/>
      <c r="CC13" s="112" t="n"/>
      <c r="CD13" s="113" t="n"/>
      <c r="CE13" s="112" t="n"/>
      <c r="CF13" s="113" t="n"/>
      <c r="CG13" s="112" t="n"/>
      <c r="CH13" s="113" t="n"/>
      <c r="CI13" s="112" t="n"/>
      <c r="CJ13" s="113" t="n"/>
      <c r="CK13" s="112" t="n"/>
      <c r="CL13" s="113" t="n"/>
      <c r="CM13" s="114" t="n"/>
      <c r="CN13" s="115" t="n"/>
      <c r="CO13" s="116" t="n"/>
      <c r="CP13" s="115" t="n"/>
      <c r="CQ13" s="116" t="n"/>
      <c r="CR13" s="115" t="n"/>
      <c r="CS13" s="116" t="n"/>
      <c r="CT13" s="115" t="n"/>
      <c r="CU13" s="116" t="n"/>
      <c r="CV13" s="115" t="n"/>
      <c r="CW13" s="116" t="n"/>
      <c r="CX13" s="115" t="n"/>
      <c r="CY13" s="116" t="n"/>
      <c r="CZ13" s="115" t="n"/>
      <c r="DA13" s="116" t="n"/>
      <c r="DB13" s="115" t="n"/>
      <c r="DC13" s="116" t="n"/>
      <c r="DD13" s="117" t="n"/>
      <c r="DE13" s="118" t="n"/>
      <c r="DF13" s="119" t="n"/>
      <c r="DG13" s="118" t="n"/>
      <c r="DH13" s="119" t="n"/>
      <c r="DI13" s="118" t="n"/>
      <c r="DJ13" s="119" t="n"/>
      <c r="DK13" s="118" t="n"/>
      <c r="DL13" s="119" t="n"/>
      <c r="DM13" s="118" t="n"/>
      <c r="DN13" s="119" t="n"/>
      <c r="DO13" s="118" t="n"/>
      <c r="DP13" s="119" t="n"/>
      <c r="DQ13" s="118" t="n"/>
      <c r="DR13" s="119" t="n"/>
      <c r="DS13" s="118" t="n"/>
      <c r="DT13" s="119" t="n"/>
      <c r="DU13" s="120" t="n"/>
      <c r="DV13" s="121" t="n"/>
      <c r="DW13" s="122" t="n"/>
      <c r="DX13" s="121" t="n"/>
      <c r="DY13" s="122" t="n"/>
      <c r="DZ13" s="121" t="n"/>
      <c r="EA13" s="122" t="n"/>
      <c r="EB13" s="121" t="n"/>
      <c r="EC13" s="122" t="n"/>
      <c r="ED13" s="121" t="n"/>
      <c r="EE13" s="122" t="n"/>
      <c r="EF13" s="121" t="n"/>
      <c r="EG13" s="122" t="n"/>
      <c r="EH13" s="121" t="n"/>
      <c r="EI13" s="122" t="n"/>
      <c r="EJ13" s="121" t="n"/>
      <c r="EK13" s="122" t="n"/>
      <c r="EL13" s="123" t="n"/>
      <c r="EM13" s="124" t="n"/>
      <c r="EN13" s="125" t="n"/>
      <c r="EO13" s="124" t="n"/>
      <c r="EP13" s="125" t="n"/>
      <c r="EQ13" s="124" t="n"/>
      <c r="ER13" s="125" t="n"/>
      <c r="ES13" s="124" t="n"/>
      <c r="ET13" s="125" t="n"/>
      <c r="EU13" s="124" t="n"/>
      <c r="EV13" s="125" t="n"/>
      <c r="EW13" s="124" t="n"/>
      <c r="EX13" s="125" t="n"/>
      <c r="EY13" s="124" t="n"/>
      <c r="EZ13" s="125" t="n"/>
      <c r="FA13" s="124" t="n"/>
      <c r="FB13" s="125" t="n"/>
      <c r="FC13" s="126" t="n"/>
      <c r="FD13" s="127" t="n"/>
      <c r="FE13" s="128" t="n"/>
      <c r="FF13" s="127" t="n"/>
      <c r="FG13" s="128" t="n"/>
      <c r="FH13" s="127" t="n"/>
      <c r="FI13" s="128" t="n"/>
      <c r="FJ13" s="127" t="n"/>
      <c r="FK13" s="128" t="n"/>
      <c r="FL13" s="127" t="n"/>
      <c r="FM13" s="128" t="n"/>
      <c r="FN13" s="127" t="n"/>
      <c r="FO13" s="128" t="n"/>
      <c r="FP13" s="127" t="n"/>
      <c r="FQ13" s="128" t="n"/>
      <c r="FR13" s="127" t="n"/>
      <c r="FS13" s="128" t="n"/>
      <c r="FT13" s="129" t="n"/>
      <c r="FU13" s="130" t="n"/>
      <c r="FV13" s="131" t="n"/>
      <c r="FW13" s="130" t="n"/>
      <c r="FX13" s="131" t="n"/>
      <c r="FY13" s="130" t="n"/>
      <c r="FZ13" s="131" t="n"/>
      <c r="GA13" s="130" t="n"/>
      <c r="GB13" s="131" t="n"/>
      <c r="GC13" s="130" t="n"/>
      <c r="GD13" s="131" t="n"/>
      <c r="GE13" s="130" t="n"/>
      <c r="GF13" s="131" t="n"/>
      <c r="GG13" s="130" t="n"/>
      <c r="GH13" s="131" t="n"/>
      <c r="GI13" s="130" t="n"/>
      <c r="GJ13" s="131" t="n"/>
      <c r="GK13" s="132" t="n"/>
      <c r="GL13" s="133" t="n"/>
      <c r="GM13" s="134" t="n"/>
      <c r="GN13" s="133" t="n"/>
      <c r="GO13" s="134" t="n"/>
      <c r="GP13" s="133" t="n"/>
      <c r="GQ13" s="134" t="n"/>
      <c r="GR13" s="133" t="n"/>
      <c r="GS13" s="134" t="n"/>
      <c r="GT13" s="133" t="n"/>
      <c r="GU13" s="134" t="n"/>
      <c r="GV13" s="133" t="n"/>
      <c r="GW13" s="134" t="n"/>
      <c r="GX13" s="133" t="n"/>
      <c r="GY13" s="134" t="n"/>
      <c r="GZ13" s="133" t="n"/>
      <c r="HA13" s="134" t="n"/>
      <c r="HB13" s="135" t="n"/>
      <c r="HC13">
        <f>97-SUMPRODUCT(MAX(($G$4:$HB$4="ح")*($G13:$HB13=TRUE)*(97-$G$47:$HB$47)))</f>
        <v>97</v>
      </c>
      <c r="HD13">
        <f>SUMPRODUCT(($G$4:$HB$4="ح")*($G13:$HB13=TRUE)*($G$47:$HB$47&gt;$HC$1-8))</f>
        <v>0</v>
      </c>
      <c r="HE13">
        <f>(COUNTIF($G13:$V13,TRUE)&gt;0)*($W13&lt;&gt;TRUE)+(COUNTIF($X13:$AM13,TRUE)&gt;0)*($AN13&lt;&gt;TRUE)+(COUNTIF($AO13:$BD13,TRUE)&gt;0)*($BE13&lt;&gt;TRUE)+(COUNTIF($BF13:$BU13,TRUE)&gt;0)*($BV13&lt;&gt;TRUE)+(COUNTIF($BW13:$CL13,TRUE)&gt;0)*($CM13&lt;&gt;TRUE)+(COUNTIF($CN13:$DC13,TRUE)&gt;0)*($DD13&lt;&gt;TRUE)+(COUNTIF($DE13:$DT13,TRUE)&gt;0)*($DU13&lt;&gt;TRUE)+(COUNTIF($DV13:$EK13,TRUE)&gt;0)*($EL13&lt;&gt;TRUE)+(COUNTIF($EM13:$FB13,TRUE)&gt;0)*($FC13&lt;&gt;TRUE)+(COUNTIF($FD13:$FS13,TRUE)&gt;0)*($FT13&lt;&gt;TRUE)+(COUNTIF($FU13:$GJ13,TRUE)&gt;0)*($GK13&lt;&gt;TRUE)+(COUNTIF($GL13:$HA13,TRUE)&gt;0)*($HB13&lt;&gt;TRUE)</f>
        <v>0</v>
      </c>
      <c r="HF13">
        <f>IF($HE13=0,0,13-MAX((COUNTIF($G13:$V13,TRUE)&gt;0)*($W13&lt;&gt;TRUE)*12,(COUNTIF($X13:$AM13,TRUE)&gt;0)*($AN13&lt;&gt;TRUE)*11,(COUNTIF($AO13:$BD13,TRUE)&gt;0)*($BE13&lt;&gt;TRUE)*10,(COUNTIF($BF13:$BU13,TRUE)&gt;0)*($BV13&lt;&gt;TRUE)*9,(COUNTIF($BW13:$CL13,TRUE)&gt;0)*($CM13&lt;&gt;TRUE)*8,(COUNTIF($CN13:$DC13,TRUE)&gt;0)*($DD13&lt;&gt;TRUE)*7,(COUNTIF($DE13:$DT13,TRUE)&gt;0)*($DU13&lt;&gt;TRUE)*6,(COUNTIF($DV13:$EK13,TRUE)&gt;0)*($EL13&lt;&gt;TRUE)*5,(COUNTIF($EM13:$FB13,TRUE)&gt;0)*($FC13&lt;&gt;TRUE)*4,(COUNTIF($FD13:$FS13,TRUE)&gt;0)*($FT13&lt;&gt;TRUE)*3,(COUNTIF($FU13:$GJ13,TRUE)&gt;0)*($GK13&lt;&gt;TRUE)*2,(COUNTIF($GL13:$HA13,TRUE)&gt;0)*($HB13&lt;&gt;TRUE)*1))</f>
        <v>0</v>
      </c>
    </row>
    <row r="14" ht="22.5" customHeight="1">
      <c r="A14" s="36" t="n">
        <v>10</v>
      </c>
      <c r="B14" s="97" t="n"/>
      <c r="C14" s="28" t="n"/>
      <c r="D14" s="98" t="str">
        <f>IF($B14="","",IF($HC14=97,"-",IF($HD14=0,"متوقف",SUMPRODUCT(($G$4:$HB$4="ح")*($G$20:$HB$20&gt;0)*($G14:$HB14&lt;&gt;TRUE)*($G$47:$HB$47&gt;$HC$1-8)*($G$47:$HB$47&gt;=$HC14)))))</f>
        <v/>
      </c>
      <c r="E14" s="98" t="str">
        <f>IF(OR($B14="",$HC14=97),"",SUMPRODUCT(($G$4:$HA$4="ح")*($G14:$HA14=TRUE)*($H14:$HB14&lt;&gt;TRUE)*($G$47:$HA$47&gt;$HC$1-8)))</f>
        <v/>
      </c>
      <c r="F14" s="99" t="str">
        <f>IF($B14="","",IF($HE14=0,IF($HC14=97,"-","تمام"),IF($HE14=1,IF(INDEX($G$1:$HB$1,1,17*($HF14-1)+1)="","شهر "&amp;$HF14,INDEX($G$1:$HB$1,1,17*($HF14-1)+1)),IF($HE14=2,"شهرين",$HE14&amp;" شهور"))))</f>
        <v/>
      </c>
      <c r="G14" s="100" t="n"/>
      <c r="H14" s="101" t="n"/>
      <c r="I14" s="100" t="n"/>
      <c r="J14" s="101" t="n"/>
      <c r="K14" s="100" t="n"/>
      <c r="L14" s="101" t="n"/>
      <c r="M14" s="100" t="n"/>
      <c r="N14" s="101" t="n"/>
      <c r="O14" s="100" t="n"/>
      <c r="P14" s="101" t="n"/>
      <c r="Q14" s="100" t="n"/>
      <c r="R14" s="101" t="n"/>
      <c r="S14" s="100" t="n"/>
      <c r="T14" s="101" t="n"/>
      <c r="U14" s="100" t="n"/>
      <c r="V14" s="101" t="n"/>
      <c r="W14" s="102" t="n"/>
      <c r="X14" s="103" t="n"/>
      <c r="Y14" s="104" t="n"/>
      <c r="Z14" s="103" t="n"/>
      <c r="AA14" s="104" t="n"/>
      <c r="AB14" s="103" t="n"/>
      <c r="AC14" s="104" t="n"/>
      <c r="AD14" s="103" t="n"/>
      <c r="AE14" s="104" t="n"/>
      <c r="AF14" s="103" t="n"/>
      <c r="AG14" s="104" t="n"/>
      <c r="AH14" s="103" t="n"/>
      <c r="AI14" s="104" t="n"/>
      <c r="AJ14" s="103" t="n"/>
      <c r="AK14" s="104" t="n"/>
      <c r="AL14" s="103" t="n"/>
      <c r="AM14" s="104" t="n"/>
      <c r="AN14" s="105" t="n"/>
      <c r="AO14" s="106" t="n"/>
      <c r="AP14" s="107" t="n"/>
      <c r="AQ14" s="106" t="n"/>
      <c r="AR14" s="107" t="n"/>
      <c r="AS14" s="106" t="n"/>
      <c r="AT14" s="107" t="n"/>
      <c r="AU14" s="106" t="n"/>
      <c r="AV14" s="107" t="n"/>
      <c r="AW14" s="106" t="n"/>
      <c r="AX14" s="107" t="n"/>
      <c r="AY14" s="106" t="n"/>
      <c r="AZ14" s="107" t="n"/>
      <c r="BA14" s="106" t="n"/>
      <c r="BB14" s="107" t="n"/>
      <c r="BC14" s="106" t="n"/>
      <c r="BD14" s="107" t="n"/>
      <c r="BE14" s="108" t="n"/>
      <c r="BF14" s="109" t="n"/>
      <c r="BG14" s="110" t="n"/>
      <c r="BH14" s="109" t="n"/>
      <c r="BI14" s="110" t="n"/>
      <c r="BJ14" s="109" t="n"/>
      <c r="BK14" s="110" t="n"/>
      <c r="BL14" s="109" t="n"/>
      <c r="BM14" s="110" t="n"/>
      <c r="BN14" s="109" t="n"/>
      <c r="BO14" s="110" t="n"/>
      <c r="BP14" s="109" t="n"/>
      <c r="BQ14" s="110" t="n"/>
      <c r="BR14" s="109" t="n"/>
      <c r="BS14" s="110" t="n"/>
      <c r="BT14" s="109" t="n"/>
      <c r="BU14" s="110" t="n"/>
      <c r="BV14" s="111" t="n"/>
      <c r="BW14" s="112" t="n"/>
      <c r="BX14" s="113" t="n"/>
      <c r="BY14" s="112" t="n"/>
      <c r="BZ14" s="113" t="n"/>
      <c r="CA14" s="112" t="n"/>
      <c r="CB14" s="113" t="n"/>
      <c r="CC14" s="112" t="n"/>
      <c r="CD14" s="113" t="n"/>
      <c r="CE14" s="112" t="n"/>
      <c r="CF14" s="113" t="n"/>
      <c r="CG14" s="112" t="n"/>
      <c r="CH14" s="113" t="n"/>
      <c r="CI14" s="112" t="n"/>
      <c r="CJ14" s="113" t="n"/>
      <c r="CK14" s="112" t="n"/>
      <c r="CL14" s="113" t="n"/>
      <c r="CM14" s="114" t="n"/>
      <c r="CN14" s="115" t="n"/>
      <c r="CO14" s="116" t="n"/>
      <c r="CP14" s="115" t="n"/>
      <c r="CQ14" s="116" t="n"/>
      <c r="CR14" s="115" t="n"/>
      <c r="CS14" s="116" t="n"/>
      <c r="CT14" s="115" t="n"/>
      <c r="CU14" s="116" t="n"/>
      <c r="CV14" s="115" t="n"/>
      <c r="CW14" s="116" t="n"/>
      <c r="CX14" s="115" t="n"/>
      <c r="CY14" s="116" t="n"/>
      <c r="CZ14" s="115" t="n"/>
      <c r="DA14" s="116" t="n"/>
      <c r="DB14" s="115" t="n"/>
      <c r="DC14" s="116" t="n"/>
      <c r="DD14" s="117" t="n"/>
      <c r="DE14" s="118" t="n"/>
      <c r="DF14" s="119" t="n"/>
      <c r="DG14" s="118" t="n"/>
      <c r="DH14" s="119" t="n"/>
      <c r="DI14" s="118" t="n"/>
      <c r="DJ14" s="119" t="n"/>
      <c r="DK14" s="118" t="n"/>
      <c r="DL14" s="119" t="n"/>
      <c r="DM14" s="118" t="n"/>
      <c r="DN14" s="119" t="n"/>
      <c r="DO14" s="118" t="n"/>
      <c r="DP14" s="119" t="n"/>
      <c r="DQ14" s="118" t="n"/>
      <c r="DR14" s="119" t="n"/>
      <c r="DS14" s="118" t="n"/>
      <c r="DT14" s="119" t="n"/>
      <c r="DU14" s="120" t="n"/>
      <c r="DV14" s="121" t="n"/>
      <c r="DW14" s="122" t="n"/>
      <c r="DX14" s="121" t="n"/>
      <c r="DY14" s="122" t="n"/>
      <c r="DZ14" s="121" t="n"/>
      <c r="EA14" s="122" t="n"/>
      <c r="EB14" s="121" t="n"/>
      <c r="EC14" s="122" t="n"/>
      <c r="ED14" s="121" t="n"/>
      <c r="EE14" s="122" t="n"/>
      <c r="EF14" s="121" t="n"/>
      <c r="EG14" s="122" t="n"/>
      <c r="EH14" s="121" t="n"/>
      <c r="EI14" s="122" t="n"/>
      <c r="EJ14" s="121" t="n"/>
      <c r="EK14" s="122" t="n"/>
      <c r="EL14" s="123" t="n"/>
      <c r="EM14" s="124" t="n"/>
      <c r="EN14" s="125" t="n"/>
      <c r="EO14" s="124" t="n"/>
      <c r="EP14" s="125" t="n"/>
      <c r="EQ14" s="124" t="n"/>
      <c r="ER14" s="125" t="n"/>
      <c r="ES14" s="124" t="n"/>
      <c r="ET14" s="125" t="n"/>
      <c r="EU14" s="124" t="n"/>
      <c r="EV14" s="125" t="n"/>
      <c r="EW14" s="124" t="n"/>
      <c r="EX14" s="125" t="n"/>
      <c r="EY14" s="124" t="n"/>
      <c r="EZ14" s="125" t="n"/>
      <c r="FA14" s="124" t="n"/>
      <c r="FB14" s="125" t="n"/>
      <c r="FC14" s="126" t="n"/>
      <c r="FD14" s="127" t="n"/>
      <c r="FE14" s="128" t="n"/>
      <c r="FF14" s="127" t="n"/>
      <c r="FG14" s="128" t="n"/>
      <c r="FH14" s="127" t="n"/>
      <c r="FI14" s="128" t="n"/>
      <c r="FJ14" s="127" t="n"/>
      <c r="FK14" s="128" t="n"/>
      <c r="FL14" s="127" t="n"/>
      <c r="FM14" s="128" t="n"/>
      <c r="FN14" s="127" t="n"/>
      <c r="FO14" s="128" t="n"/>
      <c r="FP14" s="127" t="n"/>
      <c r="FQ14" s="128" t="n"/>
      <c r="FR14" s="127" t="n"/>
      <c r="FS14" s="128" t="n"/>
      <c r="FT14" s="129" t="n"/>
      <c r="FU14" s="130" t="n"/>
      <c r="FV14" s="131" t="n"/>
      <c r="FW14" s="130" t="n"/>
      <c r="FX14" s="131" t="n"/>
      <c r="FY14" s="130" t="n"/>
      <c r="FZ14" s="131" t="n"/>
      <c r="GA14" s="130" t="n"/>
      <c r="GB14" s="131" t="n"/>
      <c r="GC14" s="130" t="n"/>
      <c r="GD14" s="131" t="n"/>
      <c r="GE14" s="130" t="n"/>
      <c r="GF14" s="131" t="n"/>
      <c r="GG14" s="130" t="n"/>
      <c r="GH14" s="131" t="n"/>
      <c r="GI14" s="130" t="n"/>
      <c r="GJ14" s="131" t="n"/>
      <c r="GK14" s="132" t="n"/>
      <c r="GL14" s="133" t="n"/>
      <c r="GM14" s="134" t="n"/>
      <c r="GN14" s="133" t="n"/>
      <c r="GO14" s="134" t="n"/>
      <c r="GP14" s="133" t="n"/>
      <c r="GQ14" s="134" t="n"/>
      <c r="GR14" s="133" t="n"/>
      <c r="GS14" s="134" t="n"/>
      <c r="GT14" s="133" t="n"/>
      <c r="GU14" s="134" t="n"/>
      <c r="GV14" s="133" t="n"/>
      <c r="GW14" s="134" t="n"/>
      <c r="GX14" s="133" t="n"/>
      <c r="GY14" s="134" t="n"/>
      <c r="GZ14" s="133" t="n"/>
      <c r="HA14" s="134" t="n"/>
      <c r="HB14" s="135" t="n"/>
      <c r="HC14">
        <f>97-SUMPRODUCT(MAX(($G$4:$HB$4="ح")*($G14:$HB14=TRUE)*(97-$G$47:$HB$47)))</f>
        <v>97</v>
      </c>
      <c r="HD14">
        <f>SUMPRODUCT(($G$4:$HB$4="ح")*($G14:$HB14=TRUE)*($G$47:$HB$47&gt;$HC$1-8))</f>
        <v>0</v>
      </c>
      <c r="HE14">
        <f>(COUNTIF($G14:$V14,TRUE)&gt;0)*($W14&lt;&gt;TRUE)+(COUNTIF($X14:$AM14,TRUE)&gt;0)*($AN14&lt;&gt;TRUE)+(COUNTIF($AO14:$BD14,TRUE)&gt;0)*($BE14&lt;&gt;TRUE)+(COUNTIF($BF14:$BU14,TRUE)&gt;0)*($BV14&lt;&gt;TRUE)+(COUNTIF($BW14:$CL14,TRUE)&gt;0)*($CM14&lt;&gt;TRUE)+(COUNTIF($CN14:$DC14,TRUE)&gt;0)*($DD14&lt;&gt;TRUE)+(COUNTIF($DE14:$DT14,TRUE)&gt;0)*($DU14&lt;&gt;TRUE)+(COUNTIF($DV14:$EK14,TRUE)&gt;0)*($EL14&lt;&gt;TRUE)+(COUNTIF($EM14:$FB14,TRUE)&gt;0)*($FC14&lt;&gt;TRUE)+(COUNTIF($FD14:$FS14,TRUE)&gt;0)*($FT14&lt;&gt;TRUE)+(COUNTIF($FU14:$GJ14,TRUE)&gt;0)*($GK14&lt;&gt;TRUE)+(COUNTIF($GL14:$HA14,TRUE)&gt;0)*($HB14&lt;&gt;TRUE)</f>
        <v>0</v>
      </c>
      <c r="HF14">
        <f>IF($HE14=0,0,13-MAX((COUNTIF($G14:$V14,TRUE)&gt;0)*($W14&lt;&gt;TRUE)*12,(COUNTIF($X14:$AM14,TRUE)&gt;0)*($AN14&lt;&gt;TRUE)*11,(COUNTIF($AO14:$BD14,TRUE)&gt;0)*($BE14&lt;&gt;TRUE)*10,(COUNTIF($BF14:$BU14,TRUE)&gt;0)*($BV14&lt;&gt;TRUE)*9,(COUNTIF($BW14:$CL14,TRUE)&gt;0)*($CM14&lt;&gt;TRUE)*8,(COUNTIF($CN14:$DC14,TRUE)&gt;0)*($DD14&lt;&gt;TRUE)*7,(COUNTIF($DE14:$DT14,TRUE)&gt;0)*($DU14&lt;&gt;TRUE)*6,(COUNTIF($DV14:$EK14,TRUE)&gt;0)*($EL14&lt;&gt;TRUE)*5,(COUNTIF($EM14:$FB14,TRUE)&gt;0)*($FC14&lt;&gt;TRUE)*4,(COUNTIF($FD14:$FS14,TRUE)&gt;0)*($FT14&lt;&gt;TRUE)*3,(COUNTIF($FU14:$GJ14,TRUE)&gt;0)*($GK14&lt;&gt;TRUE)*2,(COUNTIF($GL14:$HA14,TRUE)&gt;0)*($HB14&lt;&gt;TRUE)*1))</f>
        <v>0</v>
      </c>
    </row>
    <row r="15" ht="22.5" customHeight="1">
      <c r="A15" s="36" t="n">
        <v>11</v>
      </c>
      <c r="B15" s="97" t="n"/>
      <c r="C15" s="28" t="n"/>
      <c r="D15" s="98" t="str">
        <f>IF($B15="","",IF($HC15=97,"-",IF($HD15=0,"متوقف",SUMPRODUCT(($G$4:$HB$4="ح")*($G$20:$HB$20&gt;0)*($G15:$HB15&lt;&gt;TRUE)*($G$47:$HB$47&gt;$HC$1-8)*($G$47:$HB$47&gt;=$HC15)))))</f>
        <v/>
      </c>
      <c r="E15" s="98" t="str">
        <f>IF(OR($B15="",$HC15=97),"",SUMPRODUCT(($G$4:$HA$4="ح")*($G15:$HA15=TRUE)*($H15:$HB15&lt;&gt;TRUE)*($G$47:$HA$47&gt;$HC$1-8)))</f>
        <v/>
      </c>
      <c r="F15" s="99" t="str">
        <f>IF($B15="","",IF($HE15=0,IF($HC15=97,"-","تمام"),IF($HE15=1,IF(INDEX($G$1:$HB$1,1,17*($HF15-1)+1)="","شهر "&amp;$HF15,INDEX($G$1:$HB$1,1,17*($HF15-1)+1)),IF($HE15=2,"شهرين",$HE15&amp;" شهور"))))</f>
        <v/>
      </c>
      <c r="G15" s="100" t="n"/>
      <c r="H15" s="101" t="n"/>
      <c r="I15" s="100" t="n"/>
      <c r="J15" s="101" t="n"/>
      <c r="K15" s="100" t="n"/>
      <c r="L15" s="101" t="n"/>
      <c r="M15" s="100" t="n"/>
      <c r="N15" s="101" t="n"/>
      <c r="O15" s="100" t="n"/>
      <c r="P15" s="101" t="n"/>
      <c r="Q15" s="100" t="n"/>
      <c r="R15" s="101" t="n"/>
      <c r="S15" s="100" t="n"/>
      <c r="T15" s="101" t="n"/>
      <c r="U15" s="100" t="n"/>
      <c r="V15" s="101" t="n"/>
      <c r="W15" s="102" t="n"/>
      <c r="X15" s="103" t="n"/>
      <c r="Y15" s="104" t="n"/>
      <c r="Z15" s="103" t="n"/>
      <c r="AA15" s="104" t="n"/>
      <c r="AB15" s="103" t="n"/>
      <c r="AC15" s="104" t="n"/>
      <c r="AD15" s="103" t="n"/>
      <c r="AE15" s="104" t="n"/>
      <c r="AF15" s="103" t="n"/>
      <c r="AG15" s="104" t="n"/>
      <c r="AH15" s="103" t="n"/>
      <c r="AI15" s="104" t="n"/>
      <c r="AJ15" s="103" t="n"/>
      <c r="AK15" s="104" t="n"/>
      <c r="AL15" s="103" t="n"/>
      <c r="AM15" s="104" t="n"/>
      <c r="AN15" s="105" t="n"/>
      <c r="AO15" s="106" t="n"/>
      <c r="AP15" s="107" t="n"/>
      <c r="AQ15" s="106" t="n"/>
      <c r="AR15" s="107" t="n"/>
      <c r="AS15" s="106" t="n"/>
      <c r="AT15" s="107" t="n"/>
      <c r="AU15" s="106" t="n"/>
      <c r="AV15" s="107" t="n"/>
      <c r="AW15" s="106" t="n"/>
      <c r="AX15" s="107" t="n"/>
      <c r="AY15" s="106" t="n"/>
      <c r="AZ15" s="107" t="n"/>
      <c r="BA15" s="106" t="n"/>
      <c r="BB15" s="107" t="n"/>
      <c r="BC15" s="106" t="n"/>
      <c r="BD15" s="107" t="n"/>
      <c r="BE15" s="108" t="n"/>
      <c r="BF15" s="109" t="n"/>
      <c r="BG15" s="110" t="n"/>
      <c r="BH15" s="109" t="n"/>
      <c r="BI15" s="110" t="n"/>
      <c r="BJ15" s="109" t="n"/>
      <c r="BK15" s="110" t="n"/>
      <c r="BL15" s="109" t="n"/>
      <c r="BM15" s="110" t="n"/>
      <c r="BN15" s="109" t="n"/>
      <c r="BO15" s="110" t="n"/>
      <c r="BP15" s="109" t="n"/>
      <c r="BQ15" s="110" t="n"/>
      <c r="BR15" s="109" t="n"/>
      <c r="BS15" s="110" t="n"/>
      <c r="BT15" s="109" t="n"/>
      <c r="BU15" s="110" t="n"/>
      <c r="BV15" s="111" t="n"/>
      <c r="BW15" s="112" t="n"/>
      <c r="BX15" s="113" t="n"/>
      <c r="BY15" s="112" t="n"/>
      <c r="BZ15" s="113" t="n"/>
      <c r="CA15" s="112" t="n"/>
      <c r="CB15" s="113" t="n"/>
      <c r="CC15" s="112" t="n"/>
      <c r="CD15" s="113" t="n"/>
      <c r="CE15" s="112" t="n"/>
      <c r="CF15" s="113" t="n"/>
      <c r="CG15" s="112" t="n"/>
      <c r="CH15" s="113" t="n"/>
      <c r="CI15" s="112" t="n"/>
      <c r="CJ15" s="113" t="n"/>
      <c r="CK15" s="112" t="n"/>
      <c r="CL15" s="113" t="n"/>
      <c r="CM15" s="114" t="n"/>
      <c r="CN15" s="115" t="n"/>
      <c r="CO15" s="116" t="n"/>
      <c r="CP15" s="115" t="n"/>
      <c r="CQ15" s="116" t="n"/>
      <c r="CR15" s="115" t="n"/>
      <c r="CS15" s="116" t="n"/>
      <c r="CT15" s="115" t="n"/>
      <c r="CU15" s="116" t="n"/>
      <c r="CV15" s="115" t="n"/>
      <c r="CW15" s="116" t="n"/>
      <c r="CX15" s="115" t="n"/>
      <c r="CY15" s="116" t="n"/>
      <c r="CZ15" s="115" t="n"/>
      <c r="DA15" s="116" t="n"/>
      <c r="DB15" s="115" t="n"/>
      <c r="DC15" s="116" t="n"/>
      <c r="DD15" s="117" t="n"/>
      <c r="DE15" s="118" t="n"/>
      <c r="DF15" s="119" t="n"/>
      <c r="DG15" s="118" t="n"/>
      <c r="DH15" s="119" t="n"/>
      <c r="DI15" s="118" t="n"/>
      <c r="DJ15" s="119" t="n"/>
      <c r="DK15" s="118" t="n"/>
      <c r="DL15" s="119" t="n"/>
      <c r="DM15" s="118" t="n"/>
      <c r="DN15" s="119" t="n"/>
      <c r="DO15" s="118" t="n"/>
      <c r="DP15" s="119" t="n"/>
      <c r="DQ15" s="118" t="n"/>
      <c r="DR15" s="119" t="n"/>
      <c r="DS15" s="118" t="n"/>
      <c r="DT15" s="119" t="n"/>
      <c r="DU15" s="120" t="n"/>
      <c r="DV15" s="121" t="n"/>
      <c r="DW15" s="122" t="n"/>
      <c r="DX15" s="121" t="n"/>
      <c r="DY15" s="122" t="n"/>
      <c r="DZ15" s="121" t="n"/>
      <c r="EA15" s="122" t="n"/>
      <c r="EB15" s="121" t="n"/>
      <c r="EC15" s="122" t="n"/>
      <c r="ED15" s="121" t="n"/>
      <c r="EE15" s="122" t="n"/>
      <c r="EF15" s="121" t="n"/>
      <c r="EG15" s="122" t="n"/>
      <c r="EH15" s="121" t="n"/>
      <c r="EI15" s="122" t="n"/>
      <c r="EJ15" s="121" t="n"/>
      <c r="EK15" s="122" t="n"/>
      <c r="EL15" s="123" t="n"/>
      <c r="EM15" s="124" t="n"/>
      <c r="EN15" s="125" t="n"/>
      <c r="EO15" s="124" t="n"/>
      <c r="EP15" s="125" t="n"/>
      <c r="EQ15" s="124" t="n"/>
      <c r="ER15" s="125" t="n"/>
      <c r="ES15" s="124" t="n"/>
      <c r="ET15" s="125" t="n"/>
      <c r="EU15" s="124" t="n"/>
      <c r="EV15" s="125" t="n"/>
      <c r="EW15" s="124" t="n"/>
      <c r="EX15" s="125" t="n"/>
      <c r="EY15" s="124" t="n"/>
      <c r="EZ15" s="125" t="n"/>
      <c r="FA15" s="124" t="n"/>
      <c r="FB15" s="125" t="n"/>
      <c r="FC15" s="126" t="n"/>
      <c r="FD15" s="127" t="n"/>
      <c r="FE15" s="128" t="n"/>
      <c r="FF15" s="127" t="n"/>
      <c r="FG15" s="128" t="n"/>
      <c r="FH15" s="127" t="n"/>
      <c r="FI15" s="128" t="n"/>
      <c r="FJ15" s="127" t="n"/>
      <c r="FK15" s="128" t="n"/>
      <c r="FL15" s="127" t="n"/>
      <c r="FM15" s="128" t="n"/>
      <c r="FN15" s="127" t="n"/>
      <c r="FO15" s="128" t="n"/>
      <c r="FP15" s="127" t="n"/>
      <c r="FQ15" s="128" t="n"/>
      <c r="FR15" s="127" t="n"/>
      <c r="FS15" s="128" t="n"/>
      <c r="FT15" s="129" t="n"/>
      <c r="FU15" s="130" t="n"/>
      <c r="FV15" s="131" t="n"/>
      <c r="FW15" s="130" t="n"/>
      <c r="FX15" s="131" t="n"/>
      <c r="FY15" s="130" t="n"/>
      <c r="FZ15" s="131" t="n"/>
      <c r="GA15" s="130" t="n"/>
      <c r="GB15" s="131" t="n"/>
      <c r="GC15" s="130" t="n"/>
      <c r="GD15" s="131" t="n"/>
      <c r="GE15" s="130" t="n"/>
      <c r="GF15" s="131" t="n"/>
      <c r="GG15" s="130" t="n"/>
      <c r="GH15" s="131" t="n"/>
      <c r="GI15" s="130" t="n"/>
      <c r="GJ15" s="131" t="n"/>
      <c r="GK15" s="132" t="n"/>
      <c r="GL15" s="133" t="n"/>
      <c r="GM15" s="134" t="n"/>
      <c r="GN15" s="133" t="n"/>
      <c r="GO15" s="134" t="n"/>
      <c r="GP15" s="133" t="n"/>
      <c r="GQ15" s="134" t="n"/>
      <c r="GR15" s="133" t="n"/>
      <c r="GS15" s="134" t="n"/>
      <c r="GT15" s="133" t="n"/>
      <c r="GU15" s="134" t="n"/>
      <c r="GV15" s="133" t="n"/>
      <c r="GW15" s="134" t="n"/>
      <c r="GX15" s="133" t="n"/>
      <c r="GY15" s="134" t="n"/>
      <c r="GZ15" s="133" t="n"/>
      <c r="HA15" s="134" t="n"/>
      <c r="HB15" s="135" t="n"/>
      <c r="HC15">
        <f>97-SUMPRODUCT(MAX(($G$4:$HB$4="ح")*($G15:$HB15=TRUE)*(97-$G$47:$HB$47)))</f>
        <v>97</v>
      </c>
      <c r="HD15">
        <f>SUMPRODUCT(($G$4:$HB$4="ح")*($G15:$HB15=TRUE)*($G$47:$HB$47&gt;$HC$1-8))</f>
        <v>0</v>
      </c>
      <c r="HE15">
        <f>(COUNTIF($G15:$V15,TRUE)&gt;0)*($W15&lt;&gt;TRUE)+(COUNTIF($X15:$AM15,TRUE)&gt;0)*($AN15&lt;&gt;TRUE)+(COUNTIF($AO15:$BD15,TRUE)&gt;0)*($BE15&lt;&gt;TRUE)+(COUNTIF($BF15:$BU15,TRUE)&gt;0)*($BV15&lt;&gt;TRUE)+(COUNTIF($BW15:$CL15,TRUE)&gt;0)*($CM15&lt;&gt;TRUE)+(COUNTIF($CN15:$DC15,TRUE)&gt;0)*($DD15&lt;&gt;TRUE)+(COUNTIF($DE15:$DT15,TRUE)&gt;0)*($DU15&lt;&gt;TRUE)+(COUNTIF($DV15:$EK15,TRUE)&gt;0)*($EL15&lt;&gt;TRUE)+(COUNTIF($EM15:$FB15,TRUE)&gt;0)*($FC15&lt;&gt;TRUE)+(COUNTIF($FD15:$FS15,TRUE)&gt;0)*($FT15&lt;&gt;TRUE)+(COUNTIF($FU15:$GJ15,TRUE)&gt;0)*($GK15&lt;&gt;TRUE)+(COUNTIF($GL15:$HA15,TRUE)&gt;0)*($HB15&lt;&gt;TRUE)</f>
        <v>0</v>
      </c>
      <c r="HF15">
        <f>IF($HE15=0,0,13-MAX((COUNTIF($G15:$V15,TRUE)&gt;0)*($W15&lt;&gt;TRUE)*12,(COUNTIF($X15:$AM15,TRUE)&gt;0)*($AN15&lt;&gt;TRUE)*11,(COUNTIF($AO15:$BD15,TRUE)&gt;0)*($BE15&lt;&gt;TRUE)*10,(COUNTIF($BF15:$BU15,TRUE)&gt;0)*($BV15&lt;&gt;TRUE)*9,(COUNTIF($BW15:$CL15,TRUE)&gt;0)*($CM15&lt;&gt;TRUE)*8,(COUNTIF($CN15:$DC15,TRUE)&gt;0)*($DD15&lt;&gt;TRUE)*7,(COUNTIF($DE15:$DT15,TRUE)&gt;0)*($DU15&lt;&gt;TRUE)*6,(COUNTIF($DV15:$EK15,TRUE)&gt;0)*($EL15&lt;&gt;TRUE)*5,(COUNTIF($EM15:$FB15,TRUE)&gt;0)*($FC15&lt;&gt;TRUE)*4,(COUNTIF($FD15:$FS15,TRUE)&gt;0)*($FT15&lt;&gt;TRUE)*3,(COUNTIF($FU15:$GJ15,TRUE)&gt;0)*($GK15&lt;&gt;TRUE)*2,(COUNTIF($GL15:$HA15,TRUE)&gt;0)*($HB15&lt;&gt;TRUE)*1))</f>
        <v>0</v>
      </c>
    </row>
    <row r="16" ht="22.5" customHeight="1">
      <c r="A16" s="36" t="n">
        <v>12</v>
      </c>
      <c r="B16" s="97" t="n"/>
      <c r="C16" s="28" t="n"/>
      <c r="D16" s="98" t="str">
        <f>IF($B16="","",IF($HC16=97,"-",IF($HD16=0,"متوقف",SUMPRODUCT(($G$4:$HB$4="ح")*($G$20:$HB$20&gt;0)*($G16:$HB16&lt;&gt;TRUE)*($G$47:$HB$47&gt;$HC$1-8)*($G$47:$HB$47&gt;=$HC16)))))</f>
        <v/>
      </c>
      <c r="E16" s="98" t="str">
        <f>IF(OR($B16="",$HC16=97),"",SUMPRODUCT(($G$4:$HA$4="ح")*($G16:$HA16=TRUE)*($H16:$HB16&lt;&gt;TRUE)*($G$47:$HA$47&gt;$HC$1-8)))</f>
        <v/>
      </c>
      <c r="F16" s="99" t="str">
        <f>IF($B16="","",IF($HE16=0,IF($HC16=97,"-","تمام"),IF($HE16=1,IF(INDEX($G$1:$HB$1,1,17*($HF16-1)+1)="","شهر "&amp;$HF16,INDEX($G$1:$HB$1,1,17*($HF16-1)+1)),IF($HE16=2,"شهرين",$HE16&amp;" شهور"))))</f>
        <v/>
      </c>
      <c r="G16" s="100" t="n"/>
      <c r="H16" s="101" t="n"/>
      <c r="I16" s="100" t="n"/>
      <c r="J16" s="101" t="n"/>
      <c r="K16" s="100" t="n"/>
      <c r="L16" s="101" t="n"/>
      <c r="M16" s="100" t="n"/>
      <c r="N16" s="101" t="n"/>
      <c r="O16" s="100" t="n"/>
      <c r="P16" s="101" t="n"/>
      <c r="Q16" s="100" t="n"/>
      <c r="R16" s="101" t="n"/>
      <c r="S16" s="100" t="n"/>
      <c r="T16" s="101" t="n"/>
      <c r="U16" s="100" t="n"/>
      <c r="V16" s="101" t="n"/>
      <c r="W16" s="102" t="n"/>
      <c r="X16" s="103" t="n"/>
      <c r="Y16" s="104" t="n"/>
      <c r="Z16" s="103" t="n"/>
      <c r="AA16" s="104" t="n"/>
      <c r="AB16" s="103" t="n"/>
      <c r="AC16" s="104" t="n"/>
      <c r="AD16" s="103" t="n"/>
      <c r="AE16" s="104" t="n"/>
      <c r="AF16" s="103" t="n"/>
      <c r="AG16" s="104" t="n"/>
      <c r="AH16" s="103" t="n"/>
      <c r="AI16" s="104" t="n"/>
      <c r="AJ16" s="103" t="n"/>
      <c r="AK16" s="104" t="n"/>
      <c r="AL16" s="103" t="n"/>
      <c r="AM16" s="104" t="n"/>
      <c r="AN16" s="105" t="n"/>
      <c r="AO16" s="106" t="n"/>
      <c r="AP16" s="107" t="n"/>
      <c r="AQ16" s="106" t="n"/>
      <c r="AR16" s="107" t="n"/>
      <c r="AS16" s="106" t="n"/>
      <c r="AT16" s="107" t="n"/>
      <c r="AU16" s="106" t="n"/>
      <c r="AV16" s="107" t="n"/>
      <c r="AW16" s="106" t="n"/>
      <c r="AX16" s="107" t="n"/>
      <c r="AY16" s="106" t="n"/>
      <c r="AZ16" s="107" t="n"/>
      <c r="BA16" s="106" t="n"/>
      <c r="BB16" s="107" t="n"/>
      <c r="BC16" s="106" t="n"/>
      <c r="BD16" s="107" t="n"/>
      <c r="BE16" s="108" t="n"/>
      <c r="BF16" s="109" t="n"/>
      <c r="BG16" s="110" t="n"/>
      <c r="BH16" s="109" t="n"/>
      <c r="BI16" s="110" t="n"/>
      <c r="BJ16" s="109" t="n"/>
      <c r="BK16" s="110" t="n"/>
      <c r="BL16" s="109" t="n"/>
      <c r="BM16" s="110" t="n"/>
      <c r="BN16" s="109" t="n"/>
      <c r="BO16" s="110" t="n"/>
      <c r="BP16" s="109" t="n"/>
      <c r="BQ16" s="110" t="n"/>
      <c r="BR16" s="109" t="n"/>
      <c r="BS16" s="110" t="n"/>
      <c r="BT16" s="109" t="n"/>
      <c r="BU16" s="110" t="n"/>
      <c r="BV16" s="111" t="n"/>
      <c r="BW16" s="112" t="n"/>
      <c r="BX16" s="113" t="n"/>
      <c r="BY16" s="112" t="n"/>
      <c r="BZ16" s="113" t="n"/>
      <c r="CA16" s="112" t="n"/>
      <c r="CB16" s="113" t="n"/>
      <c r="CC16" s="112" t="n"/>
      <c r="CD16" s="113" t="n"/>
      <c r="CE16" s="112" t="n"/>
      <c r="CF16" s="113" t="n"/>
      <c r="CG16" s="112" t="n"/>
      <c r="CH16" s="113" t="n"/>
      <c r="CI16" s="112" t="n"/>
      <c r="CJ16" s="113" t="n"/>
      <c r="CK16" s="112" t="n"/>
      <c r="CL16" s="113" t="n"/>
      <c r="CM16" s="114" t="n"/>
      <c r="CN16" s="115" t="n"/>
      <c r="CO16" s="116" t="n"/>
      <c r="CP16" s="115" t="n"/>
      <c r="CQ16" s="116" t="n"/>
      <c r="CR16" s="115" t="n"/>
      <c r="CS16" s="116" t="n"/>
      <c r="CT16" s="115" t="n"/>
      <c r="CU16" s="116" t="n"/>
      <c r="CV16" s="115" t="n"/>
      <c r="CW16" s="116" t="n"/>
      <c r="CX16" s="115" t="n"/>
      <c r="CY16" s="116" t="n"/>
      <c r="CZ16" s="115" t="n"/>
      <c r="DA16" s="116" t="n"/>
      <c r="DB16" s="115" t="n"/>
      <c r="DC16" s="116" t="n"/>
      <c r="DD16" s="117" t="n"/>
      <c r="DE16" s="118" t="n"/>
      <c r="DF16" s="119" t="n"/>
      <c r="DG16" s="118" t="n"/>
      <c r="DH16" s="119" t="n"/>
      <c r="DI16" s="118" t="n"/>
      <c r="DJ16" s="119" t="n"/>
      <c r="DK16" s="118" t="n"/>
      <c r="DL16" s="119" t="n"/>
      <c r="DM16" s="118" t="n"/>
      <c r="DN16" s="119" t="n"/>
      <c r="DO16" s="118" t="n"/>
      <c r="DP16" s="119" t="n"/>
      <c r="DQ16" s="118" t="n"/>
      <c r="DR16" s="119" t="n"/>
      <c r="DS16" s="118" t="n"/>
      <c r="DT16" s="119" t="n"/>
      <c r="DU16" s="120" t="n"/>
      <c r="DV16" s="121" t="n"/>
      <c r="DW16" s="122" t="n"/>
      <c r="DX16" s="121" t="n"/>
      <c r="DY16" s="122" t="n"/>
      <c r="DZ16" s="121" t="n"/>
      <c r="EA16" s="122" t="n"/>
      <c r="EB16" s="121" t="n"/>
      <c r="EC16" s="122" t="n"/>
      <c r="ED16" s="121" t="n"/>
      <c r="EE16" s="122" t="n"/>
      <c r="EF16" s="121" t="n"/>
      <c r="EG16" s="122" t="n"/>
      <c r="EH16" s="121" t="n"/>
      <c r="EI16" s="122" t="n"/>
      <c r="EJ16" s="121" t="n"/>
      <c r="EK16" s="122" t="n"/>
      <c r="EL16" s="123" t="n"/>
      <c r="EM16" s="124" t="n"/>
      <c r="EN16" s="125" t="n"/>
      <c r="EO16" s="124" t="n"/>
      <c r="EP16" s="125" t="n"/>
      <c r="EQ16" s="124" t="n"/>
      <c r="ER16" s="125" t="n"/>
      <c r="ES16" s="124" t="n"/>
      <c r="ET16" s="125" t="n"/>
      <c r="EU16" s="124" t="n"/>
      <c r="EV16" s="125" t="n"/>
      <c r="EW16" s="124" t="n"/>
      <c r="EX16" s="125" t="n"/>
      <c r="EY16" s="124" t="n"/>
      <c r="EZ16" s="125" t="n"/>
      <c r="FA16" s="124" t="n"/>
      <c r="FB16" s="125" t="n"/>
      <c r="FC16" s="126" t="n"/>
      <c r="FD16" s="127" t="n"/>
      <c r="FE16" s="128" t="n"/>
      <c r="FF16" s="127" t="n"/>
      <c r="FG16" s="128" t="n"/>
      <c r="FH16" s="127" t="n"/>
      <c r="FI16" s="128" t="n"/>
      <c r="FJ16" s="127" t="n"/>
      <c r="FK16" s="128" t="n"/>
      <c r="FL16" s="127" t="n"/>
      <c r="FM16" s="128" t="n"/>
      <c r="FN16" s="127" t="n"/>
      <c r="FO16" s="128" t="n"/>
      <c r="FP16" s="127" t="n"/>
      <c r="FQ16" s="128" t="n"/>
      <c r="FR16" s="127" t="n"/>
      <c r="FS16" s="128" t="n"/>
      <c r="FT16" s="129" t="n"/>
      <c r="FU16" s="130" t="n"/>
      <c r="FV16" s="131" t="n"/>
      <c r="FW16" s="130" t="n"/>
      <c r="FX16" s="131" t="n"/>
      <c r="FY16" s="130" t="n"/>
      <c r="FZ16" s="131" t="n"/>
      <c r="GA16" s="130" t="n"/>
      <c r="GB16" s="131" t="n"/>
      <c r="GC16" s="130" t="n"/>
      <c r="GD16" s="131" t="n"/>
      <c r="GE16" s="130" t="n"/>
      <c r="GF16" s="131" t="n"/>
      <c r="GG16" s="130" t="n"/>
      <c r="GH16" s="131" t="n"/>
      <c r="GI16" s="130" t="n"/>
      <c r="GJ16" s="131" t="n"/>
      <c r="GK16" s="132" t="n"/>
      <c r="GL16" s="133" t="n"/>
      <c r="GM16" s="134" t="n"/>
      <c r="GN16" s="133" t="n"/>
      <c r="GO16" s="134" t="n"/>
      <c r="GP16" s="133" t="n"/>
      <c r="GQ16" s="134" t="n"/>
      <c r="GR16" s="133" t="n"/>
      <c r="GS16" s="134" t="n"/>
      <c r="GT16" s="133" t="n"/>
      <c r="GU16" s="134" t="n"/>
      <c r="GV16" s="133" t="n"/>
      <c r="GW16" s="134" t="n"/>
      <c r="GX16" s="133" t="n"/>
      <c r="GY16" s="134" t="n"/>
      <c r="GZ16" s="133" t="n"/>
      <c r="HA16" s="134" t="n"/>
      <c r="HB16" s="135" t="n"/>
      <c r="HC16">
        <f>97-SUMPRODUCT(MAX(($G$4:$HB$4="ح")*($G16:$HB16=TRUE)*(97-$G$47:$HB$47)))</f>
        <v>97</v>
      </c>
      <c r="HD16">
        <f>SUMPRODUCT(($G$4:$HB$4="ح")*($G16:$HB16=TRUE)*($G$47:$HB$47&gt;$HC$1-8))</f>
        <v>0</v>
      </c>
      <c r="HE16">
        <f>(COUNTIF($G16:$V16,TRUE)&gt;0)*($W16&lt;&gt;TRUE)+(COUNTIF($X16:$AM16,TRUE)&gt;0)*($AN16&lt;&gt;TRUE)+(COUNTIF($AO16:$BD16,TRUE)&gt;0)*($BE16&lt;&gt;TRUE)+(COUNTIF($BF16:$BU16,TRUE)&gt;0)*($BV16&lt;&gt;TRUE)+(COUNTIF($BW16:$CL16,TRUE)&gt;0)*($CM16&lt;&gt;TRUE)+(COUNTIF($CN16:$DC16,TRUE)&gt;0)*($DD16&lt;&gt;TRUE)+(COUNTIF($DE16:$DT16,TRUE)&gt;0)*($DU16&lt;&gt;TRUE)+(COUNTIF($DV16:$EK16,TRUE)&gt;0)*($EL16&lt;&gt;TRUE)+(COUNTIF($EM16:$FB16,TRUE)&gt;0)*($FC16&lt;&gt;TRUE)+(COUNTIF($FD16:$FS16,TRUE)&gt;0)*($FT16&lt;&gt;TRUE)+(COUNTIF($FU16:$GJ16,TRUE)&gt;0)*($GK16&lt;&gt;TRUE)+(COUNTIF($GL16:$HA16,TRUE)&gt;0)*($HB16&lt;&gt;TRUE)</f>
        <v>0</v>
      </c>
      <c r="HF16">
        <f>IF($HE16=0,0,13-MAX((COUNTIF($G16:$V16,TRUE)&gt;0)*($W16&lt;&gt;TRUE)*12,(COUNTIF($X16:$AM16,TRUE)&gt;0)*($AN16&lt;&gt;TRUE)*11,(COUNTIF($AO16:$BD16,TRUE)&gt;0)*($BE16&lt;&gt;TRUE)*10,(COUNTIF($BF16:$BU16,TRUE)&gt;0)*($BV16&lt;&gt;TRUE)*9,(COUNTIF($BW16:$CL16,TRUE)&gt;0)*($CM16&lt;&gt;TRUE)*8,(COUNTIF($CN16:$DC16,TRUE)&gt;0)*($DD16&lt;&gt;TRUE)*7,(COUNTIF($DE16:$DT16,TRUE)&gt;0)*($DU16&lt;&gt;TRUE)*6,(COUNTIF($DV16:$EK16,TRUE)&gt;0)*($EL16&lt;&gt;TRUE)*5,(COUNTIF($EM16:$FB16,TRUE)&gt;0)*($FC16&lt;&gt;TRUE)*4,(COUNTIF($FD16:$FS16,TRUE)&gt;0)*($FT16&lt;&gt;TRUE)*3,(COUNTIF($FU16:$GJ16,TRUE)&gt;0)*($GK16&lt;&gt;TRUE)*2,(COUNTIF($GL16:$HA16,TRUE)&gt;0)*($HB16&lt;&gt;TRUE)*1))</f>
        <v>0</v>
      </c>
    </row>
    <row r="17" ht="22.5" customHeight="1">
      <c r="A17" s="36" t="n">
        <v>13</v>
      </c>
      <c r="B17" s="97" t="n"/>
      <c r="C17" s="28" t="n"/>
      <c r="D17" s="98" t="str">
        <f>IF($B17="","",IF($HC17=97,"-",IF($HD17=0,"متوقف",SUMPRODUCT(($G$4:$HB$4="ح")*($G$20:$HB$20&gt;0)*($G17:$HB17&lt;&gt;TRUE)*($G$47:$HB$47&gt;$HC$1-8)*($G$47:$HB$47&gt;=$HC17)))))</f>
        <v/>
      </c>
      <c r="E17" s="98" t="str">
        <f>IF(OR($B17="",$HC17=97),"",SUMPRODUCT(($G$4:$HA$4="ح")*($G17:$HA17=TRUE)*($H17:$HB17&lt;&gt;TRUE)*($G$47:$HA$47&gt;$HC$1-8)))</f>
        <v/>
      </c>
      <c r="F17" s="99" t="str">
        <f>IF($B17="","",IF($HE17=0,IF($HC17=97,"-","تمام"),IF($HE17=1,IF(INDEX($G$1:$HB$1,1,17*($HF17-1)+1)="","شهر "&amp;$HF17,INDEX($G$1:$HB$1,1,17*($HF17-1)+1)),IF($HE17=2,"شهرين",$HE17&amp;" شهور"))))</f>
        <v/>
      </c>
      <c r="G17" s="100" t="n"/>
      <c r="H17" s="101" t="n"/>
      <c r="I17" s="100" t="n"/>
      <c r="J17" s="101" t="n"/>
      <c r="K17" s="100" t="n"/>
      <c r="L17" s="101" t="n"/>
      <c r="M17" s="100" t="n"/>
      <c r="N17" s="101" t="n"/>
      <c r="O17" s="100" t="n"/>
      <c r="P17" s="101" t="n"/>
      <c r="Q17" s="100" t="n"/>
      <c r="R17" s="101" t="n"/>
      <c r="S17" s="100" t="n"/>
      <c r="T17" s="101" t="n"/>
      <c r="U17" s="100" t="n"/>
      <c r="V17" s="101" t="n"/>
      <c r="W17" s="102" t="n"/>
      <c r="X17" s="103" t="n"/>
      <c r="Y17" s="104" t="n"/>
      <c r="Z17" s="103" t="n"/>
      <c r="AA17" s="104" t="n"/>
      <c r="AB17" s="103" t="n"/>
      <c r="AC17" s="104" t="n"/>
      <c r="AD17" s="103" t="n"/>
      <c r="AE17" s="104" t="n"/>
      <c r="AF17" s="103" t="n"/>
      <c r="AG17" s="104" t="n"/>
      <c r="AH17" s="103" t="n"/>
      <c r="AI17" s="104" t="n"/>
      <c r="AJ17" s="103" t="n"/>
      <c r="AK17" s="104" t="n"/>
      <c r="AL17" s="103" t="n"/>
      <c r="AM17" s="104" t="n"/>
      <c r="AN17" s="105" t="n"/>
      <c r="AO17" s="106" t="n"/>
      <c r="AP17" s="107" t="n"/>
      <c r="AQ17" s="106" t="n"/>
      <c r="AR17" s="107" t="n"/>
      <c r="AS17" s="106" t="n"/>
      <c r="AT17" s="107" t="n"/>
      <c r="AU17" s="106" t="n"/>
      <c r="AV17" s="107" t="n"/>
      <c r="AW17" s="106" t="n"/>
      <c r="AX17" s="107" t="n"/>
      <c r="AY17" s="106" t="n"/>
      <c r="AZ17" s="107" t="n"/>
      <c r="BA17" s="106" t="n"/>
      <c r="BB17" s="107" t="n"/>
      <c r="BC17" s="106" t="n"/>
      <c r="BD17" s="107" t="n"/>
      <c r="BE17" s="108" t="n"/>
      <c r="BF17" s="109" t="n"/>
      <c r="BG17" s="110" t="n"/>
      <c r="BH17" s="109" t="n"/>
      <c r="BI17" s="110" t="n"/>
      <c r="BJ17" s="109" t="n"/>
      <c r="BK17" s="110" t="n"/>
      <c r="BL17" s="109" t="n"/>
      <c r="BM17" s="110" t="n"/>
      <c r="BN17" s="109" t="n"/>
      <c r="BO17" s="110" t="n"/>
      <c r="BP17" s="109" t="n"/>
      <c r="BQ17" s="110" t="n"/>
      <c r="BR17" s="109" t="n"/>
      <c r="BS17" s="110" t="n"/>
      <c r="BT17" s="109" t="n"/>
      <c r="BU17" s="110" t="n"/>
      <c r="BV17" s="111" t="n"/>
      <c r="BW17" s="112" t="n"/>
      <c r="BX17" s="113" t="n"/>
      <c r="BY17" s="112" t="n"/>
      <c r="BZ17" s="113" t="n"/>
      <c r="CA17" s="112" t="n"/>
      <c r="CB17" s="113" t="n"/>
      <c r="CC17" s="112" t="n"/>
      <c r="CD17" s="113" t="n"/>
      <c r="CE17" s="112" t="n"/>
      <c r="CF17" s="113" t="n"/>
      <c r="CG17" s="112" t="n"/>
      <c r="CH17" s="113" t="n"/>
      <c r="CI17" s="112" t="n"/>
      <c r="CJ17" s="113" t="n"/>
      <c r="CK17" s="112" t="n"/>
      <c r="CL17" s="113" t="n"/>
      <c r="CM17" s="114" t="n"/>
      <c r="CN17" s="115" t="n"/>
      <c r="CO17" s="116" t="n"/>
      <c r="CP17" s="115" t="n"/>
      <c r="CQ17" s="116" t="n"/>
      <c r="CR17" s="115" t="n"/>
      <c r="CS17" s="116" t="n"/>
      <c r="CT17" s="115" t="n"/>
      <c r="CU17" s="116" t="n"/>
      <c r="CV17" s="115" t="n"/>
      <c r="CW17" s="116" t="n"/>
      <c r="CX17" s="115" t="n"/>
      <c r="CY17" s="116" t="n"/>
      <c r="CZ17" s="115" t="n"/>
      <c r="DA17" s="116" t="n"/>
      <c r="DB17" s="115" t="n"/>
      <c r="DC17" s="116" t="n"/>
      <c r="DD17" s="117" t="n"/>
      <c r="DE17" s="118" t="n"/>
      <c r="DF17" s="119" t="n"/>
      <c r="DG17" s="118" t="n"/>
      <c r="DH17" s="119" t="n"/>
      <c r="DI17" s="118" t="n"/>
      <c r="DJ17" s="119" t="n"/>
      <c r="DK17" s="118" t="n"/>
      <c r="DL17" s="119" t="n"/>
      <c r="DM17" s="118" t="n"/>
      <c r="DN17" s="119" t="n"/>
      <c r="DO17" s="118" t="n"/>
      <c r="DP17" s="119" t="n"/>
      <c r="DQ17" s="118" t="n"/>
      <c r="DR17" s="119" t="n"/>
      <c r="DS17" s="118" t="n"/>
      <c r="DT17" s="119" t="n"/>
      <c r="DU17" s="120" t="n"/>
      <c r="DV17" s="121" t="n"/>
      <c r="DW17" s="122" t="n"/>
      <c r="DX17" s="121" t="n"/>
      <c r="DY17" s="122" t="n"/>
      <c r="DZ17" s="121" t="n"/>
      <c r="EA17" s="122" t="n"/>
      <c r="EB17" s="121" t="n"/>
      <c r="EC17" s="122" t="n"/>
      <c r="ED17" s="121" t="n"/>
      <c r="EE17" s="122" t="n"/>
      <c r="EF17" s="121" t="n"/>
      <c r="EG17" s="122" t="n"/>
      <c r="EH17" s="121" t="n"/>
      <c r="EI17" s="122" t="n"/>
      <c r="EJ17" s="121" t="n"/>
      <c r="EK17" s="122" t="n"/>
      <c r="EL17" s="123" t="n"/>
      <c r="EM17" s="124" t="n"/>
      <c r="EN17" s="125" t="n"/>
      <c r="EO17" s="124" t="n"/>
      <c r="EP17" s="125" t="n"/>
      <c r="EQ17" s="124" t="n"/>
      <c r="ER17" s="125" t="n"/>
      <c r="ES17" s="124" t="n"/>
      <c r="ET17" s="125" t="n"/>
      <c r="EU17" s="124" t="n"/>
      <c r="EV17" s="125" t="n"/>
      <c r="EW17" s="124" t="n"/>
      <c r="EX17" s="125" t="n"/>
      <c r="EY17" s="124" t="n"/>
      <c r="EZ17" s="125" t="n"/>
      <c r="FA17" s="124" t="n"/>
      <c r="FB17" s="125" t="n"/>
      <c r="FC17" s="126" t="n"/>
      <c r="FD17" s="127" t="n"/>
      <c r="FE17" s="128" t="n"/>
      <c r="FF17" s="127" t="n"/>
      <c r="FG17" s="128" t="n"/>
      <c r="FH17" s="127" t="n"/>
      <c r="FI17" s="128" t="n"/>
      <c r="FJ17" s="127" t="n"/>
      <c r="FK17" s="128" t="n"/>
      <c r="FL17" s="127" t="n"/>
      <c r="FM17" s="128" t="n"/>
      <c r="FN17" s="127" t="n"/>
      <c r="FO17" s="128" t="n"/>
      <c r="FP17" s="127" t="n"/>
      <c r="FQ17" s="128" t="n"/>
      <c r="FR17" s="127" t="n"/>
      <c r="FS17" s="128" t="n"/>
      <c r="FT17" s="129" t="n"/>
      <c r="FU17" s="130" t="n"/>
      <c r="FV17" s="131" t="n"/>
      <c r="FW17" s="130" t="n"/>
      <c r="FX17" s="131" t="n"/>
      <c r="FY17" s="130" t="n"/>
      <c r="FZ17" s="131" t="n"/>
      <c r="GA17" s="130" t="n"/>
      <c r="GB17" s="131" t="n"/>
      <c r="GC17" s="130" t="n"/>
      <c r="GD17" s="131" t="n"/>
      <c r="GE17" s="130" t="n"/>
      <c r="GF17" s="131" t="n"/>
      <c r="GG17" s="130" t="n"/>
      <c r="GH17" s="131" t="n"/>
      <c r="GI17" s="130" t="n"/>
      <c r="GJ17" s="131" t="n"/>
      <c r="GK17" s="132" t="n"/>
      <c r="GL17" s="133" t="n"/>
      <c r="GM17" s="134" t="n"/>
      <c r="GN17" s="133" t="n"/>
      <c r="GO17" s="134" t="n"/>
      <c r="GP17" s="133" t="n"/>
      <c r="GQ17" s="134" t="n"/>
      <c r="GR17" s="133" t="n"/>
      <c r="GS17" s="134" t="n"/>
      <c r="GT17" s="133" t="n"/>
      <c r="GU17" s="134" t="n"/>
      <c r="GV17" s="133" t="n"/>
      <c r="GW17" s="134" t="n"/>
      <c r="GX17" s="133" t="n"/>
      <c r="GY17" s="134" t="n"/>
      <c r="GZ17" s="133" t="n"/>
      <c r="HA17" s="134" t="n"/>
      <c r="HB17" s="135" t="n"/>
      <c r="HC17">
        <f>97-SUMPRODUCT(MAX(($G$4:$HB$4="ح")*($G17:$HB17=TRUE)*(97-$G$47:$HB$47)))</f>
        <v>97</v>
      </c>
      <c r="HD17">
        <f>SUMPRODUCT(($G$4:$HB$4="ح")*($G17:$HB17=TRUE)*($G$47:$HB$47&gt;$HC$1-8))</f>
        <v>0</v>
      </c>
      <c r="HE17">
        <f>(COUNTIF($G17:$V17,TRUE)&gt;0)*($W17&lt;&gt;TRUE)+(COUNTIF($X17:$AM17,TRUE)&gt;0)*($AN17&lt;&gt;TRUE)+(COUNTIF($AO17:$BD17,TRUE)&gt;0)*($BE17&lt;&gt;TRUE)+(COUNTIF($BF17:$BU17,TRUE)&gt;0)*($BV17&lt;&gt;TRUE)+(COUNTIF($BW17:$CL17,TRUE)&gt;0)*($CM17&lt;&gt;TRUE)+(COUNTIF($CN17:$DC17,TRUE)&gt;0)*($DD17&lt;&gt;TRUE)+(COUNTIF($DE17:$DT17,TRUE)&gt;0)*($DU17&lt;&gt;TRUE)+(COUNTIF($DV17:$EK17,TRUE)&gt;0)*($EL17&lt;&gt;TRUE)+(COUNTIF($EM17:$FB17,TRUE)&gt;0)*($FC17&lt;&gt;TRUE)+(COUNTIF($FD17:$FS17,TRUE)&gt;0)*($FT17&lt;&gt;TRUE)+(COUNTIF($FU17:$GJ17,TRUE)&gt;0)*($GK17&lt;&gt;TRUE)+(COUNTIF($GL17:$HA17,TRUE)&gt;0)*($HB17&lt;&gt;TRUE)</f>
        <v>0</v>
      </c>
      <c r="HF17">
        <f>IF($HE17=0,0,13-MAX((COUNTIF($G17:$V17,TRUE)&gt;0)*($W17&lt;&gt;TRUE)*12,(COUNTIF($X17:$AM17,TRUE)&gt;0)*($AN17&lt;&gt;TRUE)*11,(COUNTIF($AO17:$BD17,TRUE)&gt;0)*($BE17&lt;&gt;TRUE)*10,(COUNTIF($BF17:$BU17,TRUE)&gt;0)*($BV17&lt;&gt;TRUE)*9,(COUNTIF($BW17:$CL17,TRUE)&gt;0)*($CM17&lt;&gt;TRUE)*8,(COUNTIF($CN17:$DC17,TRUE)&gt;0)*($DD17&lt;&gt;TRUE)*7,(COUNTIF($DE17:$DT17,TRUE)&gt;0)*($DU17&lt;&gt;TRUE)*6,(COUNTIF($DV17:$EK17,TRUE)&gt;0)*($EL17&lt;&gt;TRUE)*5,(COUNTIF($EM17:$FB17,TRUE)&gt;0)*($FC17&lt;&gt;TRUE)*4,(COUNTIF($FD17:$FS17,TRUE)&gt;0)*($FT17&lt;&gt;TRUE)*3,(COUNTIF($FU17:$GJ17,TRUE)&gt;0)*($GK17&lt;&gt;TRUE)*2,(COUNTIF($GL17:$HA17,TRUE)&gt;0)*($HB17&lt;&gt;TRUE)*1))</f>
        <v>0</v>
      </c>
    </row>
    <row r="18" ht="22.5" customHeight="1">
      <c r="A18" s="36" t="n">
        <v>14</v>
      </c>
      <c r="B18" s="97" t="n"/>
      <c r="C18" s="28" t="n"/>
      <c r="D18" s="98" t="str">
        <f>IF($B18="","",IF($HC18=97,"-",IF($HD18=0,"متوقف",SUMPRODUCT(($G$4:$HB$4="ح")*($G$20:$HB$20&gt;0)*($G18:$HB18&lt;&gt;TRUE)*($G$47:$HB$47&gt;$HC$1-8)*($G$47:$HB$47&gt;=$HC18)))))</f>
        <v/>
      </c>
      <c r="E18" s="98" t="str">
        <f>IF(OR($B18="",$HC18=97),"",SUMPRODUCT(($G$4:$HA$4="ح")*($G18:$HA18=TRUE)*($H18:$HB18&lt;&gt;TRUE)*($G$47:$HA$47&gt;$HC$1-8)))</f>
        <v/>
      </c>
      <c r="F18" s="99" t="str">
        <f>IF($B18="","",IF($HE18=0,IF($HC18=97,"-","تمام"),IF($HE18=1,IF(INDEX($G$1:$HB$1,1,17*($HF18-1)+1)="","شهر "&amp;$HF18,INDEX($G$1:$HB$1,1,17*($HF18-1)+1)),IF($HE18=2,"شهرين",$HE18&amp;" شهور"))))</f>
        <v/>
      </c>
      <c r="G18" s="100" t="n"/>
      <c r="H18" s="101" t="n"/>
      <c r="I18" s="100" t="n"/>
      <c r="J18" s="101" t="n"/>
      <c r="K18" s="100" t="n"/>
      <c r="L18" s="101" t="n"/>
      <c r="M18" s="100" t="n"/>
      <c r="N18" s="101" t="n"/>
      <c r="O18" s="100" t="n"/>
      <c r="P18" s="101" t="n"/>
      <c r="Q18" s="100" t="n"/>
      <c r="R18" s="101" t="n"/>
      <c r="S18" s="100" t="n"/>
      <c r="T18" s="101" t="n"/>
      <c r="U18" s="100" t="n"/>
      <c r="V18" s="101" t="n"/>
      <c r="W18" s="102" t="n"/>
      <c r="X18" s="103" t="n"/>
      <c r="Y18" s="104" t="n"/>
      <c r="Z18" s="103" t="n"/>
      <c r="AA18" s="104" t="n"/>
      <c r="AB18" s="103" t="n"/>
      <c r="AC18" s="104" t="n"/>
      <c r="AD18" s="103" t="n"/>
      <c r="AE18" s="104" t="n"/>
      <c r="AF18" s="103" t="n"/>
      <c r="AG18" s="104" t="n"/>
      <c r="AH18" s="103" t="n"/>
      <c r="AI18" s="104" t="n"/>
      <c r="AJ18" s="103" t="n"/>
      <c r="AK18" s="104" t="n"/>
      <c r="AL18" s="103" t="n"/>
      <c r="AM18" s="104" t="n"/>
      <c r="AN18" s="105" t="n"/>
      <c r="AO18" s="106" t="n"/>
      <c r="AP18" s="107" t="n"/>
      <c r="AQ18" s="106" t="n"/>
      <c r="AR18" s="107" t="n"/>
      <c r="AS18" s="106" t="n"/>
      <c r="AT18" s="107" t="n"/>
      <c r="AU18" s="106" t="n"/>
      <c r="AV18" s="107" t="n"/>
      <c r="AW18" s="106" t="n"/>
      <c r="AX18" s="107" t="n"/>
      <c r="AY18" s="106" t="n"/>
      <c r="AZ18" s="107" t="n"/>
      <c r="BA18" s="106" t="n"/>
      <c r="BB18" s="107" t="n"/>
      <c r="BC18" s="106" t="n"/>
      <c r="BD18" s="107" t="n"/>
      <c r="BE18" s="108" t="n"/>
      <c r="BF18" s="109" t="n"/>
      <c r="BG18" s="110" t="n"/>
      <c r="BH18" s="109" t="n"/>
      <c r="BI18" s="110" t="n"/>
      <c r="BJ18" s="109" t="n"/>
      <c r="BK18" s="110" t="n"/>
      <c r="BL18" s="109" t="n"/>
      <c r="BM18" s="110" t="n"/>
      <c r="BN18" s="109" t="n"/>
      <c r="BO18" s="110" t="n"/>
      <c r="BP18" s="109" t="n"/>
      <c r="BQ18" s="110" t="n"/>
      <c r="BR18" s="109" t="n"/>
      <c r="BS18" s="110" t="n"/>
      <c r="BT18" s="109" t="n"/>
      <c r="BU18" s="110" t="n"/>
      <c r="BV18" s="111" t="n"/>
      <c r="BW18" s="112" t="n"/>
      <c r="BX18" s="113" t="n"/>
      <c r="BY18" s="112" t="n"/>
      <c r="BZ18" s="113" t="n"/>
      <c r="CA18" s="112" t="n"/>
      <c r="CB18" s="113" t="n"/>
      <c r="CC18" s="112" t="n"/>
      <c r="CD18" s="113" t="n"/>
      <c r="CE18" s="112" t="n"/>
      <c r="CF18" s="113" t="n"/>
      <c r="CG18" s="112" t="n"/>
      <c r="CH18" s="113" t="n"/>
      <c r="CI18" s="112" t="n"/>
      <c r="CJ18" s="113" t="n"/>
      <c r="CK18" s="112" t="n"/>
      <c r="CL18" s="113" t="n"/>
      <c r="CM18" s="114" t="n"/>
      <c r="CN18" s="115" t="n"/>
      <c r="CO18" s="116" t="n"/>
      <c r="CP18" s="115" t="n"/>
      <c r="CQ18" s="116" t="n"/>
      <c r="CR18" s="115" t="n"/>
      <c r="CS18" s="116" t="n"/>
      <c r="CT18" s="115" t="n"/>
      <c r="CU18" s="116" t="n"/>
      <c r="CV18" s="115" t="n"/>
      <c r="CW18" s="116" t="n"/>
      <c r="CX18" s="115" t="n"/>
      <c r="CY18" s="116" t="n"/>
      <c r="CZ18" s="115" t="n"/>
      <c r="DA18" s="116" t="n"/>
      <c r="DB18" s="115" t="n"/>
      <c r="DC18" s="116" t="n"/>
      <c r="DD18" s="117" t="n"/>
      <c r="DE18" s="118" t="n"/>
      <c r="DF18" s="119" t="n"/>
      <c r="DG18" s="118" t="n"/>
      <c r="DH18" s="119" t="n"/>
      <c r="DI18" s="118" t="n"/>
      <c r="DJ18" s="119" t="n"/>
      <c r="DK18" s="118" t="n"/>
      <c r="DL18" s="119" t="n"/>
      <c r="DM18" s="118" t="n"/>
      <c r="DN18" s="119" t="n"/>
      <c r="DO18" s="118" t="n"/>
      <c r="DP18" s="119" t="n"/>
      <c r="DQ18" s="118" t="n"/>
      <c r="DR18" s="119" t="n"/>
      <c r="DS18" s="118" t="n"/>
      <c r="DT18" s="119" t="n"/>
      <c r="DU18" s="120" t="n"/>
      <c r="DV18" s="121" t="n"/>
      <c r="DW18" s="122" t="n"/>
      <c r="DX18" s="121" t="n"/>
      <c r="DY18" s="122" t="n"/>
      <c r="DZ18" s="121" t="n"/>
      <c r="EA18" s="122" t="n"/>
      <c r="EB18" s="121" t="n"/>
      <c r="EC18" s="122" t="n"/>
      <c r="ED18" s="121" t="n"/>
      <c r="EE18" s="122" t="n"/>
      <c r="EF18" s="121" t="n"/>
      <c r="EG18" s="122" t="n"/>
      <c r="EH18" s="121" t="n"/>
      <c r="EI18" s="122" t="n"/>
      <c r="EJ18" s="121" t="n"/>
      <c r="EK18" s="122" t="n"/>
      <c r="EL18" s="123" t="n"/>
      <c r="EM18" s="124" t="n"/>
      <c r="EN18" s="125" t="n"/>
      <c r="EO18" s="124" t="n"/>
      <c r="EP18" s="125" t="n"/>
      <c r="EQ18" s="124" t="n"/>
      <c r="ER18" s="125" t="n"/>
      <c r="ES18" s="124" t="n"/>
      <c r="ET18" s="125" t="n"/>
      <c r="EU18" s="124" t="n"/>
      <c r="EV18" s="125" t="n"/>
      <c r="EW18" s="124" t="n"/>
      <c r="EX18" s="125" t="n"/>
      <c r="EY18" s="124" t="n"/>
      <c r="EZ18" s="125" t="n"/>
      <c r="FA18" s="124" t="n"/>
      <c r="FB18" s="125" t="n"/>
      <c r="FC18" s="126" t="n"/>
      <c r="FD18" s="127" t="n"/>
      <c r="FE18" s="128" t="n"/>
      <c r="FF18" s="127" t="n"/>
      <c r="FG18" s="128" t="n"/>
      <c r="FH18" s="127" t="n"/>
      <c r="FI18" s="128" t="n"/>
      <c r="FJ18" s="127" t="n"/>
      <c r="FK18" s="128" t="n"/>
      <c r="FL18" s="127" t="n"/>
      <c r="FM18" s="128" t="n"/>
      <c r="FN18" s="127" t="n"/>
      <c r="FO18" s="128" t="n"/>
      <c r="FP18" s="127" t="n"/>
      <c r="FQ18" s="128" t="n"/>
      <c r="FR18" s="127" t="n"/>
      <c r="FS18" s="128" t="n"/>
      <c r="FT18" s="129" t="n"/>
      <c r="FU18" s="130" t="n"/>
      <c r="FV18" s="131" t="n"/>
      <c r="FW18" s="130" t="n"/>
      <c r="FX18" s="131" t="n"/>
      <c r="FY18" s="130" t="n"/>
      <c r="FZ18" s="131" t="n"/>
      <c r="GA18" s="130" t="n"/>
      <c r="GB18" s="131" t="n"/>
      <c r="GC18" s="130" t="n"/>
      <c r="GD18" s="131" t="n"/>
      <c r="GE18" s="130" t="n"/>
      <c r="GF18" s="131" t="n"/>
      <c r="GG18" s="130" t="n"/>
      <c r="GH18" s="131" t="n"/>
      <c r="GI18" s="130" t="n"/>
      <c r="GJ18" s="131" t="n"/>
      <c r="GK18" s="132" t="n"/>
      <c r="GL18" s="133" t="n"/>
      <c r="GM18" s="134" t="n"/>
      <c r="GN18" s="133" t="n"/>
      <c r="GO18" s="134" t="n"/>
      <c r="GP18" s="133" t="n"/>
      <c r="GQ18" s="134" t="n"/>
      <c r="GR18" s="133" t="n"/>
      <c r="GS18" s="134" t="n"/>
      <c r="GT18" s="133" t="n"/>
      <c r="GU18" s="134" t="n"/>
      <c r="GV18" s="133" t="n"/>
      <c r="GW18" s="134" t="n"/>
      <c r="GX18" s="133" t="n"/>
      <c r="GY18" s="134" t="n"/>
      <c r="GZ18" s="133" t="n"/>
      <c r="HA18" s="134" t="n"/>
      <c r="HB18" s="135" t="n"/>
      <c r="HC18">
        <f>97-SUMPRODUCT(MAX(($G$4:$HB$4="ح")*($G18:$HB18=TRUE)*(97-$G$47:$HB$47)))</f>
        <v>97</v>
      </c>
      <c r="HD18">
        <f>SUMPRODUCT(($G$4:$HB$4="ح")*($G18:$HB18=TRUE)*($G$47:$HB$47&gt;$HC$1-8))</f>
        <v>0</v>
      </c>
      <c r="HE18">
        <f>(COUNTIF($G18:$V18,TRUE)&gt;0)*($W18&lt;&gt;TRUE)+(COUNTIF($X18:$AM18,TRUE)&gt;0)*($AN18&lt;&gt;TRUE)+(COUNTIF($AO18:$BD18,TRUE)&gt;0)*($BE18&lt;&gt;TRUE)+(COUNTIF($BF18:$BU18,TRUE)&gt;0)*($BV18&lt;&gt;TRUE)+(COUNTIF($BW18:$CL18,TRUE)&gt;0)*($CM18&lt;&gt;TRUE)+(COUNTIF($CN18:$DC18,TRUE)&gt;0)*($DD18&lt;&gt;TRUE)+(COUNTIF($DE18:$DT18,TRUE)&gt;0)*($DU18&lt;&gt;TRUE)+(COUNTIF($DV18:$EK18,TRUE)&gt;0)*($EL18&lt;&gt;TRUE)+(COUNTIF($EM18:$FB18,TRUE)&gt;0)*($FC18&lt;&gt;TRUE)+(COUNTIF($FD18:$FS18,TRUE)&gt;0)*($FT18&lt;&gt;TRUE)+(COUNTIF($FU18:$GJ18,TRUE)&gt;0)*($GK18&lt;&gt;TRUE)+(COUNTIF($GL18:$HA18,TRUE)&gt;0)*($HB18&lt;&gt;TRUE)</f>
        <v>0</v>
      </c>
      <c r="HF18">
        <f>IF($HE18=0,0,13-MAX((COUNTIF($G18:$V18,TRUE)&gt;0)*($W18&lt;&gt;TRUE)*12,(COUNTIF($X18:$AM18,TRUE)&gt;0)*($AN18&lt;&gt;TRUE)*11,(COUNTIF($AO18:$BD18,TRUE)&gt;0)*($BE18&lt;&gt;TRUE)*10,(COUNTIF($BF18:$BU18,TRUE)&gt;0)*($BV18&lt;&gt;TRUE)*9,(COUNTIF($BW18:$CL18,TRUE)&gt;0)*($CM18&lt;&gt;TRUE)*8,(COUNTIF($CN18:$DC18,TRUE)&gt;0)*($DD18&lt;&gt;TRUE)*7,(COUNTIF($DE18:$DT18,TRUE)&gt;0)*($DU18&lt;&gt;TRUE)*6,(COUNTIF($DV18:$EK18,TRUE)&gt;0)*($EL18&lt;&gt;TRUE)*5,(COUNTIF($EM18:$FB18,TRUE)&gt;0)*($FC18&lt;&gt;TRUE)*4,(COUNTIF($FD18:$FS18,TRUE)&gt;0)*($FT18&lt;&gt;TRUE)*3,(COUNTIF($FU18:$GJ18,TRUE)&gt;0)*($GK18&lt;&gt;TRUE)*2,(COUNTIF($GL18:$HA18,TRUE)&gt;0)*($HB18&lt;&gt;TRUE)*1))</f>
        <v>0</v>
      </c>
    </row>
    <row r="19" ht="22.5" customHeight="1">
      <c r="A19" s="36" t="n">
        <v>15</v>
      </c>
      <c r="B19" s="97" t="n"/>
      <c r="C19" s="28" t="n"/>
      <c r="D19" s="98" t="str">
        <f>IF($B19="","",IF($HC19=97,"-",IF($HD19=0,"متوقف",SUMPRODUCT(($G$4:$HB$4="ح")*($G$20:$HB$20&gt;0)*($G19:$HB19&lt;&gt;TRUE)*($G$47:$HB$47&gt;$HC$1-8)*($G$47:$HB$47&gt;=$HC19)))))</f>
        <v/>
      </c>
      <c r="E19" s="98" t="str">
        <f>IF(OR($B19="",$HC19=97),"",SUMPRODUCT(($G$4:$HA$4="ح")*($G19:$HA19=TRUE)*($H19:$HB19&lt;&gt;TRUE)*($G$47:$HA$47&gt;$HC$1-8)))</f>
        <v/>
      </c>
      <c r="F19" s="99" t="str">
        <f>IF($B19="","",IF($HE19=0,IF($HC19=97,"-","تمام"),IF($HE19=1,IF(INDEX($G$1:$HB$1,1,17*($HF19-1)+1)="","شهر "&amp;$HF19,INDEX($G$1:$HB$1,1,17*($HF19-1)+1)),IF($HE19=2,"شهرين",$HE19&amp;" شهور"))))</f>
        <v/>
      </c>
      <c r="G19" s="100" t="n"/>
      <c r="H19" s="101" t="n"/>
      <c r="I19" s="100" t="n"/>
      <c r="J19" s="101" t="n"/>
      <c r="K19" s="100" t="n"/>
      <c r="L19" s="101" t="n"/>
      <c r="M19" s="100" t="n"/>
      <c r="N19" s="101" t="n"/>
      <c r="O19" s="100" t="n"/>
      <c r="P19" s="101" t="n"/>
      <c r="Q19" s="100" t="n"/>
      <c r="R19" s="101" t="n"/>
      <c r="S19" s="100" t="n"/>
      <c r="T19" s="101" t="n"/>
      <c r="U19" s="100" t="n"/>
      <c r="V19" s="101" t="n"/>
      <c r="W19" s="102" t="n"/>
      <c r="X19" s="103" t="n"/>
      <c r="Y19" s="104" t="n"/>
      <c r="Z19" s="103" t="n"/>
      <c r="AA19" s="104" t="n"/>
      <c r="AB19" s="103" t="n"/>
      <c r="AC19" s="104" t="n"/>
      <c r="AD19" s="103" t="n"/>
      <c r="AE19" s="104" t="n"/>
      <c r="AF19" s="103" t="n"/>
      <c r="AG19" s="104" t="n"/>
      <c r="AH19" s="103" t="n"/>
      <c r="AI19" s="104" t="n"/>
      <c r="AJ19" s="103" t="n"/>
      <c r="AK19" s="104" t="n"/>
      <c r="AL19" s="103" t="n"/>
      <c r="AM19" s="104" t="n"/>
      <c r="AN19" s="105" t="n"/>
      <c r="AO19" s="106" t="n"/>
      <c r="AP19" s="107" t="n"/>
      <c r="AQ19" s="106" t="n"/>
      <c r="AR19" s="107" t="n"/>
      <c r="AS19" s="106" t="n"/>
      <c r="AT19" s="107" t="n"/>
      <c r="AU19" s="106" t="n"/>
      <c r="AV19" s="107" t="n"/>
      <c r="AW19" s="106" t="n"/>
      <c r="AX19" s="107" t="n"/>
      <c r="AY19" s="106" t="n"/>
      <c r="AZ19" s="107" t="n"/>
      <c r="BA19" s="106" t="n"/>
      <c r="BB19" s="107" t="n"/>
      <c r="BC19" s="106" t="n"/>
      <c r="BD19" s="107" t="n"/>
      <c r="BE19" s="108" t="n"/>
      <c r="BF19" s="109" t="n"/>
      <c r="BG19" s="110" t="n"/>
      <c r="BH19" s="109" t="n"/>
      <c r="BI19" s="110" t="n"/>
      <c r="BJ19" s="109" t="n"/>
      <c r="BK19" s="110" t="n"/>
      <c r="BL19" s="109" t="n"/>
      <c r="BM19" s="110" t="n"/>
      <c r="BN19" s="109" t="n"/>
      <c r="BO19" s="110" t="n"/>
      <c r="BP19" s="109" t="n"/>
      <c r="BQ19" s="110" t="n"/>
      <c r="BR19" s="109" t="n"/>
      <c r="BS19" s="110" t="n"/>
      <c r="BT19" s="109" t="n"/>
      <c r="BU19" s="110" t="n"/>
      <c r="BV19" s="111" t="n"/>
      <c r="BW19" s="112" t="n"/>
      <c r="BX19" s="113" t="n"/>
      <c r="BY19" s="112" t="n"/>
      <c r="BZ19" s="113" t="n"/>
      <c r="CA19" s="112" t="n"/>
      <c r="CB19" s="113" t="n"/>
      <c r="CC19" s="112" t="n"/>
      <c r="CD19" s="113" t="n"/>
      <c r="CE19" s="112" t="n"/>
      <c r="CF19" s="113" t="n"/>
      <c r="CG19" s="112" t="n"/>
      <c r="CH19" s="113" t="n"/>
      <c r="CI19" s="112" t="n"/>
      <c r="CJ19" s="113" t="n"/>
      <c r="CK19" s="112" t="n"/>
      <c r="CL19" s="113" t="n"/>
      <c r="CM19" s="114" t="n"/>
      <c r="CN19" s="115" t="n"/>
      <c r="CO19" s="116" t="n"/>
      <c r="CP19" s="115" t="n"/>
      <c r="CQ19" s="116" t="n"/>
      <c r="CR19" s="115" t="n"/>
      <c r="CS19" s="116" t="n"/>
      <c r="CT19" s="115" t="n"/>
      <c r="CU19" s="116" t="n"/>
      <c r="CV19" s="115" t="n"/>
      <c r="CW19" s="116" t="n"/>
      <c r="CX19" s="115" t="n"/>
      <c r="CY19" s="116" t="n"/>
      <c r="CZ19" s="115" t="n"/>
      <c r="DA19" s="116" t="n"/>
      <c r="DB19" s="115" t="n"/>
      <c r="DC19" s="116" t="n"/>
      <c r="DD19" s="117" t="n"/>
      <c r="DE19" s="118" t="n"/>
      <c r="DF19" s="119" t="n"/>
      <c r="DG19" s="118" t="n"/>
      <c r="DH19" s="119" t="n"/>
      <c r="DI19" s="118" t="n"/>
      <c r="DJ19" s="119" t="n"/>
      <c r="DK19" s="118" t="n"/>
      <c r="DL19" s="119" t="n"/>
      <c r="DM19" s="118" t="n"/>
      <c r="DN19" s="119" t="n"/>
      <c r="DO19" s="118" t="n"/>
      <c r="DP19" s="119" t="n"/>
      <c r="DQ19" s="118" t="n"/>
      <c r="DR19" s="119" t="n"/>
      <c r="DS19" s="118" t="n"/>
      <c r="DT19" s="119" t="n"/>
      <c r="DU19" s="120" t="n"/>
      <c r="DV19" s="121" t="n"/>
      <c r="DW19" s="122" t="n"/>
      <c r="DX19" s="121" t="n"/>
      <c r="DY19" s="122" t="n"/>
      <c r="DZ19" s="121" t="n"/>
      <c r="EA19" s="122" t="n"/>
      <c r="EB19" s="121" t="n"/>
      <c r="EC19" s="122" t="n"/>
      <c r="ED19" s="121" t="n"/>
      <c r="EE19" s="122" t="n"/>
      <c r="EF19" s="121" t="n"/>
      <c r="EG19" s="122" t="n"/>
      <c r="EH19" s="121" t="n"/>
      <c r="EI19" s="122" t="n"/>
      <c r="EJ19" s="121" t="n"/>
      <c r="EK19" s="122" t="n"/>
      <c r="EL19" s="123" t="n"/>
      <c r="EM19" s="124" t="n"/>
      <c r="EN19" s="125" t="n"/>
      <c r="EO19" s="124" t="n"/>
      <c r="EP19" s="125" t="n"/>
      <c r="EQ19" s="124" t="n"/>
      <c r="ER19" s="125" t="n"/>
      <c r="ES19" s="124" t="n"/>
      <c r="ET19" s="125" t="n"/>
      <c r="EU19" s="124" t="n"/>
      <c r="EV19" s="125" t="n"/>
      <c r="EW19" s="124" t="n"/>
      <c r="EX19" s="125" t="n"/>
      <c r="EY19" s="124" t="n"/>
      <c r="EZ19" s="125" t="n"/>
      <c r="FA19" s="124" t="n"/>
      <c r="FB19" s="125" t="n"/>
      <c r="FC19" s="126" t="n"/>
      <c r="FD19" s="127" t="n"/>
      <c r="FE19" s="128" t="n"/>
      <c r="FF19" s="127" t="n"/>
      <c r="FG19" s="128" t="n"/>
      <c r="FH19" s="127" t="n"/>
      <c r="FI19" s="128" t="n"/>
      <c r="FJ19" s="127" t="n"/>
      <c r="FK19" s="128" t="n"/>
      <c r="FL19" s="127" t="n"/>
      <c r="FM19" s="128" t="n"/>
      <c r="FN19" s="127" t="n"/>
      <c r="FO19" s="128" t="n"/>
      <c r="FP19" s="127" t="n"/>
      <c r="FQ19" s="128" t="n"/>
      <c r="FR19" s="127" t="n"/>
      <c r="FS19" s="128" t="n"/>
      <c r="FT19" s="129" t="n"/>
      <c r="FU19" s="130" t="n"/>
      <c r="FV19" s="131" t="n"/>
      <c r="FW19" s="130" t="n"/>
      <c r="FX19" s="131" t="n"/>
      <c r="FY19" s="130" t="n"/>
      <c r="FZ19" s="131" t="n"/>
      <c r="GA19" s="130" t="n"/>
      <c r="GB19" s="131" t="n"/>
      <c r="GC19" s="130" t="n"/>
      <c r="GD19" s="131" t="n"/>
      <c r="GE19" s="130" t="n"/>
      <c r="GF19" s="131" t="n"/>
      <c r="GG19" s="130" t="n"/>
      <c r="GH19" s="131" t="n"/>
      <c r="GI19" s="130" t="n"/>
      <c r="GJ19" s="131" t="n"/>
      <c r="GK19" s="132" t="n"/>
      <c r="GL19" s="133" t="n"/>
      <c r="GM19" s="134" t="n"/>
      <c r="GN19" s="133" t="n"/>
      <c r="GO19" s="134" t="n"/>
      <c r="GP19" s="133" t="n"/>
      <c r="GQ19" s="134" t="n"/>
      <c r="GR19" s="133" t="n"/>
      <c r="GS19" s="134" t="n"/>
      <c r="GT19" s="133" t="n"/>
      <c r="GU19" s="134" t="n"/>
      <c r="GV19" s="133" t="n"/>
      <c r="GW19" s="134" t="n"/>
      <c r="GX19" s="133" t="n"/>
      <c r="GY19" s="134" t="n"/>
      <c r="GZ19" s="133" t="n"/>
      <c r="HA19" s="134" t="n"/>
      <c r="HB19" s="135" t="n"/>
      <c r="HC19">
        <f>97-SUMPRODUCT(MAX(($G$4:$HB$4="ح")*($G19:$HB19=TRUE)*(97-$G$47:$HB$47)))</f>
        <v>97</v>
      </c>
      <c r="HD19">
        <f>SUMPRODUCT(($G$4:$HB$4="ح")*($G19:$HB19=TRUE)*($G$47:$HB$47&gt;$HC$1-8))</f>
        <v>0</v>
      </c>
      <c r="HE19">
        <f>(COUNTIF($G19:$V19,TRUE)&gt;0)*($W19&lt;&gt;TRUE)+(COUNTIF($X19:$AM19,TRUE)&gt;0)*($AN19&lt;&gt;TRUE)+(COUNTIF($AO19:$BD19,TRUE)&gt;0)*($BE19&lt;&gt;TRUE)+(COUNTIF($BF19:$BU19,TRUE)&gt;0)*($BV19&lt;&gt;TRUE)+(COUNTIF($BW19:$CL19,TRUE)&gt;0)*($CM19&lt;&gt;TRUE)+(COUNTIF($CN19:$DC19,TRUE)&gt;0)*($DD19&lt;&gt;TRUE)+(COUNTIF($DE19:$DT19,TRUE)&gt;0)*($DU19&lt;&gt;TRUE)+(COUNTIF($DV19:$EK19,TRUE)&gt;0)*($EL19&lt;&gt;TRUE)+(COUNTIF($EM19:$FB19,TRUE)&gt;0)*($FC19&lt;&gt;TRUE)+(COUNTIF($FD19:$FS19,TRUE)&gt;0)*($FT19&lt;&gt;TRUE)+(COUNTIF($FU19:$GJ19,TRUE)&gt;0)*($GK19&lt;&gt;TRUE)+(COUNTIF($GL19:$HA19,TRUE)&gt;0)*($HB19&lt;&gt;TRUE)</f>
        <v>0</v>
      </c>
      <c r="HF19">
        <f>IF($HE19=0,0,13-MAX((COUNTIF($G19:$V19,TRUE)&gt;0)*($W19&lt;&gt;TRUE)*12,(COUNTIF($X19:$AM19,TRUE)&gt;0)*($AN19&lt;&gt;TRUE)*11,(COUNTIF($AO19:$BD19,TRUE)&gt;0)*($BE19&lt;&gt;TRUE)*10,(COUNTIF($BF19:$BU19,TRUE)&gt;0)*($BV19&lt;&gt;TRUE)*9,(COUNTIF($BW19:$CL19,TRUE)&gt;0)*($CM19&lt;&gt;TRUE)*8,(COUNTIF($CN19:$DC19,TRUE)&gt;0)*($DD19&lt;&gt;TRUE)*7,(COUNTIF($DE19:$DT19,TRUE)&gt;0)*($DU19&lt;&gt;TRUE)*6,(COUNTIF($DV19:$EK19,TRUE)&gt;0)*($EL19&lt;&gt;TRUE)*5,(COUNTIF($EM19:$FB19,TRUE)&gt;0)*($FC19&lt;&gt;TRUE)*4,(COUNTIF($FD19:$FS19,TRUE)&gt;0)*($FT19&lt;&gt;TRUE)*3,(COUNTIF($FU19:$GJ19,TRUE)&gt;0)*($GK19&lt;&gt;TRUE)*2,(COUNTIF($GL19:$HA19,TRUE)&gt;0)*($HB19&lt;&gt;TRUE)*1))</f>
        <v>0</v>
      </c>
    </row>
    <row r="20" ht="16.5" customHeight="1">
      <c r="A20" s="36" t="inlineStr">
        <is>
          <t>العدد</t>
        </is>
      </c>
      <c r="B20" s="4" t="n"/>
      <c r="C20" s="136" t="n"/>
      <c r="D20" s="13" t="n"/>
      <c r="E20" s="13" t="n"/>
      <c r="F20" s="4" t="n"/>
      <c r="G20" s="137">
        <f>COUNTIF(G5:G19,TRUE)</f>
        <v>0</v>
      </c>
      <c r="H20" s="137">
        <f>COUNTIF(H5:H19,TRUE)</f>
        <v>0</v>
      </c>
      <c r="I20" s="137">
        <f>COUNTIF(I5:I19,TRUE)</f>
        <v>0</v>
      </c>
      <c r="J20" s="137">
        <f>COUNTIF(J5:J19,TRUE)</f>
        <v>0</v>
      </c>
      <c r="K20" s="137">
        <f>COUNTIF(K5:K19,TRUE)</f>
        <v>0</v>
      </c>
      <c r="L20" s="137">
        <f>COUNTIF(L5:L19,TRUE)</f>
        <v>0</v>
      </c>
      <c r="M20" s="137">
        <f>COUNTIF(M5:M19,TRUE)</f>
        <v>0</v>
      </c>
      <c r="N20" s="137">
        <f>COUNTIF(N5:N19,TRUE)</f>
        <v>0</v>
      </c>
      <c r="O20" s="137">
        <f>COUNTIF(O5:O19,TRUE)</f>
        <v>0</v>
      </c>
      <c r="P20" s="137">
        <f>COUNTIF(P5:P19,TRUE)</f>
        <v>0</v>
      </c>
      <c r="Q20" s="137">
        <f>COUNTIF(Q5:Q19,TRUE)</f>
        <v>0</v>
      </c>
      <c r="R20" s="137">
        <f>COUNTIF(R5:R19,TRUE)</f>
        <v>0</v>
      </c>
      <c r="S20" s="137">
        <f>COUNTIF(S5:S19,TRUE)</f>
        <v>0</v>
      </c>
      <c r="T20" s="137">
        <f>COUNTIF(T5:T19,TRUE)</f>
        <v>0</v>
      </c>
      <c r="U20" s="137">
        <f>COUNTIF(U5:U19,TRUE)</f>
        <v>0</v>
      </c>
      <c r="V20" s="137">
        <f>COUNTIF(V5:V19,TRUE)</f>
        <v>0</v>
      </c>
      <c r="W20" s="137">
        <f>COUNTIF(W5:W19,TRUE)</f>
        <v>0</v>
      </c>
      <c r="X20" s="137">
        <f>COUNTIF(X5:X19,TRUE)</f>
        <v>0</v>
      </c>
      <c r="Y20" s="137">
        <f>COUNTIF(Y5:Y19,TRUE)</f>
        <v>0</v>
      </c>
      <c r="Z20" s="137">
        <f>COUNTIF(Z5:Z19,TRUE)</f>
        <v>0</v>
      </c>
      <c r="AA20" s="137">
        <f>COUNTIF(AA5:AA19,TRUE)</f>
        <v>0</v>
      </c>
      <c r="AB20" s="137">
        <f>COUNTIF(AB5:AB19,TRUE)</f>
        <v>0</v>
      </c>
      <c r="AC20" s="137">
        <f>COUNTIF(AC5:AC19,TRUE)</f>
        <v>0</v>
      </c>
      <c r="AD20" s="137">
        <f>COUNTIF(AD5:AD19,TRUE)</f>
        <v>0</v>
      </c>
      <c r="AE20" s="137">
        <f>COUNTIF(AE5:AE19,TRUE)</f>
        <v>0</v>
      </c>
      <c r="AF20" s="137">
        <f>COUNTIF(AF5:AF19,TRUE)</f>
        <v>0</v>
      </c>
      <c r="AG20" s="137">
        <f>COUNTIF(AG5:AG19,TRUE)</f>
        <v>0</v>
      </c>
      <c r="AH20" s="137">
        <f>COUNTIF(AH5:AH19,TRUE)</f>
        <v>0</v>
      </c>
      <c r="AI20" s="137">
        <f>COUNTIF(AI5:AI19,TRUE)</f>
        <v>0</v>
      </c>
      <c r="AJ20" s="137">
        <f>COUNTIF(AJ5:AJ19,TRUE)</f>
        <v>0</v>
      </c>
      <c r="AK20" s="137">
        <f>COUNTIF(AK5:AK19,TRUE)</f>
        <v>0</v>
      </c>
      <c r="AL20" s="137">
        <f>COUNTIF(AL5:AL19,TRUE)</f>
        <v>0</v>
      </c>
      <c r="AM20" s="137">
        <f>COUNTIF(AM5:AM19,TRUE)</f>
        <v>0</v>
      </c>
      <c r="AN20" s="137">
        <f>COUNTIF(AN5:AN19,TRUE)</f>
        <v>0</v>
      </c>
      <c r="AO20" s="137">
        <f>COUNTIF(AO5:AO19,TRUE)</f>
        <v>0</v>
      </c>
      <c r="AP20" s="137">
        <f>COUNTIF(AP5:AP19,TRUE)</f>
        <v>0</v>
      </c>
      <c r="AQ20" s="137">
        <f>COUNTIF(AQ5:AQ19,TRUE)</f>
        <v>0</v>
      </c>
      <c r="AR20" s="137">
        <f>COUNTIF(AR5:AR19,TRUE)</f>
        <v>0</v>
      </c>
      <c r="AS20" s="137">
        <f>COUNTIF(AS5:AS19,TRUE)</f>
        <v>0</v>
      </c>
      <c r="AT20" s="137">
        <f>COUNTIF(AT5:AT19,TRUE)</f>
        <v>0</v>
      </c>
      <c r="AU20" s="137">
        <f>COUNTIF(AU5:AU19,TRUE)</f>
        <v>0</v>
      </c>
      <c r="AV20" s="137">
        <f>COUNTIF(AV5:AV19,TRUE)</f>
        <v>0</v>
      </c>
      <c r="AW20" s="137">
        <f>COUNTIF(AW5:AW19,TRUE)</f>
        <v>0</v>
      </c>
      <c r="AX20" s="137">
        <f>COUNTIF(AX5:AX19,TRUE)</f>
        <v>0</v>
      </c>
      <c r="AY20" s="137">
        <f>COUNTIF(AY5:AY19,TRUE)</f>
        <v>0</v>
      </c>
      <c r="AZ20" s="137">
        <f>COUNTIF(AZ5:AZ19,TRUE)</f>
        <v>0</v>
      </c>
      <c r="BA20" s="137">
        <f>COUNTIF(BA5:BA19,TRUE)</f>
        <v>0</v>
      </c>
      <c r="BB20" s="137">
        <f>COUNTIF(BB5:BB19,TRUE)</f>
        <v>0</v>
      </c>
      <c r="BC20" s="137">
        <f>COUNTIF(BC5:BC19,TRUE)</f>
        <v>0</v>
      </c>
      <c r="BD20" s="137">
        <f>COUNTIF(BD5:BD19,TRUE)</f>
        <v>0</v>
      </c>
      <c r="BE20" s="137">
        <f>COUNTIF(BE5:BE19,TRUE)</f>
        <v>0</v>
      </c>
      <c r="BF20" s="137">
        <f>COUNTIF(BF5:BF19,TRUE)</f>
        <v>0</v>
      </c>
      <c r="BG20" s="137">
        <f>COUNTIF(BG5:BG19,TRUE)</f>
        <v>0</v>
      </c>
      <c r="BH20" s="137">
        <f>COUNTIF(BH5:BH19,TRUE)</f>
        <v>0</v>
      </c>
      <c r="BI20" s="137">
        <f>COUNTIF(BI5:BI19,TRUE)</f>
        <v>0</v>
      </c>
      <c r="BJ20" s="137">
        <f>COUNTIF(BJ5:BJ19,TRUE)</f>
        <v>0</v>
      </c>
      <c r="BK20" s="137">
        <f>COUNTIF(BK5:BK19,TRUE)</f>
        <v>0</v>
      </c>
      <c r="BL20" s="137">
        <f>COUNTIF(BL5:BL19,TRUE)</f>
        <v>0</v>
      </c>
      <c r="BM20" s="137">
        <f>COUNTIF(BM5:BM19,TRUE)</f>
        <v>0</v>
      </c>
      <c r="BN20" s="137">
        <f>COUNTIF(BN5:BN19,TRUE)</f>
        <v>0</v>
      </c>
      <c r="BO20" s="137">
        <f>COUNTIF(BO5:BO19,TRUE)</f>
        <v>0</v>
      </c>
      <c r="BP20" s="137">
        <f>COUNTIF(BP5:BP19,TRUE)</f>
        <v>0</v>
      </c>
      <c r="BQ20" s="137">
        <f>COUNTIF(BQ5:BQ19,TRUE)</f>
        <v>0</v>
      </c>
      <c r="BR20" s="137">
        <f>COUNTIF(BR5:BR19,TRUE)</f>
        <v>0</v>
      </c>
      <c r="BS20" s="137">
        <f>COUNTIF(BS5:BS19,TRUE)</f>
        <v>0</v>
      </c>
      <c r="BT20" s="137">
        <f>COUNTIF(BT5:BT19,TRUE)</f>
        <v>0</v>
      </c>
      <c r="BU20" s="137">
        <f>COUNTIF(BU5:BU19,TRUE)</f>
        <v>0</v>
      </c>
      <c r="BV20" s="137">
        <f>COUNTIF(BV5:BV19,TRUE)</f>
        <v>0</v>
      </c>
      <c r="BW20" s="137">
        <f>COUNTIF(BW5:BW19,TRUE)</f>
        <v>0</v>
      </c>
      <c r="BX20" s="137">
        <f>COUNTIF(BX5:BX19,TRUE)</f>
        <v>0</v>
      </c>
      <c r="BY20" s="137">
        <f>COUNTIF(BY5:BY19,TRUE)</f>
        <v>0</v>
      </c>
      <c r="BZ20" s="137">
        <f>COUNTIF(BZ5:BZ19,TRUE)</f>
        <v>0</v>
      </c>
      <c r="CA20" s="137">
        <f>COUNTIF(CA5:CA19,TRUE)</f>
        <v>0</v>
      </c>
      <c r="CB20" s="137">
        <f>COUNTIF(CB5:CB19,TRUE)</f>
        <v>0</v>
      </c>
      <c r="CC20" s="137">
        <f>COUNTIF(CC5:CC19,TRUE)</f>
        <v>0</v>
      </c>
      <c r="CD20" s="137">
        <f>COUNTIF(CD5:CD19,TRUE)</f>
        <v>0</v>
      </c>
      <c r="CE20" s="137">
        <f>COUNTIF(CE5:CE19,TRUE)</f>
        <v>0</v>
      </c>
      <c r="CF20" s="137">
        <f>COUNTIF(CF5:CF19,TRUE)</f>
        <v>0</v>
      </c>
      <c r="CG20" s="137">
        <f>COUNTIF(CG5:CG19,TRUE)</f>
        <v>0</v>
      </c>
      <c r="CH20" s="137">
        <f>COUNTIF(CH5:CH19,TRUE)</f>
        <v>0</v>
      </c>
      <c r="CI20" s="137">
        <f>COUNTIF(CI5:CI19,TRUE)</f>
        <v>0</v>
      </c>
      <c r="CJ20" s="137">
        <f>COUNTIF(CJ5:CJ19,TRUE)</f>
        <v>0</v>
      </c>
      <c r="CK20" s="137">
        <f>COUNTIF(CK5:CK19,TRUE)</f>
        <v>0</v>
      </c>
      <c r="CL20" s="137">
        <f>COUNTIF(CL5:CL19,TRUE)</f>
        <v>0</v>
      </c>
      <c r="CM20" s="137">
        <f>COUNTIF(CM5:CM19,TRUE)</f>
        <v>0</v>
      </c>
      <c r="CN20" s="137">
        <f>COUNTIF(CN5:CN19,TRUE)</f>
        <v>0</v>
      </c>
      <c r="CO20" s="137">
        <f>COUNTIF(CO5:CO19,TRUE)</f>
        <v>0</v>
      </c>
      <c r="CP20" s="137">
        <f>COUNTIF(CP5:CP19,TRUE)</f>
        <v>0</v>
      </c>
      <c r="CQ20" s="137">
        <f>COUNTIF(CQ5:CQ19,TRUE)</f>
        <v>0</v>
      </c>
      <c r="CR20" s="137">
        <f>COUNTIF(CR5:CR19,TRUE)</f>
        <v>0</v>
      </c>
      <c r="CS20" s="137">
        <f>COUNTIF(CS5:CS19,TRUE)</f>
        <v>0</v>
      </c>
      <c r="CT20" s="137">
        <f>COUNTIF(CT5:CT19,TRUE)</f>
        <v>0</v>
      </c>
      <c r="CU20" s="137">
        <f>COUNTIF(CU5:CU19,TRUE)</f>
        <v>0</v>
      </c>
      <c r="CV20" s="137">
        <f>COUNTIF(CV5:CV19,TRUE)</f>
        <v>0</v>
      </c>
      <c r="CW20" s="137">
        <f>COUNTIF(CW5:CW19,TRUE)</f>
        <v>0</v>
      </c>
      <c r="CX20" s="137">
        <f>COUNTIF(CX5:CX19,TRUE)</f>
        <v>0</v>
      </c>
      <c r="CY20" s="137">
        <f>COUNTIF(CY5:CY19,TRUE)</f>
        <v>0</v>
      </c>
      <c r="CZ20" s="137">
        <f>COUNTIF(CZ5:CZ19,TRUE)</f>
        <v>0</v>
      </c>
      <c r="DA20" s="137">
        <f>COUNTIF(DA5:DA19,TRUE)</f>
        <v>0</v>
      </c>
      <c r="DB20" s="137">
        <f>COUNTIF(DB5:DB19,TRUE)</f>
        <v>0</v>
      </c>
      <c r="DC20" s="137">
        <f>COUNTIF(DC5:DC19,TRUE)</f>
        <v>0</v>
      </c>
      <c r="DD20" s="137">
        <f>COUNTIF(DD5:DD19,TRUE)</f>
        <v>0</v>
      </c>
      <c r="DE20" s="137">
        <f>COUNTIF(DE5:DE19,TRUE)</f>
        <v>0</v>
      </c>
      <c r="DF20" s="137">
        <f>COUNTIF(DF5:DF19,TRUE)</f>
        <v>0</v>
      </c>
      <c r="DG20" s="137">
        <f>COUNTIF(DG5:DG19,TRUE)</f>
        <v>0</v>
      </c>
      <c r="DH20" s="137">
        <f>COUNTIF(DH5:DH19,TRUE)</f>
        <v>0</v>
      </c>
      <c r="DI20" s="137">
        <f>COUNTIF(DI5:DI19,TRUE)</f>
        <v>0</v>
      </c>
      <c r="DJ20" s="137">
        <f>COUNTIF(DJ5:DJ19,TRUE)</f>
        <v>0</v>
      </c>
      <c r="DK20" s="137">
        <f>COUNTIF(DK5:DK19,TRUE)</f>
        <v>0</v>
      </c>
      <c r="DL20" s="137">
        <f>COUNTIF(DL5:DL19,TRUE)</f>
        <v>0</v>
      </c>
      <c r="DM20" s="137">
        <f>COUNTIF(DM5:DM19,TRUE)</f>
        <v>0</v>
      </c>
      <c r="DN20" s="137">
        <f>COUNTIF(DN5:DN19,TRUE)</f>
        <v>0</v>
      </c>
      <c r="DO20" s="137">
        <f>COUNTIF(DO5:DO19,TRUE)</f>
        <v>0</v>
      </c>
      <c r="DP20" s="137">
        <f>COUNTIF(DP5:DP19,TRUE)</f>
        <v>0</v>
      </c>
      <c r="DQ20" s="137">
        <f>COUNTIF(DQ5:DQ19,TRUE)</f>
        <v>0</v>
      </c>
      <c r="DR20" s="137">
        <f>COUNTIF(DR5:DR19,TRUE)</f>
        <v>0</v>
      </c>
      <c r="DS20" s="137">
        <f>COUNTIF(DS5:DS19,TRUE)</f>
        <v>0</v>
      </c>
      <c r="DT20" s="137">
        <f>COUNTIF(DT5:DT19,TRUE)</f>
        <v>0</v>
      </c>
      <c r="DU20" s="137">
        <f>COUNTIF(DU5:DU19,TRUE)</f>
        <v>0</v>
      </c>
      <c r="DV20" s="137">
        <f>COUNTIF(DV5:DV19,TRUE)</f>
        <v>0</v>
      </c>
      <c r="DW20" s="137">
        <f>COUNTIF(DW5:DW19,TRUE)</f>
        <v>0</v>
      </c>
      <c r="DX20" s="137">
        <f>COUNTIF(DX5:DX19,TRUE)</f>
        <v>0</v>
      </c>
      <c r="DY20" s="137">
        <f>COUNTIF(DY5:DY19,TRUE)</f>
        <v>0</v>
      </c>
      <c r="DZ20" s="137">
        <f>COUNTIF(DZ5:DZ19,TRUE)</f>
        <v>0</v>
      </c>
      <c r="EA20" s="137">
        <f>COUNTIF(EA5:EA19,TRUE)</f>
        <v>0</v>
      </c>
      <c r="EB20" s="137">
        <f>COUNTIF(EB5:EB19,TRUE)</f>
        <v>0</v>
      </c>
      <c r="EC20" s="137">
        <f>COUNTIF(EC5:EC19,TRUE)</f>
        <v>0</v>
      </c>
      <c r="ED20" s="137">
        <f>COUNTIF(ED5:ED19,TRUE)</f>
        <v>0</v>
      </c>
      <c r="EE20" s="137">
        <f>COUNTIF(EE5:EE19,TRUE)</f>
        <v>0</v>
      </c>
      <c r="EF20" s="137">
        <f>COUNTIF(EF5:EF19,TRUE)</f>
        <v>0</v>
      </c>
      <c r="EG20" s="137">
        <f>COUNTIF(EG5:EG19,TRUE)</f>
        <v>0</v>
      </c>
      <c r="EH20" s="137">
        <f>COUNTIF(EH5:EH19,TRUE)</f>
        <v>0</v>
      </c>
      <c r="EI20" s="137">
        <f>COUNTIF(EI5:EI19,TRUE)</f>
        <v>0</v>
      </c>
      <c r="EJ20" s="137">
        <f>COUNTIF(EJ5:EJ19,TRUE)</f>
        <v>0</v>
      </c>
      <c r="EK20" s="137">
        <f>COUNTIF(EK5:EK19,TRUE)</f>
        <v>0</v>
      </c>
      <c r="EL20" s="137">
        <f>COUNTIF(EL5:EL19,TRUE)</f>
        <v>0</v>
      </c>
      <c r="EM20" s="137">
        <f>COUNTIF(EM5:EM19,TRUE)</f>
        <v>0</v>
      </c>
      <c r="EN20" s="137">
        <f>COUNTIF(EN5:EN19,TRUE)</f>
        <v>0</v>
      </c>
      <c r="EO20" s="137">
        <f>COUNTIF(EO5:EO19,TRUE)</f>
        <v>0</v>
      </c>
      <c r="EP20" s="137">
        <f>COUNTIF(EP5:EP19,TRUE)</f>
        <v>0</v>
      </c>
      <c r="EQ20" s="137">
        <f>COUNTIF(EQ5:EQ19,TRUE)</f>
        <v>0</v>
      </c>
      <c r="ER20" s="137">
        <f>COUNTIF(ER5:ER19,TRUE)</f>
        <v>0</v>
      </c>
      <c r="ES20" s="137">
        <f>COUNTIF(ES5:ES19,TRUE)</f>
        <v>0</v>
      </c>
      <c r="ET20" s="137">
        <f>COUNTIF(ET5:ET19,TRUE)</f>
        <v>0</v>
      </c>
      <c r="EU20" s="137">
        <f>COUNTIF(EU5:EU19,TRUE)</f>
        <v>0</v>
      </c>
      <c r="EV20" s="137">
        <f>COUNTIF(EV5:EV19,TRUE)</f>
        <v>0</v>
      </c>
      <c r="EW20" s="137">
        <f>COUNTIF(EW5:EW19,TRUE)</f>
        <v>0</v>
      </c>
      <c r="EX20" s="137">
        <f>COUNTIF(EX5:EX19,TRUE)</f>
        <v>0</v>
      </c>
      <c r="EY20" s="137">
        <f>COUNTIF(EY5:EY19,TRUE)</f>
        <v>0</v>
      </c>
      <c r="EZ20" s="137">
        <f>COUNTIF(EZ5:EZ19,TRUE)</f>
        <v>0</v>
      </c>
      <c r="FA20" s="137">
        <f>COUNTIF(FA5:FA19,TRUE)</f>
        <v>0</v>
      </c>
      <c r="FB20" s="137">
        <f>COUNTIF(FB5:FB19,TRUE)</f>
        <v>0</v>
      </c>
      <c r="FC20" s="137">
        <f>COUNTIF(FC5:FC19,TRUE)</f>
        <v>0</v>
      </c>
      <c r="FD20" s="137">
        <f>COUNTIF(FD5:FD19,TRUE)</f>
        <v>0</v>
      </c>
      <c r="FE20" s="137">
        <f>COUNTIF(FE5:FE19,TRUE)</f>
        <v>0</v>
      </c>
      <c r="FF20" s="137">
        <f>COUNTIF(FF5:FF19,TRUE)</f>
        <v>0</v>
      </c>
      <c r="FG20" s="137">
        <f>COUNTIF(FG5:FG19,TRUE)</f>
        <v>0</v>
      </c>
      <c r="FH20" s="137">
        <f>COUNTIF(FH5:FH19,TRUE)</f>
        <v>0</v>
      </c>
      <c r="FI20" s="137">
        <f>COUNTIF(FI5:FI19,TRUE)</f>
        <v>0</v>
      </c>
      <c r="FJ20" s="137">
        <f>COUNTIF(FJ5:FJ19,TRUE)</f>
        <v>0</v>
      </c>
      <c r="FK20" s="137">
        <f>COUNTIF(FK5:FK19,TRUE)</f>
        <v>0</v>
      </c>
      <c r="FL20" s="137">
        <f>COUNTIF(FL5:FL19,TRUE)</f>
        <v>0</v>
      </c>
      <c r="FM20" s="137">
        <f>COUNTIF(FM5:FM19,TRUE)</f>
        <v>0</v>
      </c>
      <c r="FN20" s="137">
        <f>COUNTIF(FN5:FN19,TRUE)</f>
        <v>0</v>
      </c>
      <c r="FO20" s="137">
        <f>COUNTIF(FO5:FO19,TRUE)</f>
        <v>0</v>
      </c>
      <c r="FP20" s="137">
        <f>COUNTIF(FP5:FP19,TRUE)</f>
        <v>0</v>
      </c>
      <c r="FQ20" s="137">
        <f>COUNTIF(FQ5:FQ19,TRUE)</f>
        <v>0</v>
      </c>
      <c r="FR20" s="137">
        <f>COUNTIF(FR5:FR19,TRUE)</f>
        <v>0</v>
      </c>
      <c r="FS20" s="137">
        <f>COUNTIF(FS5:FS19,TRUE)</f>
        <v>0</v>
      </c>
      <c r="FT20" s="137">
        <f>COUNTIF(FT5:FT19,TRUE)</f>
        <v>0</v>
      </c>
      <c r="FU20" s="137">
        <f>COUNTIF(FU5:FU19,TRUE)</f>
        <v>0</v>
      </c>
      <c r="FV20" s="137">
        <f>COUNTIF(FV5:FV19,TRUE)</f>
        <v>0</v>
      </c>
      <c r="FW20" s="137">
        <f>COUNTIF(FW5:FW19,TRUE)</f>
        <v>0</v>
      </c>
      <c r="FX20" s="137">
        <f>COUNTIF(FX5:FX19,TRUE)</f>
        <v>0</v>
      </c>
      <c r="FY20" s="137">
        <f>COUNTIF(FY5:FY19,TRUE)</f>
        <v>0</v>
      </c>
      <c r="FZ20" s="137">
        <f>COUNTIF(FZ5:FZ19,TRUE)</f>
        <v>0</v>
      </c>
      <c r="GA20" s="137">
        <f>COUNTIF(GA5:GA19,TRUE)</f>
        <v>0</v>
      </c>
      <c r="GB20" s="137">
        <f>COUNTIF(GB5:GB19,TRUE)</f>
        <v>0</v>
      </c>
      <c r="GC20" s="137">
        <f>COUNTIF(GC5:GC19,TRUE)</f>
        <v>0</v>
      </c>
      <c r="GD20" s="137">
        <f>COUNTIF(GD5:GD19,TRUE)</f>
        <v>0</v>
      </c>
      <c r="GE20" s="137">
        <f>COUNTIF(GE5:GE19,TRUE)</f>
        <v>0</v>
      </c>
      <c r="GF20" s="137">
        <f>COUNTIF(GF5:GF19,TRUE)</f>
        <v>0</v>
      </c>
      <c r="GG20" s="137">
        <f>COUNTIF(GG5:GG19,TRUE)</f>
        <v>0</v>
      </c>
      <c r="GH20" s="137">
        <f>COUNTIF(GH5:GH19,TRUE)</f>
        <v>0</v>
      </c>
      <c r="GI20" s="137">
        <f>COUNTIF(GI5:GI19,TRUE)</f>
        <v>0</v>
      </c>
      <c r="GJ20" s="137">
        <f>COUNTIF(GJ5:GJ19,TRUE)</f>
        <v>0</v>
      </c>
      <c r="GK20" s="137">
        <f>COUNTIF(GK5:GK19,TRUE)</f>
        <v>0</v>
      </c>
      <c r="GL20" s="137">
        <f>COUNTIF(GL5:GL19,TRUE)</f>
        <v>0</v>
      </c>
      <c r="GM20" s="137">
        <f>COUNTIF(GM5:GM19,TRUE)</f>
        <v>0</v>
      </c>
      <c r="GN20" s="137">
        <f>COUNTIF(GN5:GN19,TRUE)</f>
        <v>0</v>
      </c>
      <c r="GO20" s="137">
        <f>COUNTIF(GO5:GO19,TRUE)</f>
        <v>0</v>
      </c>
      <c r="GP20" s="137">
        <f>COUNTIF(GP5:GP19,TRUE)</f>
        <v>0</v>
      </c>
      <c r="GQ20" s="137">
        <f>COUNTIF(GQ5:GQ19,TRUE)</f>
        <v>0</v>
      </c>
      <c r="GR20" s="137">
        <f>COUNTIF(GR5:GR19,TRUE)</f>
        <v>0</v>
      </c>
      <c r="GS20" s="137">
        <f>COUNTIF(GS5:GS19,TRUE)</f>
        <v>0</v>
      </c>
      <c r="GT20" s="137">
        <f>COUNTIF(GT5:GT19,TRUE)</f>
        <v>0</v>
      </c>
      <c r="GU20" s="137">
        <f>COUNTIF(GU5:GU19,TRUE)</f>
        <v>0</v>
      </c>
      <c r="GV20" s="137">
        <f>COUNTIF(GV5:GV19,TRUE)</f>
        <v>0</v>
      </c>
      <c r="GW20" s="137">
        <f>COUNTIF(GW5:GW19,TRUE)</f>
        <v>0</v>
      </c>
      <c r="GX20" s="137">
        <f>COUNTIF(GX5:GX19,TRUE)</f>
        <v>0</v>
      </c>
      <c r="GY20" s="137">
        <f>COUNTIF(GY5:GY19,TRUE)</f>
        <v>0</v>
      </c>
      <c r="GZ20" s="137">
        <f>COUNTIF(GZ5:GZ19,TRUE)</f>
        <v>0</v>
      </c>
      <c r="HA20" s="137">
        <f>COUNTIF(HA5:HA19,TRUE)</f>
        <v>0</v>
      </c>
      <c r="HB20" s="137">
        <f>COUNTIF(HB5:HB19,TRUE)</f>
        <v>0</v>
      </c>
    </row>
    <row r="21" ht="7.5" customHeight="1"/>
    <row r="22" ht="15" customHeight="1">
      <c r="A22" s="138" t="inlineStr">
        <is>
          <t>الحصة الجاية: هنعمل إيه؟</t>
        </is>
      </c>
      <c r="B22" s="4" t="n"/>
      <c r="C22" s="138" t="inlineStr">
        <is>
          <t>ميعادها حسب صفحة المواعيد</t>
        </is>
      </c>
      <c r="D22" s="13" t="n"/>
      <c r="E22" s="13" t="n"/>
      <c r="F22" s="4" t="n"/>
    </row>
    <row r="23" ht="42" customHeight="1">
      <c r="A23" s="139" t="n"/>
      <c r="B23" s="4" t="n"/>
      <c r="C23" s="140" t="str">
        <f>IF($HF$4="","مفيش ميعاد للمجموعة دي في صفحة المواعيد",$HF$4)</f>
        <v>مفيش ميعاد للمجموعة دي في صفحة المواعيد</v>
      </c>
      <c r="D23" s="13" t="n"/>
      <c r="E23" s="13" t="n"/>
      <c r="F23" s="4" t="n"/>
    </row>
    <row r="24" ht="15" customHeight="1">
      <c r="A24" s="138" t="inlineStr">
        <is>
          <t>ميعاد مختلف؟ (اختياري)</t>
        </is>
      </c>
      <c r="B24" s="4" t="n"/>
      <c r="C24" s="141" t="inlineStr">
        <is>
          <t>لو الحصة اتأجلت أو في حصة إضافية، اكتبي ميعادها في الخانة البيضا</t>
        </is>
      </c>
      <c r="D24" s="42" t="n"/>
      <c r="E24" s="42" t="n"/>
      <c r="F24" s="43" t="n"/>
    </row>
    <row r="25" ht="22.5" customHeight="1">
      <c r="A25" s="139" t="n"/>
      <c r="B25" s="4" t="n"/>
      <c r="C25" s="71" t="n"/>
      <c r="D25" s="73" t="n"/>
      <c r="E25" s="73" t="n"/>
      <c r="F25" s="72" t="n"/>
    </row>
    <row r="26" ht="10.5" customHeight="1"/>
    <row r="27" ht="21" customHeight="1">
      <c r="A27" s="76" t="inlineStr">
        <is>
          <t>الدرجات · نوع الامتحان</t>
        </is>
      </c>
      <c r="B27" s="4" t="n"/>
      <c r="C27" s="142" t="inlineStr">
        <is>
          <t>النسبة والترتيب على:</t>
        </is>
      </c>
      <c r="D27" s="13" t="n"/>
      <c r="E27" s="4" t="n"/>
      <c r="F27" s="15" t="inlineStr">
        <is>
          <t>الكل</t>
        </is>
      </c>
      <c r="G27" s="143" t="n"/>
      <c r="H27" s="4" t="n"/>
      <c r="I27" s="143" t="n"/>
      <c r="J27" s="4" t="n"/>
      <c r="K27" s="143" t="n"/>
      <c r="L27" s="4" t="n"/>
      <c r="M27" s="143" t="n"/>
      <c r="N27" s="4" t="n"/>
      <c r="O27" s="143" t="n"/>
      <c r="P27" s="4" t="n"/>
      <c r="Q27" s="143" t="n"/>
      <c r="R27" s="4" t="n"/>
      <c r="S27" s="143" t="n"/>
      <c r="T27" s="4" t="n"/>
      <c r="U27" s="143" t="n"/>
      <c r="V27" s="4" t="n"/>
      <c r="W27" s="144" t="inlineStr">
        <is>
          <t>ملاحظات
(سبب الغياب)</t>
        </is>
      </c>
      <c r="X27" s="143" t="n"/>
      <c r="Y27" s="4" t="n"/>
      <c r="Z27" s="143" t="n"/>
      <c r="AA27" s="4" t="n"/>
      <c r="AB27" s="143" t="n"/>
      <c r="AC27" s="4" t="n"/>
      <c r="AD27" s="143" t="n"/>
      <c r="AE27" s="4" t="n"/>
      <c r="AF27" s="143" t="n"/>
      <c r="AG27" s="4" t="n"/>
      <c r="AH27" s="143" t="n"/>
      <c r="AI27" s="4" t="n"/>
      <c r="AJ27" s="143" t="n"/>
      <c r="AK27" s="4" t="n"/>
      <c r="AL27" s="143" t="n"/>
      <c r="AM27" s="4" t="n"/>
      <c r="AN27" s="145" t="inlineStr">
        <is>
          <t>ملاحظات
(سبب الغياب)</t>
        </is>
      </c>
      <c r="AO27" s="143" t="n"/>
      <c r="AP27" s="4" t="n"/>
      <c r="AQ27" s="143" t="n"/>
      <c r="AR27" s="4" t="n"/>
      <c r="AS27" s="143" t="n"/>
      <c r="AT27" s="4" t="n"/>
      <c r="AU27" s="143" t="n"/>
      <c r="AV27" s="4" t="n"/>
      <c r="AW27" s="143" t="n"/>
      <c r="AX27" s="4" t="n"/>
      <c r="AY27" s="143" t="n"/>
      <c r="AZ27" s="4" t="n"/>
      <c r="BA27" s="143" t="n"/>
      <c r="BB27" s="4" t="n"/>
      <c r="BC27" s="143" t="n"/>
      <c r="BD27" s="4" t="n"/>
      <c r="BE27" s="146" t="inlineStr">
        <is>
          <t>ملاحظات
(سبب الغياب)</t>
        </is>
      </c>
      <c r="BF27" s="143" t="n"/>
      <c r="BG27" s="4" t="n"/>
      <c r="BH27" s="143" t="n"/>
      <c r="BI27" s="4" t="n"/>
      <c r="BJ27" s="143" t="n"/>
      <c r="BK27" s="4" t="n"/>
      <c r="BL27" s="143" t="n"/>
      <c r="BM27" s="4" t="n"/>
      <c r="BN27" s="143" t="n"/>
      <c r="BO27" s="4" t="n"/>
      <c r="BP27" s="143" t="n"/>
      <c r="BQ27" s="4" t="n"/>
      <c r="BR27" s="143" t="n"/>
      <c r="BS27" s="4" t="n"/>
      <c r="BT27" s="143" t="n"/>
      <c r="BU27" s="4" t="n"/>
      <c r="BV27" s="147" t="inlineStr">
        <is>
          <t>ملاحظات
(سبب الغياب)</t>
        </is>
      </c>
      <c r="BW27" s="143" t="n"/>
      <c r="BX27" s="4" t="n"/>
      <c r="BY27" s="143" t="n"/>
      <c r="BZ27" s="4" t="n"/>
      <c r="CA27" s="143" t="n"/>
      <c r="CB27" s="4" t="n"/>
      <c r="CC27" s="143" t="n"/>
      <c r="CD27" s="4" t="n"/>
      <c r="CE27" s="143" t="n"/>
      <c r="CF27" s="4" t="n"/>
      <c r="CG27" s="143" t="n"/>
      <c r="CH27" s="4" t="n"/>
      <c r="CI27" s="143" t="n"/>
      <c r="CJ27" s="4" t="n"/>
      <c r="CK27" s="143" t="n"/>
      <c r="CL27" s="4" t="n"/>
      <c r="CM27" s="148" t="inlineStr">
        <is>
          <t>ملاحظات
(سبب الغياب)</t>
        </is>
      </c>
      <c r="CN27" s="143" t="n"/>
      <c r="CO27" s="4" t="n"/>
      <c r="CP27" s="143" t="n"/>
      <c r="CQ27" s="4" t="n"/>
      <c r="CR27" s="143" t="n"/>
      <c r="CS27" s="4" t="n"/>
      <c r="CT27" s="143" t="n"/>
      <c r="CU27" s="4" t="n"/>
      <c r="CV27" s="143" t="n"/>
      <c r="CW27" s="4" t="n"/>
      <c r="CX27" s="143" t="n"/>
      <c r="CY27" s="4" t="n"/>
      <c r="CZ27" s="143" t="n"/>
      <c r="DA27" s="4" t="n"/>
      <c r="DB27" s="143" t="n"/>
      <c r="DC27" s="4" t="n"/>
      <c r="DD27" s="149" t="inlineStr">
        <is>
          <t>ملاحظات
(سبب الغياب)</t>
        </is>
      </c>
      <c r="DE27" s="143" t="n"/>
      <c r="DF27" s="4" t="n"/>
      <c r="DG27" s="143" t="n"/>
      <c r="DH27" s="4" t="n"/>
      <c r="DI27" s="143" t="n"/>
      <c r="DJ27" s="4" t="n"/>
      <c r="DK27" s="143" t="n"/>
      <c r="DL27" s="4" t="n"/>
      <c r="DM27" s="143" t="n"/>
      <c r="DN27" s="4" t="n"/>
      <c r="DO27" s="143" t="n"/>
      <c r="DP27" s="4" t="n"/>
      <c r="DQ27" s="143" t="n"/>
      <c r="DR27" s="4" t="n"/>
      <c r="DS27" s="143" t="n"/>
      <c r="DT27" s="4" t="n"/>
      <c r="DU27" s="150" t="inlineStr">
        <is>
          <t>ملاحظات
(سبب الغياب)</t>
        </is>
      </c>
      <c r="DV27" s="143" t="n"/>
      <c r="DW27" s="4" t="n"/>
      <c r="DX27" s="143" t="n"/>
      <c r="DY27" s="4" t="n"/>
      <c r="DZ27" s="143" t="n"/>
      <c r="EA27" s="4" t="n"/>
      <c r="EB27" s="143" t="n"/>
      <c r="EC27" s="4" t="n"/>
      <c r="ED27" s="143" t="n"/>
      <c r="EE27" s="4" t="n"/>
      <c r="EF27" s="143" t="n"/>
      <c r="EG27" s="4" t="n"/>
      <c r="EH27" s="143" t="n"/>
      <c r="EI27" s="4" t="n"/>
      <c r="EJ27" s="143" t="n"/>
      <c r="EK27" s="4" t="n"/>
      <c r="EL27" s="151" t="inlineStr">
        <is>
          <t>ملاحظات
(سبب الغياب)</t>
        </is>
      </c>
      <c r="EM27" s="143" t="n"/>
      <c r="EN27" s="4" t="n"/>
      <c r="EO27" s="143" t="n"/>
      <c r="EP27" s="4" t="n"/>
      <c r="EQ27" s="143" t="n"/>
      <c r="ER27" s="4" t="n"/>
      <c r="ES27" s="143" t="n"/>
      <c r="ET27" s="4" t="n"/>
      <c r="EU27" s="143" t="n"/>
      <c r="EV27" s="4" t="n"/>
      <c r="EW27" s="143" t="n"/>
      <c r="EX27" s="4" t="n"/>
      <c r="EY27" s="143" t="n"/>
      <c r="EZ27" s="4" t="n"/>
      <c r="FA27" s="143" t="n"/>
      <c r="FB27" s="4" t="n"/>
      <c r="FC27" s="152" t="inlineStr">
        <is>
          <t>ملاحظات
(سبب الغياب)</t>
        </is>
      </c>
      <c r="FD27" s="143" t="n"/>
      <c r="FE27" s="4" t="n"/>
      <c r="FF27" s="143" t="n"/>
      <c r="FG27" s="4" t="n"/>
      <c r="FH27" s="143" t="n"/>
      <c r="FI27" s="4" t="n"/>
      <c r="FJ27" s="143" t="n"/>
      <c r="FK27" s="4" t="n"/>
      <c r="FL27" s="143" t="n"/>
      <c r="FM27" s="4" t="n"/>
      <c r="FN27" s="143" t="n"/>
      <c r="FO27" s="4" t="n"/>
      <c r="FP27" s="143" t="n"/>
      <c r="FQ27" s="4" t="n"/>
      <c r="FR27" s="143" t="n"/>
      <c r="FS27" s="4" t="n"/>
      <c r="FT27" s="153" t="inlineStr">
        <is>
          <t>ملاحظات
(سبب الغياب)</t>
        </is>
      </c>
      <c r="FU27" s="143" t="n"/>
      <c r="FV27" s="4" t="n"/>
      <c r="FW27" s="143" t="n"/>
      <c r="FX27" s="4" t="n"/>
      <c r="FY27" s="143" t="n"/>
      <c r="FZ27" s="4" t="n"/>
      <c r="GA27" s="143" t="n"/>
      <c r="GB27" s="4" t="n"/>
      <c r="GC27" s="143" t="n"/>
      <c r="GD27" s="4" t="n"/>
      <c r="GE27" s="143" t="n"/>
      <c r="GF27" s="4" t="n"/>
      <c r="GG27" s="143" t="n"/>
      <c r="GH27" s="4" t="n"/>
      <c r="GI27" s="143" t="n"/>
      <c r="GJ27" s="4" t="n"/>
      <c r="GK27" s="154" t="inlineStr">
        <is>
          <t>ملاحظات
(سبب الغياب)</t>
        </is>
      </c>
      <c r="GL27" s="143" t="n"/>
      <c r="GM27" s="4" t="n"/>
      <c r="GN27" s="143" t="n"/>
      <c r="GO27" s="4" t="n"/>
      <c r="GP27" s="143" t="n"/>
      <c r="GQ27" s="4" t="n"/>
      <c r="GR27" s="143" t="n"/>
      <c r="GS27" s="4" t="n"/>
      <c r="GT27" s="143" t="n"/>
      <c r="GU27" s="4" t="n"/>
      <c r="GV27" s="143" t="n"/>
      <c r="GW27" s="4" t="n"/>
      <c r="GX27" s="143" t="n"/>
      <c r="GY27" s="4" t="n"/>
      <c r="GZ27" s="143" t="n"/>
      <c r="HA27" s="4" t="n"/>
      <c r="HB27" s="155" t="inlineStr">
        <is>
          <t>ملاحظات
(سبب الغياب)</t>
        </is>
      </c>
    </row>
    <row r="28" ht="21" customHeight="1">
      <c r="A28" s="142" t="inlineStr">
        <is>
          <t>الدرجة النهائية (من كام)</t>
        </is>
      </c>
      <c r="B28" s="4" t="n"/>
      <c r="C28" s="156" t="inlineStr">
        <is>
          <t>الدرجة ما بتتحسبش من غير نهائية</t>
        </is>
      </c>
      <c r="D28" s="13" t="n"/>
      <c r="E28" s="13" t="n"/>
      <c r="F28" s="4" t="n"/>
      <c r="G28" s="15" t="n"/>
      <c r="H28" s="15" t="n"/>
      <c r="I28" s="15" t="n"/>
      <c r="J28" s="15" t="n"/>
      <c r="K28" s="15" t="n"/>
      <c r="L28" s="15" t="n"/>
      <c r="M28" s="15" t="n"/>
      <c r="N28" s="15" t="n"/>
      <c r="O28" s="15" t="n"/>
      <c r="P28" s="15" t="n"/>
      <c r="Q28" s="15" t="n"/>
      <c r="R28" s="15" t="n"/>
      <c r="S28" s="15" t="n"/>
      <c r="T28" s="15" t="n"/>
      <c r="U28" s="15" t="n"/>
      <c r="V28" s="15" t="n"/>
      <c r="W28" s="75" t="n"/>
      <c r="X28" s="15" t="n"/>
      <c r="Y28" s="15" t="n"/>
      <c r="Z28" s="15" t="n"/>
      <c r="AA28" s="15" t="n"/>
      <c r="AB28" s="15" t="n"/>
      <c r="AC28" s="15" t="n"/>
      <c r="AD28" s="15" t="n"/>
      <c r="AE28" s="15" t="n"/>
      <c r="AF28" s="15" t="n"/>
      <c r="AG28" s="15" t="n"/>
      <c r="AH28" s="15" t="n"/>
      <c r="AI28" s="15" t="n"/>
      <c r="AJ28" s="15" t="n"/>
      <c r="AK28" s="15" t="n"/>
      <c r="AL28" s="15" t="n"/>
      <c r="AM28" s="15" t="n"/>
      <c r="AN28" s="75" t="n"/>
      <c r="AO28" s="15" t="n"/>
      <c r="AP28" s="15" t="n"/>
      <c r="AQ28" s="15" t="n"/>
      <c r="AR28" s="15" t="n"/>
      <c r="AS28" s="15" t="n"/>
      <c r="AT28" s="15" t="n"/>
      <c r="AU28" s="15" t="n"/>
      <c r="AV28" s="15" t="n"/>
      <c r="AW28" s="15" t="n"/>
      <c r="AX28" s="15" t="n"/>
      <c r="AY28" s="15" t="n"/>
      <c r="AZ28" s="15" t="n"/>
      <c r="BA28" s="15" t="n"/>
      <c r="BB28" s="15" t="n"/>
      <c r="BC28" s="15" t="n"/>
      <c r="BD28" s="15" t="n"/>
      <c r="BE28" s="75" t="n"/>
      <c r="BF28" s="15" t="n"/>
      <c r="BG28" s="15" t="n"/>
      <c r="BH28" s="15" t="n"/>
      <c r="BI28" s="15" t="n"/>
      <c r="BJ28" s="15" t="n"/>
      <c r="BK28" s="15" t="n"/>
      <c r="BL28" s="15" t="n"/>
      <c r="BM28" s="15" t="n"/>
      <c r="BN28" s="15" t="n"/>
      <c r="BO28" s="15" t="n"/>
      <c r="BP28" s="15" t="n"/>
      <c r="BQ28" s="15" t="n"/>
      <c r="BR28" s="15" t="n"/>
      <c r="BS28" s="15" t="n"/>
      <c r="BT28" s="15" t="n"/>
      <c r="BU28" s="15" t="n"/>
      <c r="BV28" s="75" t="n"/>
      <c r="BW28" s="15" t="n"/>
      <c r="BX28" s="15" t="n"/>
      <c r="BY28" s="15" t="n"/>
      <c r="BZ28" s="15" t="n"/>
      <c r="CA28" s="15" t="n"/>
      <c r="CB28" s="15" t="n"/>
      <c r="CC28" s="15" t="n"/>
      <c r="CD28" s="15" t="n"/>
      <c r="CE28" s="15" t="n"/>
      <c r="CF28" s="15" t="n"/>
      <c r="CG28" s="15" t="n"/>
      <c r="CH28" s="15" t="n"/>
      <c r="CI28" s="15" t="n"/>
      <c r="CJ28" s="15" t="n"/>
      <c r="CK28" s="15" t="n"/>
      <c r="CL28" s="15" t="n"/>
      <c r="CM28" s="75" t="n"/>
      <c r="CN28" s="15" t="n"/>
      <c r="CO28" s="15" t="n"/>
      <c r="CP28" s="15" t="n"/>
      <c r="CQ28" s="15" t="n"/>
      <c r="CR28" s="15" t="n"/>
      <c r="CS28" s="15" t="n"/>
      <c r="CT28" s="15" t="n"/>
      <c r="CU28" s="15" t="n"/>
      <c r="CV28" s="15" t="n"/>
      <c r="CW28" s="15" t="n"/>
      <c r="CX28" s="15" t="n"/>
      <c r="CY28" s="15" t="n"/>
      <c r="CZ28" s="15" t="n"/>
      <c r="DA28" s="15" t="n"/>
      <c r="DB28" s="15" t="n"/>
      <c r="DC28" s="15" t="n"/>
      <c r="DD28" s="75" t="n"/>
      <c r="DE28" s="15" t="n"/>
      <c r="DF28" s="15" t="n"/>
      <c r="DG28" s="15" t="n"/>
      <c r="DH28" s="15" t="n"/>
      <c r="DI28" s="15" t="n"/>
      <c r="DJ28" s="15" t="n"/>
      <c r="DK28" s="15" t="n"/>
      <c r="DL28" s="15" t="n"/>
      <c r="DM28" s="15" t="n"/>
      <c r="DN28" s="15" t="n"/>
      <c r="DO28" s="15" t="n"/>
      <c r="DP28" s="15" t="n"/>
      <c r="DQ28" s="15" t="n"/>
      <c r="DR28" s="15" t="n"/>
      <c r="DS28" s="15" t="n"/>
      <c r="DT28" s="15" t="n"/>
      <c r="DU28" s="75" t="n"/>
      <c r="DV28" s="15" t="n"/>
      <c r="DW28" s="15" t="n"/>
      <c r="DX28" s="15" t="n"/>
      <c r="DY28" s="15" t="n"/>
      <c r="DZ28" s="15" t="n"/>
      <c r="EA28" s="15" t="n"/>
      <c r="EB28" s="15" t="n"/>
      <c r="EC28" s="15" t="n"/>
      <c r="ED28" s="15" t="n"/>
      <c r="EE28" s="15" t="n"/>
      <c r="EF28" s="15" t="n"/>
      <c r="EG28" s="15" t="n"/>
      <c r="EH28" s="15" t="n"/>
      <c r="EI28" s="15" t="n"/>
      <c r="EJ28" s="15" t="n"/>
      <c r="EK28" s="15" t="n"/>
      <c r="EL28" s="75" t="n"/>
      <c r="EM28" s="15" t="n"/>
      <c r="EN28" s="15" t="n"/>
      <c r="EO28" s="15" t="n"/>
      <c r="EP28" s="15" t="n"/>
      <c r="EQ28" s="15" t="n"/>
      <c r="ER28" s="15" t="n"/>
      <c r="ES28" s="15" t="n"/>
      <c r="ET28" s="15" t="n"/>
      <c r="EU28" s="15" t="n"/>
      <c r="EV28" s="15" t="n"/>
      <c r="EW28" s="15" t="n"/>
      <c r="EX28" s="15" t="n"/>
      <c r="EY28" s="15" t="n"/>
      <c r="EZ28" s="15" t="n"/>
      <c r="FA28" s="15" t="n"/>
      <c r="FB28" s="15" t="n"/>
      <c r="FC28" s="75" t="n"/>
      <c r="FD28" s="15" t="n"/>
      <c r="FE28" s="15" t="n"/>
      <c r="FF28" s="15" t="n"/>
      <c r="FG28" s="15" t="n"/>
      <c r="FH28" s="15" t="n"/>
      <c r="FI28" s="15" t="n"/>
      <c r="FJ28" s="15" t="n"/>
      <c r="FK28" s="15" t="n"/>
      <c r="FL28" s="15" t="n"/>
      <c r="FM28" s="15" t="n"/>
      <c r="FN28" s="15" t="n"/>
      <c r="FO28" s="15" t="n"/>
      <c r="FP28" s="15" t="n"/>
      <c r="FQ28" s="15" t="n"/>
      <c r="FR28" s="15" t="n"/>
      <c r="FS28" s="15" t="n"/>
      <c r="FT28" s="75" t="n"/>
      <c r="FU28" s="15" t="n"/>
      <c r="FV28" s="15" t="n"/>
      <c r="FW28" s="15" t="n"/>
      <c r="FX28" s="15" t="n"/>
      <c r="FY28" s="15" t="n"/>
      <c r="FZ28" s="15" t="n"/>
      <c r="GA28" s="15" t="n"/>
      <c r="GB28" s="15" t="n"/>
      <c r="GC28" s="15" t="n"/>
      <c r="GD28" s="15" t="n"/>
      <c r="GE28" s="15" t="n"/>
      <c r="GF28" s="15" t="n"/>
      <c r="GG28" s="15" t="n"/>
      <c r="GH28" s="15" t="n"/>
      <c r="GI28" s="15" t="n"/>
      <c r="GJ28" s="15" t="n"/>
      <c r="GK28" s="75" t="n"/>
      <c r="GL28" s="15" t="n"/>
      <c r="GM28" s="15" t="n"/>
      <c r="GN28" s="15" t="n"/>
      <c r="GO28" s="15" t="n"/>
      <c r="GP28" s="15" t="n"/>
      <c r="GQ28" s="15" t="n"/>
      <c r="GR28" s="15" t="n"/>
      <c r="GS28" s="15" t="n"/>
      <c r="GT28" s="15" t="n"/>
      <c r="GU28" s="15" t="n"/>
      <c r="GV28" s="15" t="n"/>
      <c r="GW28" s="15" t="n"/>
      <c r="GX28" s="15" t="n"/>
      <c r="GY28" s="15" t="n"/>
      <c r="GZ28" s="15" t="n"/>
      <c r="HA28" s="15" t="n"/>
      <c r="HB28" s="75" t="n"/>
    </row>
    <row r="29" ht="16.5" customHeight="1">
      <c r="A29" s="76" t="inlineStr">
        <is>
          <t>م</t>
        </is>
      </c>
      <c r="B29" s="76" t="inlineStr">
        <is>
          <t>الاسم</t>
        </is>
      </c>
      <c r="C29" s="76" t="inlineStr">
        <is>
          <t>المجموع</t>
        </is>
      </c>
      <c r="D29" s="76" t="inlineStr">
        <is>
          <t>%</t>
        </is>
      </c>
      <c r="E29" s="76" t="inlineStr">
        <is>
          <t>الترتيب</t>
        </is>
      </c>
      <c r="F29" s="76" t="inlineStr">
        <is>
          <t>التقدير</t>
        </is>
      </c>
      <c r="G29" s="157" t="inlineStr">
        <is>
          <t>كويز</t>
        </is>
      </c>
      <c r="H29" s="158" t="inlineStr">
        <is>
          <t>امتحان</t>
        </is>
      </c>
      <c r="I29" s="157" t="inlineStr">
        <is>
          <t>كويز</t>
        </is>
      </c>
      <c r="J29" s="158" t="inlineStr">
        <is>
          <t>امتحان</t>
        </is>
      </c>
      <c r="K29" s="157" t="inlineStr">
        <is>
          <t>كويز</t>
        </is>
      </c>
      <c r="L29" s="158" t="inlineStr">
        <is>
          <t>امتحان</t>
        </is>
      </c>
      <c r="M29" s="157" t="inlineStr">
        <is>
          <t>كويز</t>
        </is>
      </c>
      <c r="N29" s="158" t="inlineStr">
        <is>
          <t>امتحان</t>
        </is>
      </c>
      <c r="O29" s="157" t="inlineStr">
        <is>
          <t>كويز</t>
        </is>
      </c>
      <c r="P29" s="158" t="inlineStr">
        <is>
          <t>امتحان</t>
        </is>
      </c>
      <c r="Q29" s="157" t="inlineStr">
        <is>
          <t>كويز</t>
        </is>
      </c>
      <c r="R29" s="158" t="inlineStr">
        <is>
          <t>امتحان</t>
        </is>
      </c>
      <c r="S29" s="157" t="inlineStr">
        <is>
          <t>كويز</t>
        </is>
      </c>
      <c r="T29" s="158" t="inlineStr">
        <is>
          <t>امتحان</t>
        </is>
      </c>
      <c r="U29" s="157" t="inlineStr">
        <is>
          <t>كويز</t>
        </is>
      </c>
      <c r="V29" s="158" t="inlineStr">
        <is>
          <t>امتحان</t>
        </is>
      </c>
      <c r="W29" s="59" t="inlineStr">
        <is>
          <t>ملاحظات</t>
        </is>
      </c>
      <c r="X29" s="159" t="inlineStr">
        <is>
          <t>كويز</t>
        </is>
      </c>
      <c r="Y29" s="160" t="inlineStr">
        <is>
          <t>امتحان</t>
        </is>
      </c>
      <c r="Z29" s="159" t="inlineStr">
        <is>
          <t>كويز</t>
        </is>
      </c>
      <c r="AA29" s="160" t="inlineStr">
        <is>
          <t>امتحان</t>
        </is>
      </c>
      <c r="AB29" s="159" t="inlineStr">
        <is>
          <t>كويز</t>
        </is>
      </c>
      <c r="AC29" s="160" t="inlineStr">
        <is>
          <t>امتحان</t>
        </is>
      </c>
      <c r="AD29" s="159" t="inlineStr">
        <is>
          <t>كويز</t>
        </is>
      </c>
      <c r="AE29" s="160" t="inlineStr">
        <is>
          <t>امتحان</t>
        </is>
      </c>
      <c r="AF29" s="159" t="inlineStr">
        <is>
          <t>كويز</t>
        </is>
      </c>
      <c r="AG29" s="160" t="inlineStr">
        <is>
          <t>امتحان</t>
        </is>
      </c>
      <c r="AH29" s="159" t="inlineStr">
        <is>
          <t>كويز</t>
        </is>
      </c>
      <c r="AI29" s="160" t="inlineStr">
        <is>
          <t>امتحان</t>
        </is>
      </c>
      <c r="AJ29" s="159" t="inlineStr">
        <is>
          <t>كويز</t>
        </is>
      </c>
      <c r="AK29" s="160" t="inlineStr">
        <is>
          <t>امتحان</t>
        </is>
      </c>
      <c r="AL29" s="159" t="inlineStr">
        <is>
          <t>كويز</t>
        </is>
      </c>
      <c r="AM29" s="160" t="inlineStr">
        <is>
          <t>امتحان</t>
        </is>
      </c>
      <c r="AN29" s="60" t="inlineStr">
        <is>
          <t>ملاحظات</t>
        </is>
      </c>
      <c r="AO29" s="161" t="inlineStr">
        <is>
          <t>كويز</t>
        </is>
      </c>
      <c r="AP29" s="162" t="inlineStr">
        <is>
          <t>امتحان</t>
        </is>
      </c>
      <c r="AQ29" s="161" t="inlineStr">
        <is>
          <t>كويز</t>
        </is>
      </c>
      <c r="AR29" s="162" t="inlineStr">
        <is>
          <t>امتحان</t>
        </is>
      </c>
      <c r="AS29" s="161" t="inlineStr">
        <is>
          <t>كويز</t>
        </is>
      </c>
      <c r="AT29" s="162" t="inlineStr">
        <is>
          <t>امتحان</t>
        </is>
      </c>
      <c r="AU29" s="161" t="inlineStr">
        <is>
          <t>كويز</t>
        </is>
      </c>
      <c r="AV29" s="162" t="inlineStr">
        <is>
          <t>امتحان</t>
        </is>
      </c>
      <c r="AW29" s="161" t="inlineStr">
        <is>
          <t>كويز</t>
        </is>
      </c>
      <c r="AX29" s="162" t="inlineStr">
        <is>
          <t>امتحان</t>
        </is>
      </c>
      <c r="AY29" s="161" t="inlineStr">
        <is>
          <t>كويز</t>
        </is>
      </c>
      <c r="AZ29" s="162" t="inlineStr">
        <is>
          <t>امتحان</t>
        </is>
      </c>
      <c r="BA29" s="161" t="inlineStr">
        <is>
          <t>كويز</t>
        </is>
      </c>
      <c r="BB29" s="162" t="inlineStr">
        <is>
          <t>امتحان</t>
        </is>
      </c>
      <c r="BC29" s="161" t="inlineStr">
        <is>
          <t>كويز</t>
        </is>
      </c>
      <c r="BD29" s="162" t="inlineStr">
        <is>
          <t>امتحان</t>
        </is>
      </c>
      <c r="BE29" s="61" t="inlineStr">
        <is>
          <t>ملاحظات</t>
        </is>
      </c>
      <c r="BF29" s="163" t="inlineStr">
        <is>
          <t>كويز</t>
        </is>
      </c>
      <c r="BG29" s="164" t="inlineStr">
        <is>
          <t>امتحان</t>
        </is>
      </c>
      <c r="BH29" s="163" t="inlineStr">
        <is>
          <t>كويز</t>
        </is>
      </c>
      <c r="BI29" s="164" t="inlineStr">
        <is>
          <t>امتحان</t>
        </is>
      </c>
      <c r="BJ29" s="163" t="inlineStr">
        <is>
          <t>كويز</t>
        </is>
      </c>
      <c r="BK29" s="164" t="inlineStr">
        <is>
          <t>امتحان</t>
        </is>
      </c>
      <c r="BL29" s="163" t="inlineStr">
        <is>
          <t>كويز</t>
        </is>
      </c>
      <c r="BM29" s="164" t="inlineStr">
        <is>
          <t>امتحان</t>
        </is>
      </c>
      <c r="BN29" s="163" t="inlineStr">
        <is>
          <t>كويز</t>
        </is>
      </c>
      <c r="BO29" s="164" t="inlineStr">
        <is>
          <t>امتحان</t>
        </is>
      </c>
      <c r="BP29" s="163" t="inlineStr">
        <is>
          <t>كويز</t>
        </is>
      </c>
      <c r="BQ29" s="164" t="inlineStr">
        <is>
          <t>امتحان</t>
        </is>
      </c>
      <c r="BR29" s="163" t="inlineStr">
        <is>
          <t>كويز</t>
        </is>
      </c>
      <c r="BS29" s="164" t="inlineStr">
        <is>
          <t>امتحان</t>
        </is>
      </c>
      <c r="BT29" s="163" t="inlineStr">
        <is>
          <t>كويز</t>
        </is>
      </c>
      <c r="BU29" s="164" t="inlineStr">
        <is>
          <t>امتحان</t>
        </is>
      </c>
      <c r="BV29" s="62" t="inlineStr">
        <is>
          <t>ملاحظات</t>
        </is>
      </c>
      <c r="BW29" s="165" t="inlineStr">
        <is>
          <t>كويز</t>
        </is>
      </c>
      <c r="BX29" s="166" t="inlineStr">
        <is>
          <t>امتحان</t>
        </is>
      </c>
      <c r="BY29" s="165" t="inlineStr">
        <is>
          <t>كويز</t>
        </is>
      </c>
      <c r="BZ29" s="166" t="inlineStr">
        <is>
          <t>امتحان</t>
        </is>
      </c>
      <c r="CA29" s="165" t="inlineStr">
        <is>
          <t>كويز</t>
        </is>
      </c>
      <c r="CB29" s="166" t="inlineStr">
        <is>
          <t>امتحان</t>
        </is>
      </c>
      <c r="CC29" s="165" t="inlineStr">
        <is>
          <t>كويز</t>
        </is>
      </c>
      <c r="CD29" s="166" t="inlineStr">
        <is>
          <t>امتحان</t>
        </is>
      </c>
      <c r="CE29" s="165" t="inlineStr">
        <is>
          <t>كويز</t>
        </is>
      </c>
      <c r="CF29" s="166" t="inlineStr">
        <is>
          <t>امتحان</t>
        </is>
      </c>
      <c r="CG29" s="165" t="inlineStr">
        <is>
          <t>كويز</t>
        </is>
      </c>
      <c r="CH29" s="166" t="inlineStr">
        <is>
          <t>امتحان</t>
        </is>
      </c>
      <c r="CI29" s="165" t="inlineStr">
        <is>
          <t>كويز</t>
        </is>
      </c>
      <c r="CJ29" s="166" t="inlineStr">
        <is>
          <t>امتحان</t>
        </is>
      </c>
      <c r="CK29" s="165" t="inlineStr">
        <is>
          <t>كويز</t>
        </is>
      </c>
      <c r="CL29" s="166" t="inlineStr">
        <is>
          <t>امتحان</t>
        </is>
      </c>
      <c r="CM29" s="63" t="inlineStr">
        <is>
          <t>ملاحظات</t>
        </is>
      </c>
      <c r="CN29" s="167" t="inlineStr">
        <is>
          <t>كويز</t>
        </is>
      </c>
      <c r="CO29" s="168" t="inlineStr">
        <is>
          <t>امتحان</t>
        </is>
      </c>
      <c r="CP29" s="167" t="inlineStr">
        <is>
          <t>كويز</t>
        </is>
      </c>
      <c r="CQ29" s="168" t="inlineStr">
        <is>
          <t>امتحان</t>
        </is>
      </c>
      <c r="CR29" s="167" t="inlineStr">
        <is>
          <t>كويز</t>
        </is>
      </c>
      <c r="CS29" s="168" t="inlineStr">
        <is>
          <t>امتحان</t>
        </is>
      </c>
      <c r="CT29" s="167" t="inlineStr">
        <is>
          <t>كويز</t>
        </is>
      </c>
      <c r="CU29" s="168" t="inlineStr">
        <is>
          <t>امتحان</t>
        </is>
      </c>
      <c r="CV29" s="167" t="inlineStr">
        <is>
          <t>كويز</t>
        </is>
      </c>
      <c r="CW29" s="168" t="inlineStr">
        <is>
          <t>امتحان</t>
        </is>
      </c>
      <c r="CX29" s="167" t="inlineStr">
        <is>
          <t>كويز</t>
        </is>
      </c>
      <c r="CY29" s="168" t="inlineStr">
        <is>
          <t>امتحان</t>
        </is>
      </c>
      <c r="CZ29" s="167" t="inlineStr">
        <is>
          <t>كويز</t>
        </is>
      </c>
      <c r="DA29" s="168" t="inlineStr">
        <is>
          <t>امتحان</t>
        </is>
      </c>
      <c r="DB29" s="167" t="inlineStr">
        <is>
          <t>كويز</t>
        </is>
      </c>
      <c r="DC29" s="168" t="inlineStr">
        <is>
          <t>امتحان</t>
        </is>
      </c>
      <c r="DD29" s="64" t="inlineStr">
        <is>
          <t>ملاحظات</t>
        </is>
      </c>
      <c r="DE29" s="169" t="inlineStr">
        <is>
          <t>كويز</t>
        </is>
      </c>
      <c r="DF29" s="170" t="inlineStr">
        <is>
          <t>امتحان</t>
        </is>
      </c>
      <c r="DG29" s="169" t="inlineStr">
        <is>
          <t>كويز</t>
        </is>
      </c>
      <c r="DH29" s="170" t="inlineStr">
        <is>
          <t>امتحان</t>
        </is>
      </c>
      <c r="DI29" s="169" t="inlineStr">
        <is>
          <t>كويز</t>
        </is>
      </c>
      <c r="DJ29" s="170" t="inlineStr">
        <is>
          <t>امتحان</t>
        </is>
      </c>
      <c r="DK29" s="169" t="inlineStr">
        <is>
          <t>كويز</t>
        </is>
      </c>
      <c r="DL29" s="170" t="inlineStr">
        <is>
          <t>امتحان</t>
        </is>
      </c>
      <c r="DM29" s="169" t="inlineStr">
        <is>
          <t>كويز</t>
        </is>
      </c>
      <c r="DN29" s="170" t="inlineStr">
        <is>
          <t>امتحان</t>
        </is>
      </c>
      <c r="DO29" s="169" t="inlineStr">
        <is>
          <t>كويز</t>
        </is>
      </c>
      <c r="DP29" s="170" t="inlineStr">
        <is>
          <t>امتحان</t>
        </is>
      </c>
      <c r="DQ29" s="169" t="inlineStr">
        <is>
          <t>كويز</t>
        </is>
      </c>
      <c r="DR29" s="170" t="inlineStr">
        <is>
          <t>امتحان</t>
        </is>
      </c>
      <c r="DS29" s="169" t="inlineStr">
        <is>
          <t>كويز</t>
        </is>
      </c>
      <c r="DT29" s="170" t="inlineStr">
        <is>
          <t>امتحان</t>
        </is>
      </c>
      <c r="DU29" s="65" t="inlineStr">
        <is>
          <t>ملاحظات</t>
        </is>
      </c>
      <c r="DV29" s="171" t="inlineStr">
        <is>
          <t>كويز</t>
        </is>
      </c>
      <c r="DW29" s="172" t="inlineStr">
        <is>
          <t>امتحان</t>
        </is>
      </c>
      <c r="DX29" s="171" t="inlineStr">
        <is>
          <t>كويز</t>
        </is>
      </c>
      <c r="DY29" s="172" t="inlineStr">
        <is>
          <t>امتحان</t>
        </is>
      </c>
      <c r="DZ29" s="171" t="inlineStr">
        <is>
          <t>كويز</t>
        </is>
      </c>
      <c r="EA29" s="172" t="inlineStr">
        <is>
          <t>امتحان</t>
        </is>
      </c>
      <c r="EB29" s="171" t="inlineStr">
        <is>
          <t>كويز</t>
        </is>
      </c>
      <c r="EC29" s="172" t="inlineStr">
        <is>
          <t>امتحان</t>
        </is>
      </c>
      <c r="ED29" s="171" t="inlineStr">
        <is>
          <t>كويز</t>
        </is>
      </c>
      <c r="EE29" s="172" t="inlineStr">
        <is>
          <t>امتحان</t>
        </is>
      </c>
      <c r="EF29" s="171" t="inlineStr">
        <is>
          <t>كويز</t>
        </is>
      </c>
      <c r="EG29" s="172" t="inlineStr">
        <is>
          <t>امتحان</t>
        </is>
      </c>
      <c r="EH29" s="171" t="inlineStr">
        <is>
          <t>كويز</t>
        </is>
      </c>
      <c r="EI29" s="172" t="inlineStr">
        <is>
          <t>امتحان</t>
        </is>
      </c>
      <c r="EJ29" s="171" t="inlineStr">
        <is>
          <t>كويز</t>
        </is>
      </c>
      <c r="EK29" s="172" t="inlineStr">
        <is>
          <t>امتحان</t>
        </is>
      </c>
      <c r="EL29" s="66" t="inlineStr">
        <is>
          <t>ملاحظات</t>
        </is>
      </c>
      <c r="EM29" s="173" t="inlineStr">
        <is>
          <t>كويز</t>
        </is>
      </c>
      <c r="EN29" s="174" t="inlineStr">
        <is>
          <t>امتحان</t>
        </is>
      </c>
      <c r="EO29" s="173" t="inlineStr">
        <is>
          <t>كويز</t>
        </is>
      </c>
      <c r="EP29" s="174" t="inlineStr">
        <is>
          <t>امتحان</t>
        </is>
      </c>
      <c r="EQ29" s="173" t="inlineStr">
        <is>
          <t>كويز</t>
        </is>
      </c>
      <c r="ER29" s="174" t="inlineStr">
        <is>
          <t>امتحان</t>
        </is>
      </c>
      <c r="ES29" s="173" t="inlineStr">
        <is>
          <t>كويز</t>
        </is>
      </c>
      <c r="ET29" s="174" t="inlineStr">
        <is>
          <t>امتحان</t>
        </is>
      </c>
      <c r="EU29" s="173" t="inlineStr">
        <is>
          <t>كويز</t>
        </is>
      </c>
      <c r="EV29" s="174" t="inlineStr">
        <is>
          <t>امتحان</t>
        </is>
      </c>
      <c r="EW29" s="173" t="inlineStr">
        <is>
          <t>كويز</t>
        </is>
      </c>
      <c r="EX29" s="174" t="inlineStr">
        <is>
          <t>امتحان</t>
        </is>
      </c>
      <c r="EY29" s="173" t="inlineStr">
        <is>
          <t>كويز</t>
        </is>
      </c>
      <c r="EZ29" s="174" t="inlineStr">
        <is>
          <t>امتحان</t>
        </is>
      </c>
      <c r="FA29" s="173" t="inlineStr">
        <is>
          <t>كويز</t>
        </is>
      </c>
      <c r="FB29" s="174" t="inlineStr">
        <is>
          <t>امتحان</t>
        </is>
      </c>
      <c r="FC29" s="67" t="inlineStr">
        <is>
          <t>ملاحظات</t>
        </is>
      </c>
      <c r="FD29" s="175" t="inlineStr">
        <is>
          <t>كويز</t>
        </is>
      </c>
      <c r="FE29" s="176" t="inlineStr">
        <is>
          <t>امتحان</t>
        </is>
      </c>
      <c r="FF29" s="175" t="inlineStr">
        <is>
          <t>كويز</t>
        </is>
      </c>
      <c r="FG29" s="176" t="inlineStr">
        <is>
          <t>امتحان</t>
        </is>
      </c>
      <c r="FH29" s="175" t="inlineStr">
        <is>
          <t>كويز</t>
        </is>
      </c>
      <c r="FI29" s="176" t="inlineStr">
        <is>
          <t>امتحان</t>
        </is>
      </c>
      <c r="FJ29" s="175" t="inlineStr">
        <is>
          <t>كويز</t>
        </is>
      </c>
      <c r="FK29" s="176" t="inlineStr">
        <is>
          <t>امتحان</t>
        </is>
      </c>
      <c r="FL29" s="175" t="inlineStr">
        <is>
          <t>كويز</t>
        </is>
      </c>
      <c r="FM29" s="176" t="inlineStr">
        <is>
          <t>امتحان</t>
        </is>
      </c>
      <c r="FN29" s="175" t="inlineStr">
        <is>
          <t>كويز</t>
        </is>
      </c>
      <c r="FO29" s="176" t="inlineStr">
        <is>
          <t>امتحان</t>
        </is>
      </c>
      <c r="FP29" s="175" t="inlineStr">
        <is>
          <t>كويز</t>
        </is>
      </c>
      <c r="FQ29" s="176" t="inlineStr">
        <is>
          <t>امتحان</t>
        </is>
      </c>
      <c r="FR29" s="175" t="inlineStr">
        <is>
          <t>كويز</t>
        </is>
      </c>
      <c r="FS29" s="176" t="inlineStr">
        <is>
          <t>امتحان</t>
        </is>
      </c>
      <c r="FT29" s="68" t="inlineStr">
        <is>
          <t>ملاحظات</t>
        </is>
      </c>
      <c r="FU29" s="177" t="inlineStr">
        <is>
          <t>كويز</t>
        </is>
      </c>
      <c r="FV29" s="178" t="inlineStr">
        <is>
          <t>امتحان</t>
        </is>
      </c>
      <c r="FW29" s="177" t="inlineStr">
        <is>
          <t>كويز</t>
        </is>
      </c>
      <c r="FX29" s="178" t="inlineStr">
        <is>
          <t>امتحان</t>
        </is>
      </c>
      <c r="FY29" s="177" t="inlineStr">
        <is>
          <t>كويز</t>
        </is>
      </c>
      <c r="FZ29" s="178" t="inlineStr">
        <is>
          <t>امتحان</t>
        </is>
      </c>
      <c r="GA29" s="177" t="inlineStr">
        <is>
          <t>كويز</t>
        </is>
      </c>
      <c r="GB29" s="178" t="inlineStr">
        <is>
          <t>امتحان</t>
        </is>
      </c>
      <c r="GC29" s="177" t="inlineStr">
        <is>
          <t>كويز</t>
        </is>
      </c>
      <c r="GD29" s="178" t="inlineStr">
        <is>
          <t>امتحان</t>
        </is>
      </c>
      <c r="GE29" s="177" t="inlineStr">
        <is>
          <t>كويز</t>
        </is>
      </c>
      <c r="GF29" s="178" t="inlineStr">
        <is>
          <t>امتحان</t>
        </is>
      </c>
      <c r="GG29" s="177" t="inlineStr">
        <is>
          <t>كويز</t>
        </is>
      </c>
      <c r="GH29" s="178" t="inlineStr">
        <is>
          <t>امتحان</t>
        </is>
      </c>
      <c r="GI29" s="177" t="inlineStr">
        <is>
          <t>كويز</t>
        </is>
      </c>
      <c r="GJ29" s="178" t="inlineStr">
        <is>
          <t>امتحان</t>
        </is>
      </c>
      <c r="GK29" s="69" t="inlineStr">
        <is>
          <t>ملاحظات</t>
        </is>
      </c>
      <c r="GL29" s="179" t="inlineStr">
        <is>
          <t>كويز</t>
        </is>
      </c>
      <c r="GM29" s="180" t="inlineStr">
        <is>
          <t>امتحان</t>
        </is>
      </c>
      <c r="GN29" s="179" t="inlineStr">
        <is>
          <t>كويز</t>
        </is>
      </c>
      <c r="GO29" s="180" t="inlineStr">
        <is>
          <t>امتحان</t>
        </is>
      </c>
      <c r="GP29" s="179" t="inlineStr">
        <is>
          <t>كويز</t>
        </is>
      </c>
      <c r="GQ29" s="180" t="inlineStr">
        <is>
          <t>امتحان</t>
        </is>
      </c>
      <c r="GR29" s="179" t="inlineStr">
        <is>
          <t>كويز</t>
        </is>
      </c>
      <c r="GS29" s="180" t="inlineStr">
        <is>
          <t>امتحان</t>
        </is>
      </c>
      <c r="GT29" s="179" t="inlineStr">
        <is>
          <t>كويز</t>
        </is>
      </c>
      <c r="GU29" s="180" t="inlineStr">
        <is>
          <t>امتحان</t>
        </is>
      </c>
      <c r="GV29" s="179" t="inlineStr">
        <is>
          <t>كويز</t>
        </is>
      </c>
      <c r="GW29" s="180" t="inlineStr">
        <is>
          <t>امتحان</t>
        </is>
      </c>
      <c r="GX29" s="179" t="inlineStr">
        <is>
          <t>كويز</t>
        </is>
      </c>
      <c r="GY29" s="180" t="inlineStr">
        <is>
          <t>امتحان</t>
        </is>
      </c>
      <c r="GZ29" s="179" t="inlineStr">
        <is>
          <t>كويز</t>
        </is>
      </c>
      <c r="HA29" s="180" t="inlineStr">
        <is>
          <t>امتحان</t>
        </is>
      </c>
      <c r="HB29" s="70" t="inlineStr">
        <is>
          <t>ملاحظات</t>
        </is>
      </c>
    </row>
    <row r="30" ht="22.5" customHeight="1">
      <c r="A30" s="36" t="n">
        <v>1</v>
      </c>
      <c r="B30" s="181" t="str">
        <f>IF($B5="","",$B5)</f>
        <v/>
      </c>
      <c r="C30" s="136" t="str">
        <f>IF(OR($B30="",$HD30=0),"",ROUND($HC30,2)&amp;" / "&amp;$HD30)</f>
        <v/>
      </c>
      <c r="D30" s="182" t="str">
        <f>IF(OR($B30="",$HD30=0),"",$HC30/$HD30)</f>
        <v/>
      </c>
      <c r="E30" s="98" t="str">
        <f>IF($D30="","",RANK($D30,$D$30:$D$44))</f>
        <v/>
      </c>
      <c r="F30" s="99" t="str">
        <f>IF($D30="","",IF($D30&gt;=0.85,"ممتاز",IF($D30&gt;=0.75,"جيد جداً",IF($D30&gt;=0.65,"جيد",IF($D30&gt;=0.5,"مقبول","ضعيف")))))</f>
        <v/>
      </c>
      <c r="G30" s="100" t="n"/>
      <c r="H30" s="101" t="n"/>
      <c r="I30" s="100" t="n"/>
      <c r="J30" s="101" t="n"/>
      <c r="K30" s="100" t="n"/>
      <c r="L30" s="101" t="n"/>
      <c r="M30" s="100" t="n"/>
      <c r="N30" s="101" t="n"/>
      <c r="O30" s="100" t="n"/>
      <c r="P30" s="101" t="n"/>
      <c r="Q30" s="100" t="n"/>
      <c r="R30" s="101" t="n"/>
      <c r="S30" s="100" t="n"/>
      <c r="T30" s="101" t="n"/>
      <c r="U30" s="100" t="n"/>
      <c r="V30" s="101" t="n"/>
      <c r="W30" s="183" t="n"/>
      <c r="X30" s="103" t="n"/>
      <c r="Y30" s="104" t="n"/>
      <c r="Z30" s="103" t="n"/>
      <c r="AA30" s="104" t="n"/>
      <c r="AB30" s="103" t="n"/>
      <c r="AC30" s="104" t="n"/>
      <c r="AD30" s="103" t="n"/>
      <c r="AE30" s="104" t="n"/>
      <c r="AF30" s="103" t="n"/>
      <c r="AG30" s="104" t="n"/>
      <c r="AH30" s="103" t="n"/>
      <c r="AI30" s="104" t="n"/>
      <c r="AJ30" s="103" t="n"/>
      <c r="AK30" s="104" t="n"/>
      <c r="AL30" s="103" t="n"/>
      <c r="AM30" s="104" t="n"/>
      <c r="AN30" s="184" t="n"/>
      <c r="AO30" s="106" t="n"/>
      <c r="AP30" s="107" t="n"/>
      <c r="AQ30" s="106" t="n"/>
      <c r="AR30" s="107" t="n"/>
      <c r="AS30" s="106" t="n"/>
      <c r="AT30" s="107" t="n"/>
      <c r="AU30" s="106" t="n"/>
      <c r="AV30" s="107" t="n"/>
      <c r="AW30" s="106" t="n"/>
      <c r="AX30" s="107" t="n"/>
      <c r="AY30" s="106" t="n"/>
      <c r="AZ30" s="107" t="n"/>
      <c r="BA30" s="106" t="n"/>
      <c r="BB30" s="107" t="n"/>
      <c r="BC30" s="106" t="n"/>
      <c r="BD30" s="107" t="n"/>
      <c r="BE30" s="185" t="n"/>
      <c r="BF30" s="109" t="n"/>
      <c r="BG30" s="110" t="n"/>
      <c r="BH30" s="109" t="n"/>
      <c r="BI30" s="110" t="n"/>
      <c r="BJ30" s="109" t="n"/>
      <c r="BK30" s="110" t="n"/>
      <c r="BL30" s="109" t="n"/>
      <c r="BM30" s="110" t="n"/>
      <c r="BN30" s="109" t="n"/>
      <c r="BO30" s="110" t="n"/>
      <c r="BP30" s="109" t="n"/>
      <c r="BQ30" s="110" t="n"/>
      <c r="BR30" s="109" t="n"/>
      <c r="BS30" s="110" t="n"/>
      <c r="BT30" s="109" t="n"/>
      <c r="BU30" s="110" t="n"/>
      <c r="BV30" s="186" t="n"/>
      <c r="BW30" s="112" t="n"/>
      <c r="BX30" s="113" t="n"/>
      <c r="BY30" s="112" t="n"/>
      <c r="BZ30" s="113" t="n"/>
      <c r="CA30" s="112" t="n"/>
      <c r="CB30" s="113" t="n"/>
      <c r="CC30" s="112" t="n"/>
      <c r="CD30" s="113" t="n"/>
      <c r="CE30" s="112" t="n"/>
      <c r="CF30" s="113" t="n"/>
      <c r="CG30" s="112" t="n"/>
      <c r="CH30" s="113" t="n"/>
      <c r="CI30" s="112" t="n"/>
      <c r="CJ30" s="113" t="n"/>
      <c r="CK30" s="112" t="n"/>
      <c r="CL30" s="113" t="n"/>
      <c r="CM30" s="187" t="n"/>
      <c r="CN30" s="115" t="n"/>
      <c r="CO30" s="116" t="n"/>
      <c r="CP30" s="115" t="n"/>
      <c r="CQ30" s="116" t="n"/>
      <c r="CR30" s="115" t="n"/>
      <c r="CS30" s="116" t="n"/>
      <c r="CT30" s="115" t="n"/>
      <c r="CU30" s="116" t="n"/>
      <c r="CV30" s="115" t="n"/>
      <c r="CW30" s="116" t="n"/>
      <c r="CX30" s="115" t="n"/>
      <c r="CY30" s="116" t="n"/>
      <c r="CZ30" s="115" t="n"/>
      <c r="DA30" s="116" t="n"/>
      <c r="DB30" s="115" t="n"/>
      <c r="DC30" s="116" t="n"/>
      <c r="DD30" s="188" t="n"/>
      <c r="DE30" s="118" t="n"/>
      <c r="DF30" s="119" t="n"/>
      <c r="DG30" s="118" t="n"/>
      <c r="DH30" s="119" t="n"/>
      <c r="DI30" s="118" t="n"/>
      <c r="DJ30" s="119" t="n"/>
      <c r="DK30" s="118" t="n"/>
      <c r="DL30" s="119" t="n"/>
      <c r="DM30" s="118" t="n"/>
      <c r="DN30" s="119" t="n"/>
      <c r="DO30" s="118" t="n"/>
      <c r="DP30" s="119" t="n"/>
      <c r="DQ30" s="118" t="n"/>
      <c r="DR30" s="119" t="n"/>
      <c r="DS30" s="118" t="n"/>
      <c r="DT30" s="119" t="n"/>
      <c r="DU30" s="189" t="n"/>
      <c r="DV30" s="121" t="n"/>
      <c r="DW30" s="122" t="n"/>
      <c r="DX30" s="121" t="n"/>
      <c r="DY30" s="122" t="n"/>
      <c r="DZ30" s="121" t="n"/>
      <c r="EA30" s="122" t="n"/>
      <c r="EB30" s="121" t="n"/>
      <c r="EC30" s="122" t="n"/>
      <c r="ED30" s="121" t="n"/>
      <c r="EE30" s="122" t="n"/>
      <c r="EF30" s="121" t="n"/>
      <c r="EG30" s="122" t="n"/>
      <c r="EH30" s="121" t="n"/>
      <c r="EI30" s="122" t="n"/>
      <c r="EJ30" s="121" t="n"/>
      <c r="EK30" s="122" t="n"/>
      <c r="EL30" s="190" t="n"/>
      <c r="EM30" s="124" t="n"/>
      <c r="EN30" s="125" t="n"/>
      <c r="EO30" s="124" t="n"/>
      <c r="EP30" s="125" t="n"/>
      <c r="EQ30" s="124" t="n"/>
      <c r="ER30" s="125" t="n"/>
      <c r="ES30" s="124" t="n"/>
      <c r="ET30" s="125" t="n"/>
      <c r="EU30" s="124" t="n"/>
      <c r="EV30" s="125" t="n"/>
      <c r="EW30" s="124" t="n"/>
      <c r="EX30" s="125" t="n"/>
      <c r="EY30" s="124" t="n"/>
      <c r="EZ30" s="125" t="n"/>
      <c r="FA30" s="124" t="n"/>
      <c r="FB30" s="125" t="n"/>
      <c r="FC30" s="191" t="n"/>
      <c r="FD30" s="127" t="n"/>
      <c r="FE30" s="128" t="n"/>
      <c r="FF30" s="127" t="n"/>
      <c r="FG30" s="128" t="n"/>
      <c r="FH30" s="127" t="n"/>
      <c r="FI30" s="128" t="n"/>
      <c r="FJ30" s="127" t="n"/>
      <c r="FK30" s="128" t="n"/>
      <c r="FL30" s="127" t="n"/>
      <c r="FM30" s="128" t="n"/>
      <c r="FN30" s="127" t="n"/>
      <c r="FO30" s="128" t="n"/>
      <c r="FP30" s="127" t="n"/>
      <c r="FQ30" s="128" t="n"/>
      <c r="FR30" s="127" t="n"/>
      <c r="FS30" s="128" t="n"/>
      <c r="FT30" s="192" t="n"/>
      <c r="FU30" s="130" t="n"/>
      <c r="FV30" s="131" t="n"/>
      <c r="FW30" s="130" t="n"/>
      <c r="FX30" s="131" t="n"/>
      <c r="FY30" s="130" t="n"/>
      <c r="FZ30" s="131" t="n"/>
      <c r="GA30" s="130" t="n"/>
      <c r="GB30" s="131" t="n"/>
      <c r="GC30" s="130" t="n"/>
      <c r="GD30" s="131" t="n"/>
      <c r="GE30" s="130" t="n"/>
      <c r="GF30" s="131" t="n"/>
      <c r="GG30" s="130" t="n"/>
      <c r="GH30" s="131" t="n"/>
      <c r="GI30" s="130" t="n"/>
      <c r="GJ30" s="131" t="n"/>
      <c r="GK30" s="193" t="n"/>
      <c r="GL30" s="133" t="n"/>
      <c r="GM30" s="134" t="n"/>
      <c r="GN30" s="133" t="n"/>
      <c r="GO30" s="134" t="n"/>
      <c r="GP30" s="133" t="n"/>
      <c r="GQ30" s="134" t="n"/>
      <c r="GR30" s="133" t="n"/>
      <c r="GS30" s="134" t="n"/>
      <c r="GT30" s="133" t="n"/>
      <c r="GU30" s="134" t="n"/>
      <c r="GV30" s="133" t="n"/>
      <c r="GW30" s="134" t="n"/>
      <c r="GX30" s="133" t="n"/>
      <c r="GY30" s="134" t="n"/>
      <c r="GZ30" s="133" t="n"/>
      <c r="HA30" s="134" t="n"/>
      <c r="HB30" s="194" t="n"/>
      <c r="HC30">
        <f>SUMIFS($G30:$HB30,$G$46:$HB$46,"&gt;="&amp;$HD$1,$G$46:$HB$46,"&lt;="&amp;$HD$2,$G$29:$HB$29,"&lt;&gt;ملاحظات",$G$28:$HB$28,"&gt;0")</f>
        <v>0</v>
      </c>
      <c r="HD30">
        <f>SUMIFS($G$28:$HB$28,$G$46:$HB$46,"&gt;="&amp;$HD$1,$G$46:$HB$46,"&lt;="&amp;$HD$2,$G$29:$HB$29,"&lt;&gt;ملاحظات",$G30:$HB30,"&gt;=0")</f>
        <v>0</v>
      </c>
    </row>
    <row r="31" ht="22.5" customHeight="1">
      <c r="A31" s="36" t="n">
        <v>2</v>
      </c>
      <c r="B31" s="181" t="str">
        <f>IF($B6="","",$B6)</f>
        <v/>
      </c>
      <c r="C31" s="136" t="str">
        <f>IF(OR($B31="",$HD31=0),"",ROUND($HC31,2)&amp;" / "&amp;$HD31)</f>
        <v/>
      </c>
      <c r="D31" s="182" t="str">
        <f>IF(OR($B31="",$HD31=0),"",$HC31/$HD31)</f>
        <v/>
      </c>
      <c r="E31" s="98" t="str">
        <f>IF($D31="","",RANK($D31,$D$30:$D$44))</f>
        <v/>
      </c>
      <c r="F31" s="99" t="str">
        <f>IF($D31="","",IF($D31&gt;=0.85,"ممتاز",IF($D31&gt;=0.75,"جيد جداً",IF($D31&gt;=0.65,"جيد",IF($D31&gt;=0.5,"مقبول","ضعيف")))))</f>
        <v/>
      </c>
      <c r="G31" s="100" t="n"/>
      <c r="H31" s="101" t="n"/>
      <c r="I31" s="100" t="n"/>
      <c r="J31" s="101" t="n"/>
      <c r="K31" s="100" t="n"/>
      <c r="L31" s="101" t="n"/>
      <c r="M31" s="100" t="n"/>
      <c r="N31" s="101" t="n"/>
      <c r="O31" s="100" t="n"/>
      <c r="P31" s="101" t="n"/>
      <c r="Q31" s="100" t="n"/>
      <c r="R31" s="101" t="n"/>
      <c r="S31" s="100" t="n"/>
      <c r="T31" s="101" t="n"/>
      <c r="U31" s="100" t="n"/>
      <c r="V31" s="101" t="n"/>
      <c r="W31" s="183" t="n"/>
      <c r="X31" s="103" t="n"/>
      <c r="Y31" s="104" t="n"/>
      <c r="Z31" s="103" t="n"/>
      <c r="AA31" s="104" t="n"/>
      <c r="AB31" s="103" t="n"/>
      <c r="AC31" s="104" t="n"/>
      <c r="AD31" s="103" t="n"/>
      <c r="AE31" s="104" t="n"/>
      <c r="AF31" s="103" t="n"/>
      <c r="AG31" s="104" t="n"/>
      <c r="AH31" s="103" t="n"/>
      <c r="AI31" s="104" t="n"/>
      <c r="AJ31" s="103" t="n"/>
      <c r="AK31" s="104" t="n"/>
      <c r="AL31" s="103" t="n"/>
      <c r="AM31" s="104" t="n"/>
      <c r="AN31" s="184" t="n"/>
      <c r="AO31" s="106" t="n"/>
      <c r="AP31" s="107" t="n"/>
      <c r="AQ31" s="106" t="n"/>
      <c r="AR31" s="107" t="n"/>
      <c r="AS31" s="106" t="n"/>
      <c r="AT31" s="107" t="n"/>
      <c r="AU31" s="106" t="n"/>
      <c r="AV31" s="107" t="n"/>
      <c r="AW31" s="106" t="n"/>
      <c r="AX31" s="107" t="n"/>
      <c r="AY31" s="106" t="n"/>
      <c r="AZ31" s="107" t="n"/>
      <c r="BA31" s="106" t="n"/>
      <c r="BB31" s="107" t="n"/>
      <c r="BC31" s="106" t="n"/>
      <c r="BD31" s="107" t="n"/>
      <c r="BE31" s="185" t="n"/>
      <c r="BF31" s="109" t="n"/>
      <c r="BG31" s="110" t="n"/>
      <c r="BH31" s="109" t="n"/>
      <c r="BI31" s="110" t="n"/>
      <c r="BJ31" s="109" t="n"/>
      <c r="BK31" s="110" t="n"/>
      <c r="BL31" s="109" t="n"/>
      <c r="BM31" s="110" t="n"/>
      <c r="BN31" s="109" t="n"/>
      <c r="BO31" s="110" t="n"/>
      <c r="BP31" s="109" t="n"/>
      <c r="BQ31" s="110" t="n"/>
      <c r="BR31" s="109" t="n"/>
      <c r="BS31" s="110" t="n"/>
      <c r="BT31" s="109" t="n"/>
      <c r="BU31" s="110" t="n"/>
      <c r="BV31" s="186" t="n"/>
      <c r="BW31" s="112" t="n"/>
      <c r="BX31" s="113" t="n"/>
      <c r="BY31" s="112" t="n"/>
      <c r="BZ31" s="113" t="n"/>
      <c r="CA31" s="112" t="n"/>
      <c r="CB31" s="113" t="n"/>
      <c r="CC31" s="112" t="n"/>
      <c r="CD31" s="113" t="n"/>
      <c r="CE31" s="112" t="n"/>
      <c r="CF31" s="113" t="n"/>
      <c r="CG31" s="112" t="n"/>
      <c r="CH31" s="113" t="n"/>
      <c r="CI31" s="112" t="n"/>
      <c r="CJ31" s="113" t="n"/>
      <c r="CK31" s="112" t="n"/>
      <c r="CL31" s="113" t="n"/>
      <c r="CM31" s="187" t="n"/>
      <c r="CN31" s="115" t="n"/>
      <c r="CO31" s="116" t="n"/>
      <c r="CP31" s="115" t="n"/>
      <c r="CQ31" s="116" t="n"/>
      <c r="CR31" s="115" t="n"/>
      <c r="CS31" s="116" t="n"/>
      <c r="CT31" s="115" t="n"/>
      <c r="CU31" s="116" t="n"/>
      <c r="CV31" s="115" t="n"/>
      <c r="CW31" s="116" t="n"/>
      <c r="CX31" s="115" t="n"/>
      <c r="CY31" s="116" t="n"/>
      <c r="CZ31" s="115" t="n"/>
      <c r="DA31" s="116" t="n"/>
      <c r="DB31" s="115" t="n"/>
      <c r="DC31" s="116" t="n"/>
      <c r="DD31" s="188" t="n"/>
      <c r="DE31" s="118" t="n"/>
      <c r="DF31" s="119" t="n"/>
      <c r="DG31" s="118" t="n"/>
      <c r="DH31" s="119" t="n"/>
      <c r="DI31" s="118" t="n"/>
      <c r="DJ31" s="119" t="n"/>
      <c r="DK31" s="118" t="n"/>
      <c r="DL31" s="119" t="n"/>
      <c r="DM31" s="118" t="n"/>
      <c r="DN31" s="119" t="n"/>
      <c r="DO31" s="118" t="n"/>
      <c r="DP31" s="119" t="n"/>
      <c r="DQ31" s="118" t="n"/>
      <c r="DR31" s="119" t="n"/>
      <c r="DS31" s="118" t="n"/>
      <c r="DT31" s="119" t="n"/>
      <c r="DU31" s="189" t="n"/>
      <c r="DV31" s="121" t="n"/>
      <c r="DW31" s="122" t="n"/>
      <c r="DX31" s="121" t="n"/>
      <c r="DY31" s="122" t="n"/>
      <c r="DZ31" s="121" t="n"/>
      <c r="EA31" s="122" t="n"/>
      <c r="EB31" s="121" t="n"/>
      <c r="EC31" s="122" t="n"/>
      <c r="ED31" s="121" t="n"/>
      <c r="EE31" s="122" t="n"/>
      <c r="EF31" s="121" t="n"/>
      <c r="EG31" s="122" t="n"/>
      <c r="EH31" s="121" t="n"/>
      <c r="EI31" s="122" t="n"/>
      <c r="EJ31" s="121" t="n"/>
      <c r="EK31" s="122" t="n"/>
      <c r="EL31" s="190" t="n"/>
      <c r="EM31" s="124" t="n"/>
      <c r="EN31" s="125" t="n"/>
      <c r="EO31" s="124" t="n"/>
      <c r="EP31" s="125" t="n"/>
      <c r="EQ31" s="124" t="n"/>
      <c r="ER31" s="125" t="n"/>
      <c r="ES31" s="124" t="n"/>
      <c r="ET31" s="125" t="n"/>
      <c r="EU31" s="124" t="n"/>
      <c r="EV31" s="125" t="n"/>
      <c r="EW31" s="124" t="n"/>
      <c r="EX31" s="125" t="n"/>
      <c r="EY31" s="124" t="n"/>
      <c r="EZ31" s="125" t="n"/>
      <c r="FA31" s="124" t="n"/>
      <c r="FB31" s="125" t="n"/>
      <c r="FC31" s="191" t="n"/>
      <c r="FD31" s="127" t="n"/>
      <c r="FE31" s="128" t="n"/>
      <c r="FF31" s="127" t="n"/>
      <c r="FG31" s="128" t="n"/>
      <c r="FH31" s="127" t="n"/>
      <c r="FI31" s="128" t="n"/>
      <c r="FJ31" s="127" t="n"/>
      <c r="FK31" s="128" t="n"/>
      <c r="FL31" s="127" t="n"/>
      <c r="FM31" s="128" t="n"/>
      <c r="FN31" s="127" t="n"/>
      <c r="FO31" s="128" t="n"/>
      <c r="FP31" s="127" t="n"/>
      <c r="FQ31" s="128" t="n"/>
      <c r="FR31" s="127" t="n"/>
      <c r="FS31" s="128" t="n"/>
      <c r="FT31" s="192" t="n"/>
      <c r="FU31" s="130" t="n"/>
      <c r="FV31" s="131" t="n"/>
      <c r="FW31" s="130" t="n"/>
      <c r="FX31" s="131" t="n"/>
      <c r="FY31" s="130" t="n"/>
      <c r="FZ31" s="131" t="n"/>
      <c r="GA31" s="130" t="n"/>
      <c r="GB31" s="131" t="n"/>
      <c r="GC31" s="130" t="n"/>
      <c r="GD31" s="131" t="n"/>
      <c r="GE31" s="130" t="n"/>
      <c r="GF31" s="131" t="n"/>
      <c r="GG31" s="130" t="n"/>
      <c r="GH31" s="131" t="n"/>
      <c r="GI31" s="130" t="n"/>
      <c r="GJ31" s="131" t="n"/>
      <c r="GK31" s="193" t="n"/>
      <c r="GL31" s="133" t="n"/>
      <c r="GM31" s="134" t="n"/>
      <c r="GN31" s="133" t="n"/>
      <c r="GO31" s="134" t="n"/>
      <c r="GP31" s="133" t="n"/>
      <c r="GQ31" s="134" t="n"/>
      <c r="GR31" s="133" t="n"/>
      <c r="GS31" s="134" t="n"/>
      <c r="GT31" s="133" t="n"/>
      <c r="GU31" s="134" t="n"/>
      <c r="GV31" s="133" t="n"/>
      <c r="GW31" s="134" t="n"/>
      <c r="GX31" s="133" t="n"/>
      <c r="GY31" s="134" t="n"/>
      <c r="GZ31" s="133" t="n"/>
      <c r="HA31" s="134" t="n"/>
      <c r="HB31" s="194" t="n"/>
      <c r="HC31">
        <f>SUMIFS($G31:$HB31,$G$46:$HB$46,"&gt;="&amp;$HD$1,$G$46:$HB$46,"&lt;="&amp;$HD$2,$G$29:$HB$29,"&lt;&gt;ملاحظات",$G$28:$HB$28,"&gt;0")</f>
        <v>0</v>
      </c>
      <c r="HD31">
        <f>SUMIFS($G$28:$HB$28,$G$46:$HB$46,"&gt;="&amp;$HD$1,$G$46:$HB$46,"&lt;="&amp;$HD$2,$G$29:$HB$29,"&lt;&gt;ملاحظات",$G31:$HB31,"&gt;=0")</f>
        <v>0</v>
      </c>
    </row>
    <row r="32" ht="22.5" customHeight="1">
      <c r="A32" s="36" t="n">
        <v>3</v>
      </c>
      <c r="B32" s="181" t="str">
        <f>IF($B7="","",$B7)</f>
        <v/>
      </c>
      <c r="C32" s="136" t="str">
        <f>IF(OR($B32="",$HD32=0),"",ROUND($HC32,2)&amp;" / "&amp;$HD32)</f>
        <v/>
      </c>
      <c r="D32" s="182" t="str">
        <f>IF(OR($B32="",$HD32=0),"",$HC32/$HD32)</f>
        <v/>
      </c>
      <c r="E32" s="98" t="str">
        <f>IF($D32="","",RANK($D32,$D$30:$D$44))</f>
        <v/>
      </c>
      <c r="F32" s="99" t="str">
        <f>IF($D32="","",IF($D32&gt;=0.85,"ممتاز",IF($D32&gt;=0.75,"جيد جداً",IF($D32&gt;=0.65,"جيد",IF($D32&gt;=0.5,"مقبول","ضعيف")))))</f>
        <v/>
      </c>
      <c r="G32" s="100" t="n"/>
      <c r="H32" s="101" t="n"/>
      <c r="I32" s="100" t="n"/>
      <c r="J32" s="101" t="n"/>
      <c r="K32" s="100" t="n"/>
      <c r="L32" s="101" t="n"/>
      <c r="M32" s="100" t="n"/>
      <c r="N32" s="101" t="n"/>
      <c r="O32" s="100" t="n"/>
      <c r="P32" s="101" t="n"/>
      <c r="Q32" s="100" t="n"/>
      <c r="R32" s="101" t="n"/>
      <c r="S32" s="100" t="n"/>
      <c r="T32" s="101" t="n"/>
      <c r="U32" s="100" t="n"/>
      <c r="V32" s="101" t="n"/>
      <c r="W32" s="183" t="n"/>
      <c r="X32" s="103" t="n"/>
      <c r="Y32" s="104" t="n"/>
      <c r="Z32" s="103" t="n"/>
      <c r="AA32" s="104" t="n"/>
      <c r="AB32" s="103" t="n"/>
      <c r="AC32" s="104" t="n"/>
      <c r="AD32" s="103" t="n"/>
      <c r="AE32" s="104" t="n"/>
      <c r="AF32" s="103" t="n"/>
      <c r="AG32" s="104" t="n"/>
      <c r="AH32" s="103" t="n"/>
      <c r="AI32" s="104" t="n"/>
      <c r="AJ32" s="103" t="n"/>
      <c r="AK32" s="104" t="n"/>
      <c r="AL32" s="103" t="n"/>
      <c r="AM32" s="104" t="n"/>
      <c r="AN32" s="184" t="n"/>
      <c r="AO32" s="106" t="n"/>
      <c r="AP32" s="107" t="n"/>
      <c r="AQ32" s="106" t="n"/>
      <c r="AR32" s="107" t="n"/>
      <c r="AS32" s="106" t="n"/>
      <c r="AT32" s="107" t="n"/>
      <c r="AU32" s="106" t="n"/>
      <c r="AV32" s="107" t="n"/>
      <c r="AW32" s="106" t="n"/>
      <c r="AX32" s="107" t="n"/>
      <c r="AY32" s="106" t="n"/>
      <c r="AZ32" s="107" t="n"/>
      <c r="BA32" s="106" t="n"/>
      <c r="BB32" s="107" t="n"/>
      <c r="BC32" s="106" t="n"/>
      <c r="BD32" s="107" t="n"/>
      <c r="BE32" s="185" t="n"/>
      <c r="BF32" s="109" t="n"/>
      <c r="BG32" s="110" t="n"/>
      <c r="BH32" s="109" t="n"/>
      <c r="BI32" s="110" t="n"/>
      <c r="BJ32" s="109" t="n"/>
      <c r="BK32" s="110" t="n"/>
      <c r="BL32" s="109" t="n"/>
      <c r="BM32" s="110" t="n"/>
      <c r="BN32" s="109" t="n"/>
      <c r="BO32" s="110" t="n"/>
      <c r="BP32" s="109" t="n"/>
      <c r="BQ32" s="110" t="n"/>
      <c r="BR32" s="109" t="n"/>
      <c r="BS32" s="110" t="n"/>
      <c r="BT32" s="109" t="n"/>
      <c r="BU32" s="110" t="n"/>
      <c r="BV32" s="186" t="n"/>
      <c r="BW32" s="112" t="n"/>
      <c r="BX32" s="113" t="n"/>
      <c r="BY32" s="112" t="n"/>
      <c r="BZ32" s="113" t="n"/>
      <c r="CA32" s="112" t="n"/>
      <c r="CB32" s="113" t="n"/>
      <c r="CC32" s="112" t="n"/>
      <c r="CD32" s="113" t="n"/>
      <c r="CE32" s="112" t="n"/>
      <c r="CF32" s="113" t="n"/>
      <c r="CG32" s="112" t="n"/>
      <c r="CH32" s="113" t="n"/>
      <c r="CI32" s="112" t="n"/>
      <c r="CJ32" s="113" t="n"/>
      <c r="CK32" s="112" t="n"/>
      <c r="CL32" s="113" t="n"/>
      <c r="CM32" s="187" t="n"/>
      <c r="CN32" s="115" t="n"/>
      <c r="CO32" s="116" t="n"/>
      <c r="CP32" s="115" t="n"/>
      <c r="CQ32" s="116" t="n"/>
      <c r="CR32" s="115" t="n"/>
      <c r="CS32" s="116" t="n"/>
      <c r="CT32" s="115" t="n"/>
      <c r="CU32" s="116" t="n"/>
      <c r="CV32" s="115" t="n"/>
      <c r="CW32" s="116" t="n"/>
      <c r="CX32" s="115" t="n"/>
      <c r="CY32" s="116" t="n"/>
      <c r="CZ32" s="115" t="n"/>
      <c r="DA32" s="116" t="n"/>
      <c r="DB32" s="115" t="n"/>
      <c r="DC32" s="116" t="n"/>
      <c r="DD32" s="188" t="n"/>
      <c r="DE32" s="118" t="n"/>
      <c r="DF32" s="119" t="n"/>
      <c r="DG32" s="118" t="n"/>
      <c r="DH32" s="119" t="n"/>
      <c r="DI32" s="118" t="n"/>
      <c r="DJ32" s="119" t="n"/>
      <c r="DK32" s="118" t="n"/>
      <c r="DL32" s="119" t="n"/>
      <c r="DM32" s="118" t="n"/>
      <c r="DN32" s="119" t="n"/>
      <c r="DO32" s="118" t="n"/>
      <c r="DP32" s="119" t="n"/>
      <c r="DQ32" s="118" t="n"/>
      <c r="DR32" s="119" t="n"/>
      <c r="DS32" s="118" t="n"/>
      <c r="DT32" s="119" t="n"/>
      <c r="DU32" s="189" t="n"/>
      <c r="DV32" s="121" t="n"/>
      <c r="DW32" s="122" t="n"/>
      <c r="DX32" s="121" t="n"/>
      <c r="DY32" s="122" t="n"/>
      <c r="DZ32" s="121" t="n"/>
      <c r="EA32" s="122" t="n"/>
      <c r="EB32" s="121" t="n"/>
      <c r="EC32" s="122" t="n"/>
      <c r="ED32" s="121" t="n"/>
      <c r="EE32" s="122" t="n"/>
      <c r="EF32" s="121" t="n"/>
      <c r="EG32" s="122" t="n"/>
      <c r="EH32" s="121" t="n"/>
      <c r="EI32" s="122" t="n"/>
      <c r="EJ32" s="121" t="n"/>
      <c r="EK32" s="122" t="n"/>
      <c r="EL32" s="190" t="n"/>
      <c r="EM32" s="124" t="n"/>
      <c r="EN32" s="125" t="n"/>
      <c r="EO32" s="124" t="n"/>
      <c r="EP32" s="125" t="n"/>
      <c r="EQ32" s="124" t="n"/>
      <c r="ER32" s="125" t="n"/>
      <c r="ES32" s="124" t="n"/>
      <c r="ET32" s="125" t="n"/>
      <c r="EU32" s="124" t="n"/>
      <c r="EV32" s="125" t="n"/>
      <c r="EW32" s="124" t="n"/>
      <c r="EX32" s="125" t="n"/>
      <c r="EY32" s="124" t="n"/>
      <c r="EZ32" s="125" t="n"/>
      <c r="FA32" s="124" t="n"/>
      <c r="FB32" s="125" t="n"/>
      <c r="FC32" s="191" t="n"/>
      <c r="FD32" s="127" t="n"/>
      <c r="FE32" s="128" t="n"/>
      <c r="FF32" s="127" t="n"/>
      <c r="FG32" s="128" t="n"/>
      <c r="FH32" s="127" t="n"/>
      <c r="FI32" s="128" t="n"/>
      <c r="FJ32" s="127" t="n"/>
      <c r="FK32" s="128" t="n"/>
      <c r="FL32" s="127" t="n"/>
      <c r="FM32" s="128" t="n"/>
      <c r="FN32" s="127" t="n"/>
      <c r="FO32" s="128" t="n"/>
      <c r="FP32" s="127" t="n"/>
      <c r="FQ32" s="128" t="n"/>
      <c r="FR32" s="127" t="n"/>
      <c r="FS32" s="128" t="n"/>
      <c r="FT32" s="192" t="n"/>
      <c r="FU32" s="130" t="n"/>
      <c r="FV32" s="131" t="n"/>
      <c r="FW32" s="130" t="n"/>
      <c r="FX32" s="131" t="n"/>
      <c r="FY32" s="130" t="n"/>
      <c r="FZ32" s="131" t="n"/>
      <c r="GA32" s="130" t="n"/>
      <c r="GB32" s="131" t="n"/>
      <c r="GC32" s="130" t="n"/>
      <c r="GD32" s="131" t="n"/>
      <c r="GE32" s="130" t="n"/>
      <c r="GF32" s="131" t="n"/>
      <c r="GG32" s="130" t="n"/>
      <c r="GH32" s="131" t="n"/>
      <c r="GI32" s="130" t="n"/>
      <c r="GJ32" s="131" t="n"/>
      <c r="GK32" s="193" t="n"/>
      <c r="GL32" s="133" t="n"/>
      <c r="GM32" s="134" t="n"/>
      <c r="GN32" s="133" t="n"/>
      <c r="GO32" s="134" t="n"/>
      <c r="GP32" s="133" t="n"/>
      <c r="GQ32" s="134" t="n"/>
      <c r="GR32" s="133" t="n"/>
      <c r="GS32" s="134" t="n"/>
      <c r="GT32" s="133" t="n"/>
      <c r="GU32" s="134" t="n"/>
      <c r="GV32" s="133" t="n"/>
      <c r="GW32" s="134" t="n"/>
      <c r="GX32" s="133" t="n"/>
      <c r="GY32" s="134" t="n"/>
      <c r="GZ32" s="133" t="n"/>
      <c r="HA32" s="134" t="n"/>
      <c r="HB32" s="194" t="n"/>
      <c r="HC32">
        <f>SUMIFS($G32:$HB32,$G$46:$HB$46,"&gt;="&amp;$HD$1,$G$46:$HB$46,"&lt;="&amp;$HD$2,$G$29:$HB$29,"&lt;&gt;ملاحظات",$G$28:$HB$28,"&gt;0")</f>
        <v>0</v>
      </c>
      <c r="HD32">
        <f>SUMIFS($G$28:$HB$28,$G$46:$HB$46,"&gt;="&amp;$HD$1,$G$46:$HB$46,"&lt;="&amp;$HD$2,$G$29:$HB$29,"&lt;&gt;ملاحظات",$G32:$HB32,"&gt;=0")</f>
        <v>0</v>
      </c>
    </row>
    <row r="33" ht="22.5" customHeight="1">
      <c r="A33" s="36" t="n">
        <v>4</v>
      </c>
      <c r="B33" s="181" t="str">
        <f>IF($B8="","",$B8)</f>
        <v/>
      </c>
      <c r="C33" s="136" t="str">
        <f>IF(OR($B33="",$HD33=0),"",ROUND($HC33,2)&amp;" / "&amp;$HD33)</f>
        <v/>
      </c>
      <c r="D33" s="182" t="str">
        <f>IF(OR($B33="",$HD33=0),"",$HC33/$HD33)</f>
        <v/>
      </c>
      <c r="E33" s="98" t="str">
        <f>IF($D33="","",RANK($D33,$D$30:$D$44))</f>
        <v/>
      </c>
      <c r="F33" s="99" t="str">
        <f>IF($D33="","",IF($D33&gt;=0.85,"ممتاز",IF($D33&gt;=0.75,"جيد جداً",IF($D33&gt;=0.65,"جيد",IF($D33&gt;=0.5,"مقبول","ضعيف")))))</f>
        <v/>
      </c>
      <c r="G33" s="100" t="n"/>
      <c r="H33" s="101" t="n"/>
      <c r="I33" s="100" t="n"/>
      <c r="J33" s="101" t="n"/>
      <c r="K33" s="100" t="n"/>
      <c r="L33" s="101" t="n"/>
      <c r="M33" s="100" t="n"/>
      <c r="N33" s="101" t="n"/>
      <c r="O33" s="100" t="n"/>
      <c r="P33" s="101" t="n"/>
      <c r="Q33" s="100" t="n"/>
      <c r="R33" s="101" t="n"/>
      <c r="S33" s="100" t="n"/>
      <c r="T33" s="101" t="n"/>
      <c r="U33" s="100" t="n"/>
      <c r="V33" s="101" t="n"/>
      <c r="W33" s="183" t="n"/>
      <c r="X33" s="103" t="n"/>
      <c r="Y33" s="104" t="n"/>
      <c r="Z33" s="103" t="n"/>
      <c r="AA33" s="104" t="n"/>
      <c r="AB33" s="103" t="n"/>
      <c r="AC33" s="104" t="n"/>
      <c r="AD33" s="103" t="n"/>
      <c r="AE33" s="104" t="n"/>
      <c r="AF33" s="103" t="n"/>
      <c r="AG33" s="104" t="n"/>
      <c r="AH33" s="103" t="n"/>
      <c r="AI33" s="104" t="n"/>
      <c r="AJ33" s="103" t="n"/>
      <c r="AK33" s="104" t="n"/>
      <c r="AL33" s="103" t="n"/>
      <c r="AM33" s="104" t="n"/>
      <c r="AN33" s="184" t="n"/>
      <c r="AO33" s="106" t="n"/>
      <c r="AP33" s="107" t="n"/>
      <c r="AQ33" s="106" t="n"/>
      <c r="AR33" s="107" t="n"/>
      <c r="AS33" s="106" t="n"/>
      <c r="AT33" s="107" t="n"/>
      <c r="AU33" s="106" t="n"/>
      <c r="AV33" s="107" t="n"/>
      <c r="AW33" s="106" t="n"/>
      <c r="AX33" s="107" t="n"/>
      <c r="AY33" s="106" t="n"/>
      <c r="AZ33" s="107" t="n"/>
      <c r="BA33" s="106" t="n"/>
      <c r="BB33" s="107" t="n"/>
      <c r="BC33" s="106" t="n"/>
      <c r="BD33" s="107" t="n"/>
      <c r="BE33" s="185" t="n"/>
      <c r="BF33" s="109" t="n"/>
      <c r="BG33" s="110" t="n"/>
      <c r="BH33" s="109" t="n"/>
      <c r="BI33" s="110" t="n"/>
      <c r="BJ33" s="109" t="n"/>
      <c r="BK33" s="110" t="n"/>
      <c r="BL33" s="109" t="n"/>
      <c r="BM33" s="110" t="n"/>
      <c r="BN33" s="109" t="n"/>
      <c r="BO33" s="110" t="n"/>
      <c r="BP33" s="109" t="n"/>
      <c r="BQ33" s="110" t="n"/>
      <c r="BR33" s="109" t="n"/>
      <c r="BS33" s="110" t="n"/>
      <c r="BT33" s="109" t="n"/>
      <c r="BU33" s="110" t="n"/>
      <c r="BV33" s="186" t="n"/>
      <c r="BW33" s="112" t="n"/>
      <c r="BX33" s="113" t="n"/>
      <c r="BY33" s="112" t="n"/>
      <c r="BZ33" s="113" t="n"/>
      <c r="CA33" s="112" t="n"/>
      <c r="CB33" s="113" t="n"/>
      <c r="CC33" s="112" t="n"/>
      <c r="CD33" s="113" t="n"/>
      <c r="CE33" s="112" t="n"/>
      <c r="CF33" s="113" t="n"/>
      <c r="CG33" s="112" t="n"/>
      <c r="CH33" s="113" t="n"/>
      <c r="CI33" s="112" t="n"/>
      <c r="CJ33" s="113" t="n"/>
      <c r="CK33" s="112" t="n"/>
      <c r="CL33" s="113" t="n"/>
      <c r="CM33" s="187" t="n"/>
      <c r="CN33" s="115" t="n"/>
      <c r="CO33" s="116" t="n"/>
      <c r="CP33" s="115" t="n"/>
      <c r="CQ33" s="116" t="n"/>
      <c r="CR33" s="115" t="n"/>
      <c r="CS33" s="116" t="n"/>
      <c r="CT33" s="115" t="n"/>
      <c r="CU33" s="116" t="n"/>
      <c r="CV33" s="115" t="n"/>
      <c r="CW33" s="116" t="n"/>
      <c r="CX33" s="115" t="n"/>
      <c r="CY33" s="116" t="n"/>
      <c r="CZ33" s="115" t="n"/>
      <c r="DA33" s="116" t="n"/>
      <c r="DB33" s="115" t="n"/>
      <c r="DC33" s="116" t="n"/>
      <c r="DD33" s="188" t="n"/>
      <c r="DE33" s="118" t="n"/>
      <c r="DF33" s="119" t="n"/>
      <c r="DG33" s="118" t="n"/>
      <c r="DH33" s="119" t="n"/>
      <c r="DI33" s="118" t="n"/>
      <c r="DJ33" s="119" t="n"/>
      <c r="DK33" s="118" t="n"/>
      <c r="DL33" s="119" t="n"/>
      <c r="DM33" s="118" t="n"/>
      <c r="DN33" s="119" t="n"/>
      <c r="DO33" s="118" t="n"/>
      <c r="DP33" s="119" t="n"/>
      <c r="DQ33" s="118" t="n"/>
      <c r="DR33" s="119" t="n"/>
      <c r="DS33" s="118" t="n"/>
      <c r="DT33" s="119" t="n"/>
      <c r="DU33" s="189" t="n"/>
      <c r="DV33" s="121" t="n"/>
      <c r="DW33" s="122" t="n"/>
      <c r="DX33" s="121" t="n"/>
      <c r="DY33" s="122" t="n"/>
      <c r="DZ33" s="121" t="n"/>
      <c r="EA33" s="122" t="n"/>
      <c r="EB33" s="121" t="n"/>
      <c r="EC33" s="122" t="n"/>
      <c r="ED33" s="121" t="n"/>
      <c r="EE33" s="122" t="n"/>
      <c r="EF33" s="121" t="n"/>
      <c r="EG33" s="122" t="n"/>
      <c r="EH33" s="121" t="n"/>
      <c r="EI33" s="122" t="n"/>
      <c r="EJ33" s="121" t="n"/>
      <c r="EK33" s="122" t="n"/>
      <c r="EL33" s="190" t="n"/>
      <c r="EM33" s="124" t="n"/>
      <c r="EN33" s="125" t="n"/>
      <c r="EO33" s="124" t="n"/>
      <c r="EP33" s="125" t="n"/>
      <c r="EQ33" s="124" t="n"/>
      <c r="ER33" s="125" t="n"/>
      <c r="ES33" s="124" t="n"/>
      <c r="ET33" s="125" t="n"/>
      <c r="EU33" s="124" t="n"/>
      <c r="EV33" s="125" t="n"/>
      <c r="EW33" s="124" t="n"/>
      <c r="EX33" s="125" t="n"/>
      <c r="EY33" s="124" t="n"/>
      <c r="EZ33" s="125" t="n"/>
      <c r="FA33" s="124" t="n"/>
      <c r="FB33" s="125" t="n"/>
      <c r="FC33" s="191" t="n"/>
      <c r="FD33" s="127" t="n"/>
      <c r="FE33" s="128" t="n"/>
      <c r="FF33" s="127" t="n"/>
      <c r="FG33" s="128" t="n"/>
      <c r="FH33" s="127" t="n"/>
      <c r="FI33" s="128" t="n"/>
      <c r="FJ33" s="127" t="n"/>
      <c r="FK33" s="128" t="n"/>
      <c r="FL33" s="127" t="n"/>
      <c r="FM33" s="128" t="n"/>
      <c r="FN33" s="127" t="n"/>
      <c r="FO33" s="128" t="n"/>
      <c r="FP33" s="127" t="n"/>
      <c r="FQ33" s="128" t="n"/>
      <c r="FR33" s="127" t="n"/>
      <c r="FS33" s="128" t="n"/>
      <c r="FT33" s="192" t="n"/>
      <c r="FU33" s="130" t="n"/>
      <c r="FV33" s="131" t="n"/>
      <c r="FW33" s="130" t="n"/>
      <c r="FX33" s="131" t="n"/>
      <c r="FY33" s="130" t="n"/>
      <c r="FZ33" s="131" t="n"/>
      <c r="GA33" s="130" t="n"/>
      <c r="GB33" s="131" t="n"/>
      <c r="GC33" s="130" t="n"/>
      <c r="GD33" s="131" t="n"/>
      <c r="GE33" s="130" t="n"/>
      <c r="GF33" s="131" t="n"/>
      <c r="GG33" s="130" t="n"/>
      <c r="GH33" s="131" t="n"/>
      <c r="GI33" s="130" t="n"/>
      <c r="GJ33" s="131" t="n"/>
      <c r="GK33" s="193" t="n"/>
      <c r="GL33" s="133" t="n"/>
      <c r="GM33" s="134" t="n"/>
      <c r="GN33" s="133" t="n"/>
      <c r="GO33" s="134" t="n"/>
      <c r="GP33" s="133" t="n"/>
      <c r="GQ33" s="134" t="n"/>
      <c r="GR33" s="133" t="n"/>
      <c r="GS33" s="134" t="n"/>
      <c r="GT33" s="133" t="n"/>
      <c r="GU33" s="134" t="n"/>
      <c r="GV33" s="133" t="n"/>
      <c r="GW33" s="134" t="n"/>
      <c r="GX33" s="133" t="n"/>
      <c r="GY33" s="134" t="n"/>
      <c r="GZ33" s="133" t="n"/>
      <c r="HA33" s="134" t="n"/>
      <c r="HB33" s="194" t="n"/>
      <c r="HC33">
        <f>SUMIFS($G33:$HB33,$G$46:$HB$46,"&gt;="&amp;$HD$1,$G$46:$HB$46,"&lt;="&amp;$HD$2,$G$29:$HB$29,"&lt;&gt;ملاحظات",$G$28:$HB$28,"&gt;0")</f>
        <v>0</v>
      </c>
      <c r="HD33">
        <f>SUMIFS($G$28:$HB$28,$G$46:$HB$46,"&gt;="&amp;$HD$1,$G$46:$HB$46,"&lt;="&amp;$HD$2,$G$29:$HB$29,"&lt;&gt;ملاحظات",$G33:$HB33,"&gt;=0")</f>
        <v>0</v>
      </c>
    </row>
    <row r="34" ht="22.5" customHeight="1">
      <c r="A34" s="36" t="n">
        <v>5</v>
      </c>
      <c r="B34" s="181" t="str">
        <f>IF($B9="","",$B9)</f>
        <v/>
      </c>
      <c r="C34" s="136" t="str">
        <f>IF(OR($B34="",$HD34=0),"",ROUND($HC34,2)&amp;" / "&amp;$HD34)</f>
        <v/>
      </c>
      <c r="D34" s="182" t="str">
        <f>IF(OR($B34="",$HD34=0),"",$HC34/$HD34)</f>
        <v/>
      </c>
      <c r="E34" s="98" t="str">
        <f>IF($D34="","",RANK($D34,$D$30:$D$44))</f>
        <v/>
      </c>
      <c r="F34" s="99" t="str">
        <f>IF($D34="","",IF($D34&gt;=0.85,"ممتاز",IF($D34&gt;=0.75,"جيد جداً",IF($D34&gt;=0.65,"جيد",IF($D34&gt;=0.5,"مقبول","ضعيف")))))</f>
        <v/>
      </c>
      <c r="G34" s="100" t="n"/>
      <c r="H34" s="101" t="n"/>
      <c r="I34" s="100" t="n"/>
      <c r="J34" s="101" t="n"/>
      <c r="K34" s="100" t="n"/>
      <c r="L34" s="101" t="n"/>
      <c r="M34" s="100" t="n"/>
      <c r="N34" s="101" t="n"/>
      <c r="O34" s="100" t="n"/>
      <c r="P34" s="101" t="n"/>
      <c r="Q34" s="100" t="n"/>
      <c r="R34" s="101" t="n"/>
      <c r="S34" s="100" t="n"/>
      <c r="T34" s="101" t="n"/>
      <c r="U34" s="100" t="n"/>
      <c r="V34" s="101" t="n"/>
      <c r="W34" s="183" t="n"/>
      <c r="X34" s="103" t="n"/>
      <c r="Y34" s="104" t="n"/>
      <c r="Z34" s="103" t="n"/>
      <c r="AA34" s="104" t="n"/>
      <c r="AB34" s="103" t="n"/>
      <c r="AC34" s="104" t="n"/>
      <c r="AD34" s="103" t="n"/>
      <c r="AE34" s="104" t="n"/>
      <c r="AF34" s="103" t="n"/>
      <c r="AG34" s="104" t="n"/>
      <c r="AH34" s="103" t="n"/>
      <c r="AI34" s="104" t="n"/>
      <c r="AJ34" s="103" t="n"/>
      <c r="AK34" s="104" t="n"/>
      <c r="AL34" s="103" t="n"/>
      <c r="AM34" s="104" t="n"/>
      <c r="AN34" s="184" t="n"/>
      <c r="AO34" s="106" t="n"/>
      <c r="AP34" s="107" t="n"/>
      <c r="AQ34" s="106" t="n"/>
      <c r="AR34" s="107" t="n"/>
      <c r="AS34" s="106" t="n"/>
      <c r="AT34" s="107" t="n"/>
      <c r="AU34" s="106" t="n"/>
      <c r="AV34" s="107" t="n"/>
      <c r="AW34" s="106" t="n"/>
      <c r="AX34" s="107" t="n"/>
      <c r="AY34" s="106" t="n"/>
      <c r="AZ34" s="107" t="n"/>
      <c r="BA34" s="106" t="n"/>
      <c r="BB34" s="107" t="n"/>
      <c r="BC34" s="106" t="n"/>
      <c r="BD34" s="107" t="n"/>
      <c r="BE34" s="185" t="n"/>
      <c r="BF34" s="109" t="n"/>
      <c r="BG34" s="110" t="n"/>
      <c r="BH34" s="109" t="n"/>
      <c r="BI34" s="110" t="n"/>
      <c r="BJ34" s="109" t="n"/>
      <c r="BK34" s="110" t="n"/>
      <c r="BL34" s="109" t="n"/>
      <c r="BM34" s="110" t="n"/>
      <c r="BN34" s="109" t="n"/>
      <c r="BO34" s="110" t="n"/>
      <c r="BP34" s="109" t="n"/>
      <c r="BQ34" s="110" t="n"/>
      <c r="BR34" s="109" t="n"/>
      <c r="BS34" s="110" t="n"/>
      <c r="BT34" s="109" t="n"/>
      <c r="BU34" s="110" t="n"/>
      <c r="BV34" s="186" t="n"/>
      <c r="BW34" s="112" t="n"/>
      <c r="BX34" s="113" t="n"/>
      <c r="BY34" s="112" t="n"/>
      <c r="BZ34" s="113" t="n"/>
      <c r="CA34" s="112" t="n"/>
      <c r="CB34" s="113" t="n"/>
      <c r="CC34" s="112" t="n"/>
      <c r="CD34" s="113" t="n"/>
      <c r="CE34" s="112" t="n"/>
      <c r="CF34" s="113" t="n"/>
      <c r="CG34" s="112" t="n"/>
      <c r="CH34" s="113" t="n"/>
      <c r="CI34" s="112" t="n"/>
      <c r="CJ34" s="113" t="n"/>
      <c r="CK34" s="112" t="n"/>
      <c r="CL34" s="113" t="n"/>
      <c r="CM34" s="187" t="n"/>
      <c r="CN34" s="115" t="n"/>
      <c r="CO34" s="116" t="n"/>
      <c r="CP34" s="115" t="n"/>
      <c r="CQ34" s="116" t="n"/>
      <c r="CR34" s="115" t="n"/>
      <c r="CS34" s="116" t="n"/>
      <c r="CT34" s="115" t="n"/>
      <c r="CU34" s="116" t="n"/>
      <c r="CV34" s="115" t="n"/>
      <c r="CW34" s="116" t="n"/>
      <c r="CX34" s="115" t="n"/>
      <c r="CY34" s="116" t="n"/>
      <c r="CZ34" s="115" t="n"/>
      <c r="DA34" s="116" t="n"/>
      <c r="DB34" s="115" t="n"/>
      <c r="DC34" s="116" t="n"/>
      <c r="DD34" s="188" t="n"/>
      <c r="DE34" s="118" t="n"/>
      <c r="DF34" s="119" t="n"/>
      <c r="DG34" s="118" t="n"/>
      <c r="DH34" s="119" t="n"/>
      <c r="DI34" s="118" t="n"/>
      <c r="DJ34" s="119" t="n"/>
      <c r="DK34" s="118" t="n"/>
      <c r="DL34" s="119" t="n"/>
      <c r="DM34" s="118" t="n"/>
      <c r="DN34" s="119" t="n"/>
      <c r="DO34" s="118" t="n"/>
      <c r="DP34" s="119" t="n"/>
      <c r="DQ34" s="118" t="n"/>
      <c r="DR34" s="119" t="n"/>
      <c r="DS34" s="118" t="n"/>
      <c r="DT34" s="119" t="n"/>
      <c r="DU34" s="189" t="n"/>
      <c r="DV34" s="121" t="n"/>
      <c r="DW34" s="122" t="n"/>
      <c r="DX34" s="121" t="n"/>
      <c r="DY34" s="122" t="n"/>
      <c r="DZ34" s="121" t="n"/>
      <c r="EA34" s="122" t="n"/>
      <c r="EB34" s="121" t="n"/>
      <c r="EC34" s="122" t="n"/>
      <c r="ED34" s="121" t="n"/>
      <c r="EE34" s="122" t="n"/>
      <c r="EF34" s="121" t="n"/>
      <c r="EG34" s="122" t="n"/>
      <c r="EH34" s="121" t="n"/>
      <c r="EI34" s="122" t="n"/>
      <c r="EJ34" s="121" t="n"/>
      <c r="EK34" s="122" t="n"/>
      <c r="EL34" s="190" t="n"/>
      <c r="EM34" s="124" t="n"/>
      <c r="EN34" s="125" t="n"/>
      <c r="EO34" s="124" t="n"/>
      <c r="EP34" s="125" t="n"/>
      <c r="EQ34" s="124" t="n"/>
      <c r="ER34" s="125" t="n"/>
      <c r="ES34" s="124" t="n"/>
      <c r="ET34" s="125" t="n"/>
      <c r="EU34" s="124" t="n"/>
      <c r="EV34" s="125" t="n"/>
      <c r="EW34" s="124" t="n"/>
      <c r="EX34" s="125" t="n"/>
      <c r="EY34" s="124" t="n"/>
      <c r="EZ34" s="125" t="n"/>
      <c r="FA34" s="124" t="n"/>
      <c r="FB34" s="125" t="n"/>
      <c r="FC34" s="191" t="n"/>
      <c r="FD34" s="127" t="n"/>
      <c r="FE34" s="128" t="n"/>
      <c r="FF34" s="127" t="n"/>
      <c r="FG34" s="128" t="n"/>
      <c r="FH34" s="127" t="n"/>
      <c r="FI34" s="128" t="n"/>
      <c r="FJ34" s="127" t="n"/>
      <c r="FK34" s="128" t="n"/>
      <c r="FL34" s="127" t="n"/>
      <c r="FM34" s="128" t="n"/>
      <c r="FN34" s="127" t="n"/>
      <c r="FO34" s="128" t="n"/>
      <c r="FP34" s="127" t="n"/>
      <c r="FQ34" s="128" t="n"/>
      <c r="FR34" s="127" t="n"/>
      <c r="FS34" s="128" t="n"/>
      <c r="FT34" s="192" t="n"/>
      <c r="FU34" s="130" t="n"/>
      <c r="FV34" s="131" t="n"/>
      <c r="FW34" s="130" t="n"/>
      <c r="FX34" s="131" t="n"/>
      <c r="FY34" s="130" t="n"/>
      <c r="FZ34" s="131" t="n"/>
      <c r="GA34" s="130" t="n"/>
      <c r="GB34" s="131" t="n"/>
      <c r="GC34" s="130" t="n"/>
      <c r="GD34" s="131" t="n"/>
      <c r="GE34" s="130" t="n"/>
      <c r="GF34" s="131" t="n"/>
      <c r="GG34" s="130" t="n"/>
      <c r="GH34" s="131" t="n"/>
      <c r="GI34" s="130" t="n"/>
      <c r="GJ34" s="131" t="n"/>
      <c r="GK34" s="193" t="n"/>
      <c r="GL34" s="133" t="n"/>
      <c r="GM34" s="134" t="n"/>
      <c r="GN34" s="133" t="n"/>
      <c r="GO34" s="134" t="n"/>
      <c r="GP34" s="133" t="n"/>
      <c r="GQ34" s="134" t="n"/>
      <c r="GR34" s="133" t="n"/>
      <c r="GS34" s="134" t="n"/>
      <c r="GT34" s="133" t="n"/>
      <c r="GU34" s="134" t="n"/>
      <c r="GV34" s="133" t="n"/>
      <c r="GW34" s="134" t="n"/>
      <c r="GX34" s="133" t="n"/>
      <c r="GY34" s="134" t="n"/>
      <c r="GZ34" s="133" t="n"/>
      <c r="HA34" s="134" t="n"/>
      <c r="HB34" s="194" t="n"/>
      <c r="HC34">
        <f>SUMIFS($G34:$HB34,$G$46:$HB$46,"&gt;="&amp;$HD$1,$G$46:$HB$46,"&lt;="&amp;$HD$2,$G$29:$HB$29,"&lt;&gt;ملاحظات",$G$28:$HB$28,"&gt;0")</f>
        <v>0</v>
      </c>
      <c r="HD34">
        <f>SUMIFS($G$28:$HB$28,$G$46:$HB$46,"&gt;="&amp;$HD$1,$G$46:$HB$46,"&lt;="&amp;$HD$2,$G$29:$HB$29,"&lt;&gt;ملاحظات",$G34:$HB34,"&gt;=0")</f>
        <v>0</v>
      </c>
    </row>
    <row r="35" ht="22.5" customHeight="1">
      <c r="A35" s="36" t="n">
        <v>6</v>
      </c>
      <c r="B35" s="181" t="str">
        <f>IF($B10="","",$B10)</f>
        <v/>
      </c>
      <c r="C35" s="136" t="str">
        <f>IF(OR($B35="",$HD35=0),"",ROUND($HC35,2)&amp;" / "&amp;$HD35)</f>
        <v/>
      </c>
      <c r="D35" s="182" t="str">
        <f>IF(OR($B35="",$HD35=0),"",$HC35/$HD35)</f>
        <v/>
      </c>
      <c r="E35" s="98" t="str">
        <f>IF($D35="","",RANK($D35,$D$30:$D$44))</f>
        <v/>
      </c>
      <c r="F35" s="99" t="str">
        <f>IF($D35="","",IF($D35&gt;=0.85,"ممتاز",IF($D35&gt;=0.75,"جيد جداً",IF($D35&gt;=0.65,"جيد",IF($D35&gt;=0.5,"مقبول","ضعيف")))))</f>
        <v/>
      </c>
      <c r="G35" s="100" t="n"/>
      <c r="H35" s="101" t="n"/>
      <c r="I35" s="100" t="n"/>
      <c r="J35" s="101" t="n"/>
      <c r="K35" s="100" t="n"/>
      <c r="L35" s="101" t="n"/>
      <c r="M35" s="100" t="n"/>
      <c r="N35" s="101" t="n"/>
      <c r="O35" s="100" t="n"/>
      <c r="P35" s="101" t="n"/>
      <c r="Q35" s="100" t="n"/>
      <c r="R35" s="101" t="n"/>
      <c r="S35" s="100" t="n"/>
      <c r="T35" s="101" t="n"/>
      <c r="U35" s="100" t="n"/>
      <c r="V35" s="101" t="n"/>
      <c r="W35" s="183" t="n"/>
      <c r="X35" s="103" t="n"/>
      <c r="Y35" s="104" t="n"/>
      <c r="Z35" s="103" t="n"/>
      <c r="AA35" s="104" t="n"/>
      <c r="AB35" s="103" t="n"/>
      <c r="AC35" s="104" t="n"/>
      <c r="AD35" s="103" t="n"/>
      <c r="AE35" s="104" t="n"/>
      <c r="AF35" s="103" t="n"/>
      <c r="AG35" s="104" t="n"/>
      <c r="AH35" s="103" t="n"/>
      <c r="AI35" s="104" t="n"/>
      <c r="AJ35" s="103" t="n"/>
      <c r="AK35" s="104" t="n"/>
      <c r="AL35" s="103" t="n"/>
      <c r="AM35" s="104" t="n"/>
      <c r="AN35" s="184" t="n"/>
      <c r="AO35" s="106" t="n"/>
      <c r="AP35" s="107" t="n"/>
      <c r="AQ35" s="106" t="n"/>
      <c r="AR35" s="107" t="n"/>
      <c r="AS35" s="106" t="n"/>
      <c r="AT35" s="107" t="n"/>
      <c r="AU35" s="106" t="n"/>
      <c r="AV35" s="107" t="n"/>
      <c r="AW35" s="106" t="n"/>
      <c r="AX35" s="107" t="n"/>
      <c r="AY35" s="106" t="n"/>
      <c r="AZ35" s="107" t="n"/>
      <c r="BA35" s="106" t="n"/>
      <c r="BB35" s="107" t="n"/>
      <c r="BC35" s="106" t="n"/>
      <c r="BD35" s="107" t="n"/>
      <c r="BE35" s="185" t="n"/>
      <c r="BF35" s="109" t="n"/>
      <c r="BG35" s="110" t="n"/>
      <c r="BH35" s="109" t="n"/>
      <c r="BI35" s="110" t="n"/>
      <c r="BJ35" s="109" t="n"/>
      <c r="BK35" s="110" t="n"/>
      <c r="BL35" s="109" t="n"/>
      <c r="BM35" s="110" t="n"/>
      <c r="BN35" s="109" t="n"/>
      <c r="BO35" s="110" t="n"/>
      <c r="BP35" s="109" t="n"/>
      <c r="BQ35" s="110" t="n"/>
      <c r="BR35" s="109" t="n"/>
      <c r="BS35" s="110" t="n"/>
      <c r="BT35" s="109" t="n"/>
      <c r="BU35" s="110" t="n"/>
      <c r="BV35" s="186" t="n"/>
      <c r="BW35" s="112" t="n"/>
      <c r="BX35" s="113" t="n"/>
      <c r="BY35" s="112" t="n"/>
      <c r="BZ35" s="113" t="n"/>
      <c r="CA35" s="112" t="n"/>
      <c r="CB35" s="113" t="n"/>
      <c r="CC35" s="112" t="n"/>
      <c r="CD35" s="113" t="n"/>
      <c r="CE35" s="112" t="n"/>
      <c r="CF35" s="113" t="n"/>
      <c r="CG35" s="112" t="n"/>
      <c r="CH35" s="113" t="n"/>
      <c r="CI35" s="112" t="n"/>
      <c r="CJ35" s="113" t="n"/>
      <c r="CK35" s="112" t="n"/>
      <c r="CL35" s="113" t="n"/>
      <c r="CM35" s="187" t="n"/>
      <c r="CN35" s="115" t="n"/>
      <c r="CO35" s="116" t="n"/>
      <c r="CP35" s="115" t="n"/>
      <c r="CQ35" s="116" t="n"/>
      <c r="CR35" s="115" t="n"/>
      <c r="CS35" s="116" t="n"/>
      <c r="CT35" s="115" t="n"/>
      <c r="CU35" s="116" t="n"/>
      <c r="CV35" s="115" t="n"/>
      <c r="CW35" s="116" t="n"/>
      <c r="CX35" s="115" t="n"/>
      <c r="CY35" s="116" t="n"/>
      <c r="CZ35" s="115" t="n"/>
      <c r="DA35" s="116" t="n"/>
      <c r="DB35" s="115" t="n"/>
      <c r="DC35" s="116" t="n"/>
      <c r="DD35" s="188" t="n"/>
      <c r="DE35" s="118" t="n"/>
      <c r="DF35" s="119" t="n"/>
      <c r="DG35" s="118" t="n"/>
      <c r="DH35" s="119" t="n"/>
      <c r="DI35" s="118" t="n"/>
      <c r="DJ35" s="119" t="n"/>
      <c r="DK35" s="118" t="n"/>
      <c r="DL35" s="119" t="n"/>
      <c r="DM35" s="118" t="n"/>
      <c r="DN35" s="119" t="n"/>
      <c r="DO35" s="118" t="n"/>
      <c r="DP35" s="119" t="n"/>
      <c r="DQ35" s="118" t="n"/>
      <c r="DR35" s="119" t="n"/>
      <c r="DS35" s="118" t="n"/>
      <c r="DT35" s="119" t="n"/>
      <c r="DU35" s="189" t="n"/>
      <c r="DV35" s="121" t="n"/>
      <c r="DW35" s="122" t="n"/>
      <c r="DX35" s="121" t="n"/>
      <c r="DY35" s="122" t="n"/>
      <c r="DZ35" s="121" t="n"/>
      <c r="EA35" s="122" t="n"/>
      <c r="EB35" s="121" t="n"/>
      <c r="EC35" s="122" t="n"/>
      <c r="ED35" s="121" t="n"/>
      <c r="EE35" s="122" t="n"/>
      <c r="EF35" s="121" t="n"/>
      <c r="EG35" s="122" t="n"/>
      <c r="EH35" s="121" t="n"/>
      <c r="EI35" s="122" t="n"/>
      <c r="EJ35" s="121" t="n"/>
      <c r="EK35" s="122" t="n"/>
      <c r="EL35" s="190" t="n"/>
      <c r="EM35" s="124" t="n"/>
      <c r="EN35" s="125" t="n"/>
      <c r="EO35" s="124" t="n"/>
      <c r="EP35" s="125" t="n"/>
      <c r="EQ35" s="124" t="n"/>
      <c r="ER35" s="125" t="n"/>
      <c r="ES35" s="124" t="n"/>
      <c r="ET35" s="125" t="n"/>
      <c r="EU35" s="124" t="n"/>
      <c r="EV35" s="125" t="n"/>
      <c r="EW35" s="124" t="n"/>
      <c r="EX35" s="125" t="n"/>
      <c r="EY35" s="124" t="n"/>
      <c r="EZ35" s="125" t="n"/>
      <c r="FA35" s="124" t="n"/>
      <c r="FB35" s="125" t="n"/>
      <c r="FC35" s="191" t="n"/>
      <c r="FD35" s="127" t="n"/>
      <c r="FE35" s="128" t="n"/>
      <c r="FF35" s="127" t="n"/>
      <c r="FG35" s="128" t="n"/>
      <c r="FH35" s="127" t="n"/>
      <c r="FI35" s="128" t="n"/>
      <c r="FJ35" s="127" t="n"/>
      <c r="FK35" s="128" t="n"/>
      <c r="FL35" s="127" t="n"/>
      <c r="FM35" s="128" t="n"/>
      <c r="FN35" s="127" t="n"/>
      <c r="FO35" s="128" t="n"/>
      <c r="FP35" s="127" t="n"/>
      <c r="FQ35" s="128" t="n"/>
      <c r="FR35" s="127" t="n"/>
      <c r="FS35" s="128" t="n"/>
      <c r="FT35" s="192" t="n"/>
      <c r="FU35" s="130" t="n"/>
      <c r="FV35" s="131" t="n"/>
      <c r="FW35" s="130" t="n"/>
      <c r="FX35" s="131" t="n"/>
      <c r="FY35" s="130" t="n"/>
      <c r="FZ35" s="131" t="n"/>
      <c r="GA35" s="130" t="n"/>
      <c r="GB35" s="131" t="n"/>
      <c r="GC35" s="130" t="n"/>
      <c r="GD35" s="131" t="n"/>
      <c r="GE35" s="130" t="n"/>
      <c r="GF35" s="131" t="n"/>
      <c r="GG35" s="130" t="n"/>
      <c r="GH35" s="131" t="n"/>
      <c r="GI35" s="130" t="n"/>
      <c r="GJ35" s="131" t="n"/>
      <c r="GK35" s="193" t="n"/>
      <c r="GL35" s="133" t="n"/>
      <c r="GM35" s="134" t="n"/>
      <c r="GN35" s="133" t="n"/>
      <c r="GO35" s="134" t="n"/>
      <c r="GP35" s="133" t="n"/>
      <c r="GQ35" s="134" t="n"/>
      <c r="GR35" s="133" t="n"/>
      <c r="GS35" s="134" t="n"/>
      <c r="GT35" s="133" t="n"/>
      <c r="GU35" s="134" t="n"/>
      <c r="GV35" s="133" t="n"/>
      <c r="GW35" s="134" t="n"/>
      <c r="GX35" s="133" t="n"/>
      <c r="GY35" s="134" t="n"/>
      <c r="GZ35" s="133" t="n"/>
      <c r="HA35" s="134" t="n"/>
      <c r="HB35" s="194" t="n"/>
      <c r="HC35">
        <f>SUMIFS($G35:$HB35,$G$46:$HB$46,"&gt;="&amp;$HD$1,$G$46:$HB$46,"&lt;="&amp;$HD$2,$G$29:$HB$29,"&lt;&gt;ملاحظات",$G$28:$HB$28,"&gt;0")</f>
        <v>0</v>
      </c>
      <c r="HD35">
        <f>SUMIFS($G$28:$HB$28,$G$46:$HB$46,"&gt;="&amp;$HD$1,$G$46:$HB$46,"&lt;="&amp;$HD$2,$G$29:$HB$29,"&lt;&gt;ملاحظات",$G35:$HB35,"&gt;=0")</f>
        <v>0</v>
      </c>
    </row>
    <row r="36" ht="22.5" customHeight="1">
      <c r="A36" s="36" t="n">
        <v>7</v>
      </c>
      <c r="B36" s="181" t="str">
        <f>IF($B11="","",$B11)</f>
        <v/>
      </c>
      <c r="C36" s="136" t="str">
        <f>IF(OR($B36="",$HD36=0),"",ROUND($HC36,2)&amp;" / "&amp;$HD36)</f>
        <v/>
      </c>
      <c r="D36" s="182" t="str">
        <f>IF(OR($B36="",$HD36=0),"",$HC36/$HD36)</f>
        <v/>
      </c>
      <c r="E36" s="98" t="str">
        <f>IF($D36="","",RANK($D36,$D$30:$D$44))</f>
        <v/>
      </c>
      <c r="F36" s="99" t="str">
        <f>IF($D36="","",IF($D36&gt;=0.85,"ممتاز",IF($D36&gt;=0.75,"جيد جداً",IF($D36&gt;=0.65,"جيد",IF($D36&gt;=0.5,"مقبول","ضعيف")))))</f>
        <v/>
      </c>
      <c r="G36" s="100" t="n"/>
      <c r="H36" s="101" t="n"/>
      <c r="I36" s="100" t="n"/>
      <c r="J36" s="101" t="n"/>
      <c r="K36" s="100" t="n"/>
      <c r="L36" s="101" t="n"/>
      <c r="M36" s="100" t="n"/>
      <c r="N36" s="101" t="n"/>
      <c r="O36" s="100" t="n"/>
      <c r="P36" s="101" t="n"/>
      <c r="Q36" s="100" t="n"/>
      <c r="R36" s="101" t="n"/>
      <c r="S36" s="100" t="n"/>
      <c r="T36" s="101" t="n"/>
      <c r="U36" s="100" t="n"/>
      <c r="V36" s="101" t="n"/>
      <c r="W36" s="183" t="n"/>
      <c r="X36" s="103" t="n"/>
      <c r="Y36" s="104" t="n"/>
      <c r="Z36" s="103" t="n"/>
      <c r="AA36" s="104" t="n"/>
      <c r="AB36" s="103" t="n"/>
      <c r="AC36" s="104" t="n"/>
      <c r="AD36" s="103" t="n"/>
      <c r="AE36" s="104" t="n"/>
      <c r="AF36" s="103" t="n"/>
      <c r="AG36" s="104" t="n"/>
      <c r="AH36" s="103" t="n"/>
      <c r="AI36" s="104" t="n"/>
      <c r="AJ36" s="103" t="n"/>
      <c r="AK36" s="104" t="n"/>
      <c r="AL36" s="103" t="n"/>
      <c r="AM36" s="104" t="n"/>
      <c r="AN36" s="184" t="n"/>
      <c r="AO36" s="106" t="n"/>
      <c r="AP36" s="107" t="n"/>
      <c r="AQ36" s="106" t="n"/>
      <c r="AR36" s="107" t="n"/>
      <c r="AS36" s="106" t="n"/>
      <c r="AT36" s="107" t="n"/>
      <c r="AU36" s="106" t="n"/>
      <c r="AV36" s="107" t="n"/>
      <c r="AW36" s="106" t="n"/>
      <c r="AX36" s="107" t="n"/>
      <c r="AY36" s="106" t="n"/>
      <c r="AZ36" s="107" t="n"/>
      <c r="BA36" s="106" t="n"/>
      <c r="BB36" s="107" t="n"/>
      <c r="BC36" s="106" t="n"/>
      <c r="BD36" s="107" t="n"/>
      <c r="BE36" s="185" t="n"/>
      <c r="BF36" s="109" t="n"/>
      <c r="BG36" s="110" t="n"/>
      <c r="BH36" s="109" t="n"/>
      <c r="BI36" s="110" t="n"/>
      <c r="BJ36" s="109" t="n"/>
      <c r="BK36" s="110" t="n"/>
      <c r="BL36" s="109" t="n"/>
      <c r="BM36" s="110" t="n"/>
      <c r="BN36" s="109" t="n"/>
      <c r="BO36" s="110" t="n"/>
      <c r="BP36" s="109" t="n"/>
      <c r="BQ36" s="110" t="n"/>
      <c r="BR36" s="109" t="n"/>
      <c r="BS36" s="110" t="n"/>
      <c r="BT36" s="109" t="n"/>
      <c r="BU36" s="110" t="n"/>
      <c r="BV36" s="186" t="n"/>
      <c r="BW36" s="112" t="n"/>
      <c r="BX36" s="113" t="n"/>
      <c r="BY36" s="112" t="n"/>
      <c r="BZ36" s="113" t="n"/>
      <c r="CA36" s="112" t="n"/>
      <c r="CB36" s="113" t="n"/>
      <c r="CC36" s="112" t="n"/>
      <c r="CD36" s="113" t="n"/>
      <c r="CE36" s="112" t="n"/>
      <c r="CF36" s="113" t="n"/>
      <c r="CG36" s="112" t="n"/>
      <c r="CH36" s="113" t="n"/>
      <c r="CI36" s="112" t="n"/>
      <c r="CJ36" s="113" t="n"/>
      <c r="CK36" s="112" t="n"/>
      <c r="CL36" s="113" t="n"/>
      <c r="CM36" s="187" t="n"/>
      <c r="CN36" s="115" t="n"/>
      <c r="CO36" s="116" t="n"/>
      <c r="CP36" s="115" t="n"/>
      <c r="CQ36" s="116" t="n"/>
      <c r="CR36" s="115" t="n"/>
      <c r="CS36" s="116" t="n"/>
      <c r="CT36" s="115" t="n"/>
      <c r="CU36" s="116" t="n"/>
      <c r="CV36" s="115" t="n"/>
      <c r="CW36" s="116" t="n"/>
      <c r="CX36" s="115" t="n"/>
      <c r="CY36" s="116" t="n"/>
      <c r="CZ36" s="115" t="n"/>
      <c r="DA36" s="116" t="n"/>
      <c r="DB36" s="115" t="n"/>
      <c r="DC36" s="116" t="n"/>
      <c r="DD36" s="188" t="n"/>
      <c r="DE36" s="118" t="n"/>
      <c r="DF36" s="119" t="n"/>
      <c r="DG36" s="118" t="n"/>
      <c r="DH36" s="119" t="n"/>
      <c r="DI36" s="118" t="n"/>
      <c r="DJ36" s="119" t="n"/>
      <c r="DK36" s="118" t="n"/>
      <c r="DL36" s="119" t="n"/>
      <c r="DM36" s="118" t="n"/>
      <c r="DN36" s="119" t="n"/>
      <c r="DO36" s="118" t="n"/>
      <c r="DP36" s="119" t="n"/>
      <c r="DQ36" s="118" t="n"/>
      <c r="DR36" s="119" t="n"/>
      <c r="DS36" s="118" t="n"/>
      <c r="DT36" s="119" t="n"/>
      <c r="DU36" s="189" t="n"/>
      <c r="DV36" s="121" t="n"/>
      <c r="DW36" s="122" t="n"/>
      <c r="DX36" s="121" t="n"/>
      <c r="DY36" s="122" t="n"/>
      <c r="DZ36" s="121" t="n"/>
      <c r="EA36" s="122" t="n"/>
      <c r="EB36" s="121" t="n"/>
      <c r="EC36" s="122" t="n"/>
      <c r="ED36" s="121" t="n"/>
      <c r="EE36" s="122" t="n"/>
      <c r="EF36" s="121" t="n"/>
      <c r="EG36" s="122" t="n"/>
      <c r="EH36" s="121" t="n"/>
      <c r="EI36" s="122" t="n"/>
      <c r="EJ36" s="121" t="n"/>
      <c r="EK36" s="122" t="n"/>
      <c r="EL36" s="190" t="n"/>
      <c r="EM36" s="124" t="n"/>
      <c r="EN36" s="125" t="n"/>
      <c r="EO36" s="124" t="n"/>
      <c r="EP36" s="125" t="n"/>
      <c r="EQ36" s="124" t="n"/>
      <c r="ER36" s="125" t="n"/>
      <c r="ES36" s="124" t="n"/>
      <c r="ET36" s="125" t="n"/>
      <c r="EU36" s="124" t="n"/>
      <c r="EV36" s="125" t="n"/>
      <c r="EW36" s="124" t="n"/>
      <c r="EX36" s="125" t="n"/>
      <c r="EY36" s="124" t="n"/>
      <c r="EZ36" s="125" t="n"/>
      <c r="FA36" s="124" t="n"/>
      <c r="FB36" s="125" t="n"/>
      <c r="FC36" s="191" t="n"/>
      <c r="FD36" s="127" t="n"/>
      <c r="FE36" s="128" t="n"/>
      <c r="FF36" s="127" t="n"/>
      <c r="FG36" s="128" t="n"/>
      <c r="FH36" s="127" t="n"/>
      <c r="FI36" s="128" t="n"/>
      <c r="FJ36" s="127" t="n"/>
      <c r="FK36" s="128" t="n"/>
      <c r="FL36" s="127" t="n"/>
      <c r="FM36" s="128" t="n"/>
      <c r="FN36" s="127" t="n"/>
      <c r="FO36" s="128" t="n"/>
      <c r="FP36" s="127" t="n"/>
      <c r="FQ36" s="128" t="n"/>
      <c r="FR36" s="127" t="n"/>
      <c r="FS36" s="128" t="n"/>
      <c r="FT36" s="192" t="n"/>
      <c r="FU36" s="130" t="n"/>
      <c r="FV36" s="131" t="n"/>
      <c r="FW36" s="130" t="n"/>
      <c r="FX36" s="131" t="n"/>
      <c r="FY36" s="130" t="n"/>
      <c r="FZ36" s="131" t="n"/>
      <c r="GA36" s="130" t="n"/>
      <c r="GB36" s="131" t="n"/>
      <c r="GC36" s="130" t="n"/>
      <c r="GD36" s="131" t="n"/>
      <c r="GE36" s="130" t="n"/>
      <c r="GF36" s="131" t="n"/>
      <c r="GG36" s="130" t="n"/>
      <c r="GH36" s="131" t="n"/>
      <c r="GI36" s="130" t="n"/>
      <c r="GJ36" s="131" t="n"/>
      <c r="GK36" s="193" t="n"/>
      <c r="GL36" s="133" t="n"/>
      <c r="GM36" s="134" t="n"/>
      <c r="GN36" s="133" t="n"/>
      <c r="GO36" s="134" t="n"/>
      <c r="GP36" s="133" t="n"/>
      <c r="GQ36" s="134" t="n"/>
      <c r="GR36" s="133" t="n"/>
      <c r="GS36" s="134" t="n"/>
      <c r="GT36" s="133" t="n"/>
      <c r="GU36" s="134" t="n"/>
      <c r="GV36" s="133" t="n"/>
      <c r="GW36" s="134" t="n"/>
      <c r="GX36" s="133" t="n"/>
      <c r="GY36" s="134" t="n"/>
      <c r="GZ36" s="133" t="n"/>
      <c r="HA36" s="134" t="n"/>
      <c r="HB36" s="194" t="n"/>
      <c r="HC36">
        <f>SUMIFS($G36:$HB36,$G$46:$HB$46,"&gt;="&amp;$HD$1,$G$46:$HB$46,"&lt;="&amp;$HD$2,$G$29:$HB$29,"&lt;&gt;ملاحظات",$G$28:$HB$28,"&gt;0")</f>
        <v>0</v>
      </c>
      <c r="HD36">
        <f>SUMIFS($G$28:$HB$28,$G$46:$HB$46,"&gt;="&amp;$HD$1,$G$46:$HB$46,"&lt;="&amp;$HD$2,$G$29:$HB$29,"&lt;&gt;ملاحظات",$G36:$HB36,"&gt;=0")</f>
        <v>0</v>
      </c>
    </row>
    <row r="37" ht="22.5" customHeight="1">
      <c r="A37" s="36" t="n">
        <v>8</v>
      </c>
      <c r="B37" s="181" t="str">
        <f>IF($B12="","",$B12)</f>
        <v/>
      </c>
      <c r="C37" s="136" t="str">
        <f>IF(OR($B37="",$HD37=0),"",ROUND($HC37,2)&amp;" / "&amp;$HD37)</f>
        <v/>
      </c>
      <c r="D37" s="182" t="str">
        <f>IF(OR($B37="",$HD37=0),"",$HC37/$HD37)</f>
        <v/>
      </c>
      <c r="E37" s="98" t="str">
        <f>IF($D37="","",RANK($D37,$D$30:$D$44))</f>
        <v/>
      </c>
      <c r="F37" s="99" t="str">
        <f>IF($D37="","",IF($D37&gt;=0.85,"ممتاز",IF($D37&gt;=0.75,"جيد جداً",IF($D37&gt;=0.65,"جيد",IF($D37&gt;=0.5,"مقبول","ضعيف")))))</f>
        <v/>
      </c>
      <c r="G37" s="100" t="n"/>
      <c r="H37" s="101" t="n"/>
      <c r="I37" s="100" t="n"/>
      <c r="J37" s="101" t="n"/>
      <c r="K37" s="100" t="n"/>
      <c r="L37" s="101" t="n"/>
      <c r="M37" s="100" t="n"/>
      <c r="N37" s="101" t="n"/>
      <c r="O37" s="100" t="n"/>
      <c r="P37" s="101" t="n"/>
      <c r="Q37" s="100" t="n"/>
      <c r="R37" s="101" t="n"/>
      <c r="S37" s="100" t="n"/>
      <c r="T37" s="101" t="n"/>
      <c r="U37" s="100" t="n"/>
      <c r="V37" s="101" t="n"/>
      <c r="W37" s="183" t="n"/>
      <c r="X37" s="103" t="n"/>
      <c r="Y37" s="104" t="n"/>
      <c r="Z37" s="103" t="n"/>
      <c r="AA37" s="104" t="n"/>
      <c r="AB37" s="103" t="n"/>
      <c r="AC37" s="104" t="n"/>
      <c r="AD37" s="103" t="n"/>
      <c r="AE37" s="104" t="n"/>
      <c r="AF37" s="103" t="n"/>
      <c r="AG37" s="104" t="n"/>
      <c r="AH37" s="103" t="n"/>
      <c r="AI37" s="104" t="n"/>
      <c r="AJ37" s="103" t="n"/>
      <c r="AK37" s="104" t="n"/>
      <c r="AL37" s="103" t="n"/>
      <c r="AM37" s="104" t="n"/>
      <c r="AN37" s="184" t="n"/>
      <c r="AO37" s="106" t="n"/>
      <c r="AP37" s="107" t="n"/>
      <c r="AQ37" s="106" t="n"/>
      <c r="AR37" s="107" t="n"/>
      <c r="AS37" s="106" t="n"/>
      <c r="AT37" s="107" t="n"/>
      <c r="AU37" s="106" t="n"/>
      <c r="AV37" s="107" t="n"/>
      <c r="AW37" s="106" t="n"/>
      <c r="AX37" s="107" t="n"/>
      <c r="AY37" s="106" t="n"/>
      <c r="AZ37" s="107" t="n"/>
      <c r="BA37" s="106" t="n"/>
      <c r="BB37" s="107" t="n"/>
      <c r="BC37" s="106" t="n"/>
      <c r="BD37" s="107" t="n"/>
      <c r="BE37" s="185" t="n"/>
      <c r="BF37" s="109" t="n"/>
      <c r="BG37" s="110" t="n"/>
      <c r="BH37" s="109" t="n"/>
      <c r="BI37" s="110" t="n"/>
      <c r="BJ37" s="109" t="n"/>
      <c r="BK37" s="110" t="n"/>
      <c r="BL37" s="109" t="n"/>
      <c r="BM37" s="110" t="n"/>
      <c r="BN37" s="109" t="n"/>
      <c r="BO37" s="110" t="n"/>
      <c r="BP37" s="109" t="n"/>
      <c r="BQ37" s="110" t="n"/>
      <c r="BR37" s="109" t="n"/>
      <c r="BS37" s="110" t="n"/>
      <c r="BT37" s="109" t="n"/>
      <c r="BU37" s="110" t="n"/>
      <c r="BV37" s="186" t="n"/>
      <c r="BW37" s="112" t="n"/>
      <c r="BX37" s="113" t="n"/>
      <c r="BY37" s="112" t="n"/>
      <c r="BZ37" s="113" t="n"/>
      <c r="CA37" s="112" t="n"/>
      <c r="CB37" s="113" t="n"/>
      <c r="CC37" s="112" t="n"/>
      <c r="CD37" s="113" t="n"/>
      <c r="CE37" s="112" t="n"/>
      <c r="CF37" s="113" t="n"/>
      <c r="CG37" s="112" t="n"/>
      <c r="CH37" s="113" t="n"/>
      <c r="CI37" s="112" t="n"/>
      <c r="CJ37" s="113" t="n"/>
      <c r="CK37" s="112" t="n"/>
      <c r="CL37" s="113" t="n"/>
      <c r="CM37" s="187" t="n"/>
      <c r="CN37" s="115" t="n"/>
      <c r="CO37" s="116" t="n"/>
      <c r="CP37" s="115" t="n"/>
      <c r="CQ37" s="116" t="n"/>
      <c r="CR37" s="115" t="n"/>
      <c r="CS37" s="116" t="n"/>
      <c r="CT37" s="115" t="n"/>
      <c r="CU37" s="116" t="n"/>
      <c r="CV37" s="115" t="n"/>
      <c r="CW37" s="116" t="n"/>
      <c r="CX37" s="115" t="n"/>
      <c r="CY37" s="116" t="n"/>
      <c r="CZ37" s="115" t="n"/>
      <c r="DA37" s="116" t="n"/>
      <c r="DB37" s="115" t="n"/>
      <c r="DC37" s="116" t="n"/>
      <c r="DD37" s="188" t="n"/>
      <c r="DE37" s="118" t="n"/>
      <c r="DF37" s="119" t="n"/>
      <c r="DG37" s="118" t="n"/>
      <c r="DH37" s="119" t="n"/>
      <c r="DI37" s="118" t="n"/>
      <c r="DJ37" s="119" t="n"/>
      <c r="DK37" s="118" t="n"/>
      <c r="DL37" s="119" t="n"/>
      <c r="DM37" s="118" t="n"/>
      <c r="DN37" s="119" t="n"/>
      <c r="DO37" s="118" t="n"/>
      <c r="DP37" s="119" t="n"/>
      <c r="DQ37" s="118" t="n"/>
      <c r="DR37" s="119" t="n"/>
      <c r="DS37" s="118" t="n"/>
      <c r="DT37" s="119" t="n"/>
      <c r="DU37" s="189" t="n"/>
      <c r="DV37" s="121" t="n"/>
      <c r="DW37" s="122" t="n"/>
      <c r="DX37" s="121" t="n"/>
      <c r="DY37" s="122" t="n"/>
      <c r="DZ37" s="121" t="n"/>
      <c r="EA37" s="122" t="n"/>
      <c r="EB37" s="121" t="n"/>
      <c r="EC37" s="122" t="n"/>
      <c r="ED37" s="121" t="n"/>
      <c r="EE37" s="122" t="n"/>
      <c r="EF37" s="121" t="n"/>
      <c r="EG37" s="122" t="n"/>
      <c r="EH37" s="121" t="n"/>
      <c r="EI37" s="122" t="n"/>
      <c r="EJ37" s="121" t="n"/>
      <c r="EK37" s="122" t="n"/>
      <c r="EL37" s="190" t="n"/>
      <c r="EM37" s="124" t="n"/>
      <c r="EN37" s="125" t="n"/>
      <c r="EO37" s="124" t="n"/>
      <c r="EP37" s="125" t="n"/>
      <c r="EQ37" s="124" t="n"/>
      <c r="ER37" s="125" t="n"/>
      <c r="ES37" s="124" t="n"/>
      <c r="ET37" s="125" t="n"/>
      <c r="EU37" s="124" t="n"/>
      <c r="EV37" s="125" t="n"/>
      <c r="EW37" s="124" t="n"/>
      <c r="EX37" s="125" t="n"/>
      <c r="EY37" s="124" t="n"/>
      <c r="EZ37" s="125" t="n"/>
      <c r="FA37" s="124" t="n"/>
      <c r="FB37" s="125" t="n"/>
      <c r="FC37" s="191" t="n"/>
      <c r="FD37" s="127" t="n"/>
      <c r="FE37" s="128" t="n"/>
      <c r="FF37" s="127" t="n"/>
      <c r="FG37" s="128" t="n"/>
      <c r="FH37" s="127" t="n"/>
      <c r="FI37" s="128" t="n"/>
      <c r="FJ37" s="127" t="n"/>
      <c r="FK37" s="128" t="n"/>
      <c r="FL37" s="127" t="n"/>
      <c r="FM37" s="128" t="n"/>
      <c r="FN37" s="127" t="n"/>
      <c r="FO37" s="128" t="n"/>
      <c r="FP37" s="127" t="n"/>
      <c r="FQ37" s="128" t="n"/>
      <c r="FR37" s="127" t="n"/>
      <c r="FS37" s="128" t="n"/>
      <c r="FT37" s="192" t="n"/>
      <c r="FU37" s="130" t="n"/>
      <c r="FV37" s="131" t="n"/>
      <c r="FW37" s="130" t="n"/>
      <c r="FX37" s="131" t="n"/>
      <c r="FY37" s="130" t="n"/>
      <c r="FZ37" s="131" t="n"/>
      <c r="GA37" s="130" t="n"/>
      <c r="GB37" s="131" t="n"/>
      <c r="GC37" s="130" t="n"/>
      <c r="GD37" s="131" t="n"/>
      <c r="GE37" s="130" t="n"/>
      <c r="GF37" s="131" t="n"/>
      <c r="GG37" s="130" t="n"/>
      <c r="GH37" s="131" t="n"/>
      <c r="GI37" s="130" t="n"/>
      <c r="GJ37" s="131" t="n"/>
      <c r="GK37" s="193" t="n"/>
      <c r="GL37" s="133" t="n"/>
      <c r="GM37" s="134" t="n"/>
      <c r="GN37" s="133" t="n"/>
      <c r="GO37" s="134" t="n"/>
      <c r="GP37" s="133" t="n"/>
      <c r="GQ37" s="134" t="n"/>
      <c r="GR37" s="133" t="n"/>
      <c r="GS37" s="134" t="n"/>
      <c r="GT37" s="133" t="n"/>
      <c r="GU37" s="134" t="n"/>
      <c r="GV37" s="133" t="n"/>
      <c r="GW37" s="134" t="n"/>
      <c r="GX37" s="133" t="n"/>
      <c r="GY37" s="134" t="n"/>
      <c r="GZ37" s="133" t="n"/>
      <c r="HA37" s="134" t="n"/>
      <c r="HB37" s="194" t="n"/>
      <c r="HC37">
        <f>SUMIFS($G37:$HB37,$G$46:$HB$46,"&gt;="&amp;$HD$1,$G$46:$HB$46,"&lt;="&amp;$HD$2,$G$29:$HB$29,"&lt;&gt;ملاحظات",$G$28:$HB$28,"&gt;0")</f>
        <v>0</v>
      </c>
      <c r="HD37">
        <f>SUMIFS($G$28:$HB$28,$G$46:$HB$46,"&gt;="&amp;$HD$1,$G$46:$HB$46,"&lt;="&amp;$HD$2,$G$29:$HB$29,"&lt;&gt;ملاحظات",$G37:$HB37,"&gt;=0")</f>
        <v>0</v>
      </c>
    </row>
    <row r="38" ht="22.5" customHeight="1">
      <c r="A38" s="36" t="n">
        <v>9</v>
      </c>
      <c r="B38" s="181" t="str">
        <f>IF($B13="","",$B13)</f>
        <v/>
      </c>
      <c r="C38" s="136" t="str">
        <f>IF(OR($B38="",$HD38=0),"",ROUND($HC38,2)&amp;" / "&amp;$HD38)</f>
        <v/>
      </c>
      <c r="D38" s="182" t="str">
        <f>IF(OR($B38="",$HD38=0),"",$HC38/$HD38)</f>
        <v/>
      </c>
      <c r="E38" s="98" t="str">
        <f>IF($D38="","",RANK($D38,$D$30:$D$44))</f>
        <v/>
      </c>
      <c r="F38" s="99" t="str">
        <f>IF($D38="","",IF($D38&gt;=0.85,"ممتاز",IF($D38&gt;=0.75,"جيد جداً",IF($D38&gt;=0.65,"جيد",IF($D38&gt;=0.5,"مقبول","ضعيف")))))</f>
        <v/>
      </c>
      <c r="G38" s="100" t="n"/>
      <c r="H38" s="101" t="n"/>
      <c r="I38" s="100" t="n"/>
      <c r="J38" s="101" t="n"/>
      <c r="K38" s="100" t="n"/>
      <c r="L38" s="101" t="n"/>
      <c r="M38" s="100" t="n"/>
      <c r="N38" s="101" t="n"/>
      <c r="O38" s="100" t="n"/>
      <c r="P38" s="101" t="n"/>
      <c r="Q38" s="100" t="n"/>
      <c r="R38" s="101" t="n"/>
      <c r="S38" s="100" t="n"/>
      <c r="T38" s="101" t="n"/>
      <c r="U38" s="100" t="n"/>
      <c r="V38" s="101" t="n"/>
      <c r="W38" s="183" t="n"/>
      <c r="X38" s="103" t="n"/>
      <c r="Y38" s="104" t="n"/>
      <c r="Z38" s="103" t="n"/>
      <c r="AA38" s="104" t="n"/>
      <c r="AB38" s="103" t="n"/>
      <c r="AC38" s="104" t="n"/>
      <c r="AD38" s="103" t="n"/>
      <c r="AE38" s="104" t="n"/>
      <c r="AF38" s="103" t="n"/>
      <c r="AG38" s="104" t="n"/>
      <c r="AH38" s="103" t="n"/>
      <c r="AI38" s="104" t="n"/>
      <c r="AJ38" s="103" t="n"/>
      <c r="AK38" s="104" t="n"/>
      <c r="AL38" s="103" t="n"/>
      <c r="AM38" s="104" t="n"/>
      <c r="AN38" s="184" t="n"/>
      <c r="AO38" s="106" t="n"/>
      <c r="AP38" s="107" t="n"/>
      <c r="AQ38" s="106" t="n"/>
      <c r="AR38" s="107" t="n"/>
      <c r="AS38" s="106" t="n"/>
      <c r="AT38" s="107" t="n"/>
      <c r="AU38" s="106" t="n"/>
      <c r="AV38" s="107" t="n"/>
      <c r="AW38" s="106" t="n"/>
      <c r="AX38" s="107" t="n"/>
      <c r="AY38" s="106" t="n"/>
      <c r="AZ38" s="107" t="n"/>
      <c r="BA38" s="106" t="n"/>
      <c r="BB38" s="107" t="n"/>
      <c r="BC38" s="106" t="n"/>
      <c r="BD38" s="107" t="n"/>
      <c r="BE38" s="185" t="n"/>
      <c r="BF38" s="109" t="n"/>
      <c r="BG38" s="110" t="n"/>
      <c r="BH38" s="109" t="n"/>
      <c r="BI38" s="110" t="n"/>
      <c r="BJ38" s="109" t="n"/>
      <c r="BK38" s="110" t="n"/>
      <c r="BL38" s="109" t="n"/>
      <c r="BM38" s="110" t="n"/>
      <c r="BN38" s="109" t="n"/>
      <c r="BO38" s="110" t="n"/>
      <c r="BP38" s="109" t="n"/>
      <c r="BQ38" s="110" t="n"/>
      <c r="BR38" s="109" t="n"/>
      <c r="BS38" s="110" t="n"/>
      <c r="BT38" s="109" t="n"/>
      <c r="BU38" s="110" t="n"/>
      <c r="BV38" s="186" t="n"/>
      <c r="BW38" s="112" t="n"/>
      <c r="BX38" s="113" t="n"/>
      <c r="BY38" s="112" t="n"/>
      <c r="BZ38" s="113" t="n"/>
      <c r="CA38" s="112" t="n"/>
      <c r="CB38" s="113" t="n"/>
      <c r="CC38" s="112" t="n"/>
      <c r="CD38" s="113" t="n"/>
      <c r="CE38" s="112" t="n"/>
      <c r="CF38" s="113" t="n"/>
      <c r="CG38" s="112" t="n"/>
      <c r="CH38" s="113" t="n"/>
      <c r="CI38" s="112" t="n"/>
      <c r="CJ38" s="113" t="n"/>
      <c r="CK38" s="112" t="n"/>
      <c r="CL38" s="113" t="n"/>
      <c r="CM38" s="187" t="n"/>
      <c r="CN38" s="115" t="n"/>
      <c r="CO38" s="116" t="n"/>
      <c r="CP38" s="115" t="n"/>
      <c r="CQ38" s="116" t="n"/>
      <c r="CR38" s="115" t="n"/>
      <c r="CS38" s="116" t="n"/>
      <c r="CT38" s="115" t="n"/>
      <c r="CU38" s="116" t="n"/>
      <c r="CV38" s="115" t="n"/>
      <c r="CW38" s="116" t="n"/>
      <c r="CX38" s="115" t="n"/>
      <c r="CY38" s="116" t="n"/>
      <c r="CZ38" s="115" t="n"/>
      <c r="DA38" s="116" t="n"/>
      <c r="DB38" s="115" t="n"/>
      <c r="DC38" s="116" t="n"/>
      <c r="DD38" s="188" t="n"/>
      <c r="DE38" s="118" t="n"/>
      <c r="DF38" s="119" t="n"/>
      <c r="DG38" s="118" t="n"/>
      <c r="DH38" s="119" t="n"/>
      <c r="DI38" s="118" t="n"/>
      <c r="DJ38" s="119" t="n"/>
      <c r="DK38" s="118" t="n"/>
      <c r="DL38" s="119" t="n"/>
      <c r="DM38" s="118" t="n"/>
      <c r="DN38" s="119" t="n"/>
      <c r="DO38" s="118" t="n"/>
      <c r="DP38" s="119" t="n"/>
      <c r="DQ38" s="118" t="n"/>
      <c r="DR38" s="119" t="n"/>
      <c r="DS38" s="118" t="n"/>
      <c r="DT38" s="119" t="n"/>
      <c r="DU38" s="189" t="n"/>
      <c r="DV38" s="121" t="n"/>
      <c r="DW38" s="122" t="n"/>
      <c r="DX38" s="121" t="n"/>
      <c r="DY38" s="122" t="n"/>
      <c r="DZ38" s="121" t="n"/>
      <c r="EA38" s="122" t="n"/>
      <c r="EB38" s="121" t="n"/>
      <c r="EC38" s="122" t="n"/>
      <c r="ED38" s="121" t="n"/>
      <c r="EE38" s="122" t="n"/>
      <c r="EF38" s="121" t="n"/>
      <c r="EG38" s="122" t="n"/>
      <c r="EH38" s="121" t="n"/>
      <c r="EI38" s="122" t="n"/>
      <c r="EJ38" s="121" t="n"/>
      <c r="EK38" s="122" t="n"/>
      <c r="EL38" s="190" t="n"/>
      <c r="EM38" s="124" t="n"/>
      <c r="EN38" s="125" t="n"/>
      <c r="EO38" s="124" t="n"/>
      <c r="EP38" s="125" t="n"/>
      <c r="EQ38" s="124" t="n"/>
      <c r="ER38" s="125" t="n"/>
      <c r="ES38" s="124" t="n"/>
      <c r="ET38" s="125" t="n"/>
      <c r="EU38" s="124" t="n"/>
      <c r="EV38" s="125" t="n"/>
      <c r="EW38" s="124" t="n"/>
      <c r="EX38" s="125" t="n"/>
      <c r="EY38" s="124" t="n"/>
      <c r="EZ38" s="125" t="n"/>
      <c r="FA38" s="124" t="n"/>
      <c r="FB38" s="125" t="n"/>
      <c r="FC38" s="191" t="n"/>
      <c r="FD38" s="127" t="n"/>
      <c r="FE38" s="128" t="n"/>
      <c r="FF38" s="127" t="n"/>
      <c r="FG38" s="128" t="n"/>
      <c r="FH38" s="127" t="n"/>
      <c r="FI38" s="128" t="n"/>
      <c r="FJ38" s="127" t="n"/>
      <c r="FK38" s="128" t="n"/>
      <c r="FL38" s="127" t="n"/>
      <c r="FM38" s="128" t="n"/>
      <c r="FN38" s="127" t="n"/>
      <c r="FO38" s="128" t="n"/>
      <c r="FP38" s="127" t="n"/>
      <c r="FQ38" s="128" t="n"/>
      <c r="FR38" s="127" t="n"/>
      <c r="FS38" s="128" t="n"/>
      <c r="FT38" s="192" t="n"/>
      <c r="FU38" s="130" t="n"/>
      <c r="FV38" s="131" t="n"/>
      <c r="FW38" s="130" t="n"/>
      <c r="FX38" s="131" t="n"/>
      <c r="FY38" s="130" t="n"/>
      <c r="FZ38" s="131" t="n"/>
      <c r="GA38" s="130" t="n"/>
      <c r="GB38" s="131" t="n"/>
      <c r="GC38" s="130" t="n"/>
      <c r="GD38" s="131" t="n"/>
      <c r="GE38" s="130" t="n"/>
      <c r="GF38" s="131" t="n"/>
      <c r="GG38" s="130" t="n"/>
      <c r="GH38" s="131" t="n"/>
      <c r="GI38" s="130" t="n"/>
      <c r="GJ38" s="131" t="n"/>
      <c r="GK38" s="193" t="n"/>
      <c r="GL38" s="133" t="n"/>
      <c r="GM38" s="134" t="n"/>
      <c r="GN38" s="133" t="n"/>
      <c r="GO38" s="134" t="n"/>
      <c r="GP38" s="133" t="n"/>
      <c r="GQ38" s="134" t="n"/>
      <c r="GR38" s="133" t="n"/>
      <c r="GS38" s="134" t="n"/>
      <c r="GT38" s="133" t="n"/>
      <c r="GU38" s="134" t="n"/>
      <c r="GV38" s="133" t="n"/>
      <c r="GW38" s="134" t="n"/>
      <c r="GX38" s="133" t="n"/>
      <c r="GY38" s="134" t="n"/>
      <c r="GZ38" s="133" t="n"/>
      <c r="HA38" s="134" t="n"/>
      <c r="HB38" s="194" t="n"/>
      <c r="HC38">
        <f>SUMIFS($G38:$HB38,$G$46:$HB$46,"&gt;="&amp;$HD$1,$G$46:$HB$46,"&lt;="&amp;$HD$2,$G$29:$HB$29,"&lt;&gt;ملاحظات",$G$28:$HB$28,"&gt;0")</f>
        <v>0</v>
      </c>
      <c r="HD38">
        <f>SUMIFS($G$28:$HB$28,$G$46:$HB$46,"&gt;="&amp;$HD$1,$G$46:$HB$46,"&lt;="&amp;$HD$2,$G$29:$HB$29,"&lt;&gt;ملاحظات",$G38:$HB38,"&gt;=0")</f>
        <v>0</v>
      </c>
    </row>
    <row r="39" ht="22.5" customHeight="1">
      <c r="A39" s="36" t="n">
        <v>10</v>
      </c>
      <c r="B39" s="181" t="str">
        <f>IF($B14="","",$B14)</f>
        <v/>
      </c>
      <c r="C39" s="136" t="str">
        <f>IF(OR($B39="",$HD39=0),"",ROUND($HC39,2)&amp;" / "&amp;$HD39)</f>
        <v/>
      </c>
      <c r="D39" s="182" t="str">
        <f>IF(OR($B39="",$HD39=0),"",$HC39/$HD39)</f>
        <v/>
      </c>
      <c r="E39" s="98" t="str">
        <f>IF($D39="","",RANK($D39,$D$30:$D$44))</f>
        <v/>
      </c>
      <c r="F39" s="99" t="str">
        <f>IF($D39="","",IF($D39&gt;=0.85,"ممتاز",IF($D39&gt;=0.75,"جيد جداً",IF($D39&gt;=0.65,"جيد",IF($D39&gt;=0.5,"مقبول","ضعيف")))))</f>
        <v/>
      </c>
      <c r="G39" s="100" t="n"/>
      <c r="H39" s="101" t="n"/>
      <c r="I39" s="100" t="n"/>
      <c r="J39" s="101" t="n"/>
      <c r="K39" s="100" t="n"/>
      <c r="L39" s="101" t="n"/>
      <c r="M39" s="100" t="n"/>
      <c r="N39" s="101" t="n"/>
      <c r="O39" s="100" t="n"/>
      <c r="P39" s="101" t="n"/>
      <c r="Q39" s="100" t="n"/>
      <c r="R39" s="101" t="n"/>
      <c r="S39" s="100" t="n"/>
      <c r="T39" s="101" t="n"/>
      <c r="U39" s="100" t="n"/>
      <c r="V39" s="101" t="n"/>
      <c r="W39" s="183" t="n"/>
      <c r="X39" s="103" t="n"/>
      <c r="Y39" s="104" t="n"/>
      <c r="Z39" s="103" t="n"/>
      <c r="AA39" s="104" t="n"/>
      <c r="AB39" s="103" t="n"/>
      <c r="AC39" s="104" t="n"/>
      <c r="AD39" s="103" t="n"/>
      <c r="AE39" s="104" t="n"/>
      <c r="AF39" s="103" t="n"/>
      <c r="AG39" s="104" t="n"/>
      <c r="AH39" s="103" t="n"/>
      <c r="AI39" s="104" t="n"/>
      <c r="AJ39" s="103" t="n"/>
      <c r="AK39" s="104" t="n"/>
      <c r="AL39" s="103" t="n"/>
      <c r="AM39" s="104" t="n"/>
      <c r="AN39" s="184" t="n"/>
      <c r="AO39" s="106" t="n"/>
      <c r="AP39" s="107" t="n"/>
      <c r="AQ39" s="106" t="n"/>
      <c r="AR39" s="107" t="n"/>
      <c r="AS39" s="106" t="n"/>
      <c r="AT39" s="107" t="n"/>
      <c r="AU39" s="106" t="n"/>
      <c r="AV39" s="107" t="n"/>
      <c r="AW39" s="106" t="n"/>
      <c r="AX39" s="107" t="n"/>
      <c r="AY39" s="106" t="n"/>
      <c r="AZ39" s="107" t="n"/>
      <c r="BA39" s="106" t="n"/>
      <c r="BB39" s="107" t="n"/>
      <c r="BC39" s="106" t="n"/>
      <c r="BD39" s="107" t="n"/>
      <c r="BE39" s="185" t="n"/>
      <c r="BF39" s="109" t="n"/>
      <c r="BG39" s="110" t="n"/>
      <c r="BH39" s="109" t="n"/>
      <c r="BI39" s="110" t="n"/>
      <c r="BJ39" s="109" t="n"/>
      <c r="BK39" s="110" t="n"/>
      <c r="BL39" s="109" t="n"/>
      <c r="BM39" s="110" t="n"/>
      <c r="BN39" s="109" t="n"/>
      <c r="BO39" s="110" t="n"/>
      <c r="BP39" s="109" t="n"/>
      <c r="BQ39" s="110" t="n"/>
      <c r="BR39" s="109" t="n"/>
      <c r="BS39" s="110" t="n"/>
      <c r="BT39" s="109" t="n"/>
      <c r="BU39" s="110" t="n"/>
      <c r="BV39" s="186" t="n"/>
      <c r="BW39" s="112" t="n"/>
      <c r="BX39" s="113" t="n"/>
      <c r="BY39" s="112" t="n"/>
      <c r="BZ39" s="113" t="n"/>
      <c r="CA39" s="112" t="n"/>
      <c r="CB39" s="113" t="n"/>
      <c r="CC39" s="112" t="n"/>
      <c r="CD39" s="113" t="n"/>
      <c r="CE39" s="112" t="n"/>
      <c r="CF39" s="113" t="n"/>
      <c r="CG39" s="112" t="n"/>
      <c r="CH39" s="113" t="n"/>
      <c r="CI39" s="112" t="n"/>
      <c r="CJ39" s="113" t="n"/>
      <c r="CK39" s="112" t="n"/>
      <c r="CL39" s="113" t="n"/>
      <c r="CM39" s="187" t="n"/>
      <c r="CN39" s="115" t="n"/>
      <c r="CO39" s="116" t="n"/>
      <c r="CP39" s="115" t="n"/>
      <c r="CQ39" s="116" t="n"/>
      <c r="CR39" s="115" t="n"/>
      <c r="CS39" s="116" t="n"/>
      <c r="CT39" s="115" t="n"/>
      <c r="CU39" s="116" t="n"/>
      <c r="CV39" s="115" t="n"/>
      <c r="CW39" s="116" t="n"/>
      <c r="CX39" s="115" t="n"/>
      <c r="CY39" s="116" t="n"/>
      <c r="CZ39" s="115" t="n"/>
      <c r="DA39" s="116" t="n"/>
      <c r="DB39" s="115" t="n"/>
      <c r="DC39" s="116" t="n"/>
      <c r="DD39" s="188" t="n"/>
      <c r="DE39" s="118" t="n"/>
      <c r="DF39" s="119" t="n"/>
      <c r="DG39" s="118" t="n"/>
      <c r="DH39" s="119" t="n"/>
      <c r="DI39" s="118" t="n"/>
      <c r="DJ39" s="119" t="n"/>
      <c r="DK39" s="118" t="n"/>
      <c r="DL39" s="119" t="n"/>
      <c r="DM39" s="118" t="n"/>
      <c r="DN39" s="119" t="n"/>
      <c r="DO39" s="118" t="n"/>
      <c r="DP39" s="119" t="n"/>
      <c r="DQ39" s="118" t="n"/>
      <c r="DR39" s="119" t="n"/>
      <c r="DS39" s="118" t="n"/>
      <c r="DT39" s="119" t="n"/>
      <c r="DU39" s="189" t="n"/>
      <c r="DV39" s="121" t="n"/>
      <c r="DW39" s="122" t="n"/>
      <c r="DX39" s="121" t="n"/>
      <c r="DY39" s="122" t="n"/>
      <c r="DZ39" s="121" t="n"/>
      <c r="EA39" s="122" t="n"/>
      <c r="EB39" s="121" t="n"/>
      <c r="EC39" s="122" t="n"/>
      <c r="ED39" s="121" t="n"/>
      <c r="EE39" s="122" t="n"/>
      <c r="EF39" s="121" t="n"/>
      <c r="EG39" s="122" t="n"/>
      <c r="EH39" s="121" t="n"/>
      <c r="EI39" s="122" t="n"/>
      <c r="EJ39" s="121" t="n"/>
      <c r="EK39" s="122" t="n"/>
      <c r="EL39" s="190" t="n"/>
      <c r="EM39" s="124" t="n"/>
      <c r="EN39" s="125" t="n"/>
      <c r="EO39" s="124" t="n"/>
      <c r="EP39" s="125" t="n"/>
      <c r="EQ39" s="124" t="n"/>
      <c r="ER39" s="125" t="n"/>
      <c r="ES39" s="124" t="n"/>
      <c r="ET39" s="125" t="n"/>
      <c r="EU39" s="124" t="n"/>
      <c r="EV39" s="125" t="n"/>
      <c r="EW39" s="124" t="n"/>
      <c r="EX39" s="125" t="n"/>
      <c r="EY39" s="124" t="n"/>
      <c r="EZ39" s="125" t="n"/>
      <c r="FA39" s="124" t="n"/>
      <c r="FB39" s="125" t="n"/>
      <c r="FC39" s="191" t="n"/>
      <c r="FD39" s="127" t="n"/>
      <c r="FE39" s="128" t="n"/>
      <c r="FF39" s="127" t="n"/>
      <c r="FG39" s="128" t="n"/>
      <c r="FH39" s="127" t="n"/>
      <c r="FI39" s="128" t="n"/>
      <c r="FJ39" s="127" t="n"/>
      <c r="FK39" s="128" t="n"/>
      <c r="FL39" s="127" t="n"/>
      <c r="FM39" s="128" t="n"/>
      <c r="FN39" s="127" t="n"/>
      <c r="FO39" s="128" t="n"/>
      <c r="FP39" s="127" t="n"/>
      <c r="FQ39" s="128" t="n"/>
      <c r="FR39" s="127" t="n"/>
      <c r="FS39" s="128" t="n"/>
      <c r="FT39" s="192" t="n"/>
      <c r="FU39" s="130" t="n"/>
      <c r="FV39" s="131" t="n"/>
      <c r="FW39" s="130" t="n"/>
      <c r="FX39" s="131" t="n"/>
      <c r="FY39" s="130" t="n"/>
      <c r="FZ39" s="131" t="n"/>
      <c r="GA39" s="130" t="n"/>
      <c r="GB39" s="131" t="n"/>
      <c r="GC39" s="130" t="n"/>
      <c r="GD39" s="131" t="n"/>
      <c r="GE39" s="130" t="n"/>
      <c r="GF39" s="131" t="n"/>
      <c r="GG39" s="130" t="n"/>
      <c r="GH39" s="131" t="n"/>
      <c r="GI39" s="130" t="n"/>
      <c r="GJ39" s="131" t="n"/>
      <c r="GK39" s="193" t="n"/>
      <c r="GL39" s="133" t="n"/>
      <c r="GM39" s="134" t="n"/>
      <c r="GN39" s="133" t="n"/>
      <c r="GO39" s="134" t="n"/>
      <c r="GP39" s="133" t="n"/>
      <c r="GQ39" s="134" t="n"/>
      <c r="GR39" s="133" t="n"/>
      <c r="GS39" s="134" t="n"/>
      <c r="GT39" s="133" t="n"/>
      <c r="GU39" s="134" t="n"/>
      <c r="GV39" s="133" t="n"/>
      <c r="GW39" s="134" t="n"/>
      <c r="GX39" s="133" t="n"/>
      <c r="GY39" s="134" t="n"/>
      <c r="GZ39" s="133" t="n"/>
      <c r="HA39" s="134" t="n"/>
      <c r="HB39" s="194" t="n"/>
      <c r="HC39">
        <f>SUMIFS($G39:$HB39,$G$46:$HB$46,"&gt;="&amp;$HD$1,$G$46:$HB$46,"&lt;="&amp;$HD$2,$G$29:$HB$29,"&lt;&gt;ملاحظات",$G$28:$HB$28,"&gt;0")</f>
        <v>0</v>
      </c>
      <c r="HD39">
        <f>SUMIFS($G$28:$HB$28,$G$46:$HB$46,"&gt;="&amp;$HD$1,$G$46:$HB$46,"&lt;="&amp;$HD$2,$G$29:$HB$29,"&lt;&gt;ملاحظات",$G39:$HB39,"&gt;=0")</f>
        <v>0</v>
      </c>
    </row>
    <row r="40" ht="22.5" customHeight="1">
      <c r="A40" s="36" t="n">
        <v>11</v>
      </c>
      <c r="B40" s="181" t="str">
        <f>IF($B15="","",$B15)</f>
        <v/>
      </c>
      <c r="C40" s="136" t="str">
        <f>IF(OR($B40="",$HD40=0),"",ROUND($HC40,2)&amp;" / "&amp;$HD40)</f>
        <v/>
      </c>
      <c r="D40" s="182" t="str">
        <f>IF(OR($B40="",$HD40=0),"",$HC40/$HD40)</f>
        <v/>
      </c>
      <c r="E40" s="98" t="str">
        <f>IF($D40="","",RANK($D40,$D$30:$D$44))</f>
        <v/>
      </c>
      <c r="F40" s="99" t="str">
        <f>IF($D40="","",IF($D40&gt;=0.85,"ممتاز",IF($D40&gt;=0.75,"جيد جداً",IF($D40&gt;=0.65,"جيد",IF($D40&gt;=0.5,"مقبول","ضعيف")))))</f>
        <v/>
      </c>
      <c r="G40" s="100" t="n"/>
      <c r="H40" s="101" t="n"/>
      <c r="I40" s="100" t="n"/>
      <c r="J40" s="101" t="n"/>
      <c r="K40" s="100" t="n"/>
      <c r="L40" s="101" t="n"/>
      <c r="M40" s="100" t="n"/>
      <c r="N40" s="101" t="n"/>
      <c r="O40" s="100" t="n"/>
      <c r="P40" s="101" t="n"/>
      <c r="Q40" s="100" t="n"/>
      <c r="R40" s="101" t="n"/>
      <c r="S40" s="100" t="n"/>
      <c r="T40" s="101" t="n"/>
      <c r="U40" s="100" t="n"/>
      <c r="V40" s="101" t="n"/>
      <c r="W40" s="183" t="n"/>
      <c r="X40" s="103" t="n"/>
      <c r="Y40" s="104" t="n"/>
      <c r="Z40" s="103" t="n"/>
      <c r="AA40" s="104" t="n"/>
      <c r="AB40" s="103" t="n"/>
      <c r="AC40" s="104" t="n"/>
      <c r="AD40" s="103" t="n"/>
      <c r="AE40" s="104" t="n"/>
      <c r="AF40" s="103" t="n"/>
      <c r="AG40" s="104" t="n"/>
      <c r="AH40" s="103" t="n"/>
      <c r="AI40" s="104" t="n"/>
      <c r="AJ40" s="103" t="n"/>
      <c r="AK40" s="104" t="n"/>
      <c r="AL40" s="103" t="n"/>
      <c r="AM40" s="104" t="n"/>
      <c r="AN40" s="184" t="n"/>
      <c r="AO40" s="106" t="n"/>
      <c r="AP40" s="107" t="n"/>
      <c r="AQ40" s="106" t="n"/>
      <c r="AR40" s="107" t="n"/>
      <c r="AS40" s="106" t="n"/>
      <c r="AT40" s="107" t="n"/>
      <c r="AU40" s="106" t="n"/>
      <c r="AV40" s="107" t="n"/>
      <c r="AW40" s="106" t="n"/>
      <c r="AX40" s="107" t="n"/>
      <c r="AY40" s="106" t="n"/>
      <c r="AZ40" s="107" t="n"/>
      <c r="BA40" s="106" t="n"/>
      <c r="BB40" s="107" t="n"/>
      <c r="BC40" s="106" t="n"/>
      <c r="BD40" s="107" t="n"/>
      <c r="BE40" s="185" t="n"/>
      <c r="BF40" s="109" t="n"/>
      <c r="BG40" s="110" t="n"/>
      <c r="BH40" s="109" t="n"/>
      <c r="BI40" s="110" t="n"/>
      <c r="BJ40" s="109" t="n"/>
      <c r="BK40" s="110" t="n"/>
      <c r="BL40" s="109" t="n"/>
      <c r="BM40" s="110" t="n"/>
      <c r="BN40" s="109" t="n"/>
      <c r="BO40" s="110" t="n"/>
      <c r="BP40" s="109" t="n"/>
      <c r="BQ40" s="110" t="n"/>
      <c r="BR40" s="109" t="n"/>
      <c r="BS40" s="110" t="n"/>
      <c r="BT40" s="109" t="n"/>
      <c r="BU40" s="110" t="n"/>
      <c r="BV40" s="186" t="n"/>
      <c r="BW40" s="112" t="n"/>
      <c r="BX40" s="113" t="n"/>
      <c r="BY40" s="112" t="n"/>
      <c r="BZ40" s="113" t="n"/>
      <c r="CA40" s="112" t="n"/>
      <c r="CB40" s="113" t="n"/>
      <c r="CC40" s="112" t="n"/>
      <c r="CD40" s="113" t="n"/>
      <c r="CE40" s="112" t="n"/>
      <c r="CF40" s="113" t="n"/>
      <c r="CG40" s="112" t="n"/>
      <c r="CH40" s="113" t="n"/>
      <c r="CI40" s="112" t="n"/>
      <c r="CJ40" s="113" t="n"/>
      <c r="CK40" s="112" t="n"/>
      <c r="CL40" s="113" t="n"/>
      <c r="CM40" s="187" t="n"/>
      <c r="CN40" s="115" t="n"/>
      <c r="CO40" s="116" t="n"/>
      <c r="CP40" s="115" t="n"/>
      <c r="CQ40" s="116" t="n"/>
      <c r="CR40" s="115" t="n"/>
      <c r="CS40" s="116" t="n"/>
      <c r="CT40" s="115" t="n"/>
      <c r="CU40" s="116" t="n"/>
      <c r="CV40" s="115" t="n"/>
      <c r="CW40" s="116" t="n"/>
      <c r="CX40" s="115" t="n"/>
      <c r="CY40" s="116" t="n"/>
      <c r="CZ40" s="115" t="n"/>
      <c r="DA40" s="116" t="n"/>
      <c r="DB40" s="115" t="n"/>
      <c r="DC40" s="116" t="n"/>
      <c r="DD40" s="188" t="n"/>
      <c r="DE40" s="118" t="n"/>
      <c r="DF40" s="119" t="n"/>
      <c r="DG40" s="118" t="n"/>
      <c r="DH40" s="119" t="n"/>
      <c r="DI40" s="118" t="n"/>
      <c r="DJ40" s="119" t="n"/>
      <c r="DK40" s="118" t="n"/>
      <c r="DL40" s="119" t="n"/>
      <c r="DM40" s="118" t="n"/>
      <c r="DN40" s="119" t="n"/>
      <c r="DO40" s="118" t="n"/>
      <c r="DP40" s="119" t="n"/>
      <c r="DQ40" s="118" t="n"/>
      <c r="DR40" s="119" t="n"/>
      <c r="DS40" s="118" t="n"/>
      <c r="DT40" s="119" t="n"/>
      <c r="DU40" s="189" t="n"/>
      <c r="DV40" s="121" t="n"/>
      <c r="DW40" s="122" t="n"/>
      <c r="DX40" s="121" t="n"/>
      <c r="DY40" s="122" t="n"/>
      <c r="DZ40" s="121" t="n"/>
      <c r="EA40" s="122" t="n"/>
      <c r="EB40" s="121" t="n"/>
      <c r="EC40" s="122" t="n"/>
      <c r="ED40" s="121" t="n"/>
      <c r="EE40" s="122" t="n"/>
      <c r="EF40" s="121" t="n"/>
      <c r="EG40" s="122" t="n"/>
      <c r="EH40" s="121" t="n"/>
      <c r="EI40" s="122" t="n"/>
      <c r="EJ40" s="121" t="n"/>
      <c r="EK40" s="122" t="n"/>
      <c r="EL40" s="190" t="n"/>
      <c r="EM40" s="124" t="n"/>
      <c r="EN40" s="125" t="n"/>
      <c r="EO40" s="124" t="n"/>
      <c r="EP40" s="125" t="n"/>
      <c r="EQ40" s="124" t="n"/>
      <c r="ER40" s="125" t="n"/>
      <c r="ES40" s="124" t="n"/>
      <c r="ET40" s="125" t="n"/>
      <c r="EU40" s="124" t="n"/>
      <c r="EV40" s="125" t="n"/>
      <c r="EW40" s="124" t="n"/>
      <c r="EX40" s="125" t="n"/>
      <c r="EY40" s="124" t="n"/>
      <c r="EZ40" s="125" t="n"/>
      <c r="FA40" s="124" t="n"/>
      <c r="FB40" s="125" t="n"/>
      <c r="FC40" s="191" t="n"/>
      <c r="FD40" s="127" t="n"/>
      <c r="FE40" s="128" t="n"/>
      <c r="FF40" s="127" t="n"/>
      <c r="FG40" s="128" t="n"/>
      <c r="FH40" s="127" t="n"/>
      <c r="FI40" s="128" t="n"/>
      <c r="FJ40" s="127" t="n"/>
      <c r="FK40" s="128" t="n"/>
      <c r="FL40" s="127" t="n"/>
      <c r="FM40" s="128" t="n"/>
      <c r="FN40" s="127" t="n"/>
      <c r="FO40" s="128" t="n"/>
      <c r="FP40" s="127" t="n"/>
      <c r="FQ40" s="128" t="n"/>
      <c r="FR40" s="127" t="n"/>
      <c r="FS40" s="128" t="n"/>
      <c r="FT40" s="192" t="n"/>
      <c r="FU40" s="130" t="n"/>
      <c r="FV40" s="131" t="n"/>
      <c r="FW40" s="130" t="n"/>
      <c r="FX40" s="131" t="n"/>
      <c r="FY40" s="130" t="n"/>
      <c r="FZ40" s="131" t="n"/>
      <c r="GA40" s="130" t="n"/>
      <c r="GB40" s="131" t="n"/>
      <c r="GC40" s="130" t="n"/>
      <c r="GD40" s="131" t="n"/>
      <c r="GE40" s="130" t="n"/>
      <c r="GF40" s="131" t="n"/>
      <c r="GG40" s="130" t="n"/>
      <c r="GH40" s="131" t="n"/>
      <c r="GI40" s="130" t="n"/>
      <c r="GJ40" s="131" t="n"/>
      <c r="GK40" s="193" t="n"/>
      <c r="GL40" s="133" t="n"/>
      <c r="GM40" s="134" t="n"/>
      <c r="GN40" s="133" t="n"/>
      <c r="GO40" s="134" t="n"/>
      <c r="GP40" s="133" t="n"/>
      <c r="GQ40" s="134" t="n"/>
      <c r="GR40" s="133" t="n"/>
      <c r="GS40" s="134" t="n"/>
      <c r="GT40" s="133" t="n"/>
      <c r="GU40" s="134" t="n"/>
      <c r="GV40" s="133" t="n"/>
      <c r="GW40" s="134" t="n"/>
      <c r="GX40" s="133" t="n"/>
      <c r="GY40" s="134" t="n"/>
      <c r="GZ40" s="133" t="n"/>
      <c r="HA40" s="134" t="n"/>
      <c r="HB40" s="194" t="n"/>
      <c r="HC40">
        <f>SUMIFS($G40:$HB40,$G$46:$HB$46,"&gt;="&amp;$HD$1,$G$46:$HB$46,"&lt;="&amp;$HD$2,$G$29:$HB$29,"&lt;&gt;ملاحظات",$G$28:$HB$28,"&gt;0")</f>
        <v>0</v>
      </c>
      <c r="HD40">
        <f>SUMIFS($G$28:$HB$28,$G$46:$HB$46,"&gt;="&amp;$HD$1,$G$46:$HB$46,"&lt;="&amp;$HD$2,$G$29:$HB$29,"&lt;&gt;ملاحظات",$G40:$HB40,"&gt;=0")</f>
        <v>0</v>
      </c>
    </row>
    <row r="41" ht="22.5" customHeight="1">
      <c r="A41" s="36" t="n">
        <v>12</v>
      </c>
      <c r="B41" s="181" t="str">
        <f>IF($B16="","",$B16)</f>
        <v/>
      </c>
      <c r="C41" s="136" t="str">
        <f>IF(OR($B41="",$HD41=0),"",ROUND($HC41,2)&amp;" / "&amp;$HD41)</f>
        <v/>
      </c>
      <c r="D41" s="182" t="str">
        <f>IF(OR($B41="",$HD41=0),"",$HC41/$HD41)</f>
        <v/>
      </c>
      <c r="E41" s="98" t="str">
        <f>IF($D41="","",RANK($D41,$D$30:$D$44))</f>
        <v/>
      </c>
      <c r="F41" s="99" t="str">
        <f>IF($D41="","",IF($D41&gt;=0.85,"ممتاز",IF($D41&gt;=0.75,"جيد جداً",IF($D41&gt;=0.65,"جيد",IF($D41&gt;=0.5,"مقبول","ضعيف")))))</f>
        <v/>
      </c>
      <c r="G41" s="100" t="n"/>
      <c r="H41" s="101" t="n"/>
      <c r="I41" s="100" t="n"/>
      <c r="J41" s="101" t="n"/>
      <c r="K41" s="100" t="n"/>
      <c r="L41" s="101" t="n"/>
      <c r="M41" s="100" t="n"/>
      <c r="N41" s="101" t="n"/>
      <c r="O41" s="100" t="n"/>
      <c r="P41" s="101" t="n"/>
      <c r="Q41" s="100" t="n"/>
      <c r="R41" s="101" t="n"/>
      <c r="S41" s="100" t="n"/>
      <c r="T41" s="101" t="n"/>
      <c r="U41" s="100" t="n"/>
      <c r="V41" s="101" t="n"/>
      <c r="W41" s="183" t="n"/>
      <c r="X41" s="103" t="n"/>
      <c r="Y41" s="104" t="n"/>
      <c r="Z41" s="103" t="n"/>
      <c r="AA41" s="104" t="n"/>
      <c r="AB41" s="103" t="n"/>
      <c r="AC41" s="104" t="n"/>
      <c r="AD41" s="103" t="n"/>
      <c r="AE41" s="104" t="n"/>
      <c r="AF41" s="103" t="n"/>
      <c r="AG41" s="104" t="n"/>
      <c r="AH41" s="103" t="n"/>
      <c r="AI41" s="104" t="n"/>
      <c r="AJ41" s="103" t="n"/>
      <c r="AK41" s="104" t="n"/>
      <c r="AL41" s="103" t="n"/>
      <c r="AM41" s="104" t="n"/>
      <c r="AN41" s="184" t="n"/>
      <c r="AO41" s="106" t="n"/>
      <c r="AP41" s="107" t="n"/>
      <c r="AQ41" s="106" t="n"/>
      <c r="AR41" s="107" t="n"/>
      <c r="AS41" s="106" t="n"/>
      <c r="AT41" s="107" t="n"/>
      <c r="AU41" s="106" t="n"/>
      <c r="AV41" s="107" t="n"/>
      <c r="AW41" s="106" t="n"/>
      <c r="AX41" s="107" t="n"/>
      <c r="AY41" s="106" t="n"/>
      <c r="AZ41" s="107" t="n"/>
      <c r="BA41" s="106" t="n"/>
      <c r="BB41" s="107" t="n"/>
      <c r="BC41" s="106" t="n"/>
      <c r="BD41" s="107" t="n"/>
      <c r="BE41" s="185" t="n"/>
      <c r="BF41" s="109" t="n"/>
      <c r="BG41" s="110" t="n"/>
      <c r="BH41" s="109" t="n"/>
      <c r="BI41" s="110" t="n"/>
      <c r="BJ41" s="109" t="n"/>
      <c r="BK41" s="110" t="n"/>
      <c r="BL41" s="109" t="n"/>
      <c r="BM41" s="110" t="n"/>
      <c r="BN41" s="109" t="n"/>
      <c r="BO41" s="110" t="n"/>
      <c r="BP41" s="109" t="n"/>
      <c r="BQ41" s="110" t="n"/>
      <c r="BR41" s="109" t="n"/>
      <c r="BS41" s="110" t="n"/>
      <c r="BT41" s="109" t="n"/>
      <c r="BU41" s="110" t="n"/>
      <c r="BV41" s="186" t="n"/>
      <c r="BW41" s="112" t="n"/>
      <c r="BX41" s="113" t="n"/>
      <c r="BY41" s="112" t="n"/>
      <c r="BZ41" s="113" t="n"/>
      <c r="CA41" s="112" t="n"/>
      <c r="CB41" s="113" t="n"/>
      <c r="CC41" s="112" t="n"/>
      <c r="CD41" s="113" t="n"/>
      <c r="CE41" s="112" t="n"/>
      <c r="CF41" s="113" t="n"/>
      <c r="CG41" s="112" t="n"/>
      <c r="CH41" s="113" t="n"/>
      <c r="CI41" s="112" t="n"/>
      <c r="CJ41" s="113" t="n"/>
      <c r="CK41" s="112" t="n"/>
      <c r="CL41" s="113" t="n"/>
      <c r="CM41" s="187" t="n"/>
      <c r="CN41" s="115" t="n"/>
      <c r="CO41" s="116" t="n"/>
      <c r="CP41" s="115" t="n"/>
      <c r="CQ41" s="116" t="n"/>
      <c r="CR41" s="115" t="n"/>
      <c r="CS41" s="116" t="n"/>
      <c r="CT41" s="115" t="n"/>
      <c r="CU41" s="116" t="n"/>
      <c r="CV41" s="115" t="n"/>
      <c r="CW41" s="116" t="n"/>
      <c r="CX41" s="115" t="n"/>
      <c r="CY41" s="116" t="n"/>
      <c r="CZ41" s="115" t="n"/>
      <c r="DA41" s="116" t="n"/>
      <c r="DB41" s="115" t="n"/>
      <c r="DC41" s="116" t="n"/>
      <c r="DD41" s="188" t="n"/>
      <c r="DE41" s="118" t="n"/>
      <c r="DF41" s="119" t="n"/>
      <c r="DG41" s="118" t="n"/>
      <c r="DH41" s="119" t="n"/>
      <c r="DI41" s="118" t="n"/>
      <c r="DJ41" s="119" t="n"/>
      <c r="DK41" s="118" t="n"/>
      <c r="DL41" s="119" t="n"/>
      <c r="DM41" s="118" t="n"/>
      <c r="DN41" s="119" t="n"/>
      <c r="DO41" s="118" t="n"/>
      <c r="DP41" s="119" t="n"/>
      <c r="DQ41" s="118" t="n"/>
      <c r="DR41" s="119" t="n"/>
      <c r="DS41" s="118" t="n"/>
      <c r="DT41" s="119" t="n"/>
      <c r="DU41" s="189" t="n"/>
      <c r="DV41" s="121" t="n"/>
      <c r="DW41" s="122" t="n"/>
      <c r="DX41" s="121" t="n"/>
      <c r="DY41" s="122" t="n"/>
      <c r="DZ41" s="121" t="n"/>
      <c r="EA41" s="122" t="n"/>
      <c r="EB41" s="121" t="n"/>
      <c r="EC41" s="122" t="n"/>
      <c r="ED41" s="121" t="n"/>
      <c r="EE41" s="122" t="n"/>
      <c r="EF41" s="121" t="n"/>
      <c r="EG41" s="122" t="n"/>
      <c r="EH41" s="121" t="n"/>
      <c r="EI41" s="122" t="n"/>
      <c r="EJ41" s="121" t="n"/>
      <c r="EK41" s="122" t="n"/>
      <c r="EL41" s="190" t="n"/>
      <c r="EM41" s="124" t="n"/>
      <c r="EN41" s="125" t="n"/>
      <c r="EO41" s="124" t="n"/>
      <c r="EP41" s="125" t="n"/>
      <c r="EQ41" s="124" t="n"/>
      <c r="ER41" s="125" t="n"/>
      <c r="ES41" s="124" t="n"/>
      <c r="ET41" s="125" t="n"/>
      <c r="EU41" s="124" t="n"/>
      <c r="EV41" s="125" t="n"/>
      <c r="EW41" s="124" t="n"/>
      <c r="EX41" s="125" t="n"/>
      <c r="EY41" s="124" t="n"/>
      <c r="EZ41" s="125" t="n"/>
      <c r="FA41" s="124" t="n"/>
      <c r="FB41" s="125" t="n"/>
      <c r="FC41" s="191" t="n"/>
      <c r="FD41" s="127" t="n"/>
      <c r="FE41" s="128" t="n"/>
      <c r="FF41" s="127" t="n"/>
      <c r="FG41" s="128" t="n"/>
      <c r="FH41" s="127" t="n"/>
      <c r="FI41" s="128" t="n"/>
      <c r="FJ41" s="127" t="n"/>
      <c r="FK41" s="128" t="n"/>
      <c r="FL41" s="127" t="n"/>
      <c r="FM41" s="128" t="n"/>
      <c r="FN41" s="127" t="n"/>
      <c r="FO41" s="128" t="n"/>
      <c r="FP41" s="127" t="n"/>
      <c r="FQ41" s="128" t="n"/>
      <c r="FR41" s="127" t="n"/>
      <c r="FS41" s="128" t="n"/>
      <c r="FT41" s="192" t="n"/>
      <c r="FU41" s="130" t="n"/>
      <c r="FV41" s="131" t="n"/>
      <c r="FW41" s="130" t="n"/>
      <c r="FX41" s="131" t="n"/>
      <c r="FY41" s="130" t="n"/>
      <c r="FZ41" s="131" t="n"/>
      <c r="GA41" s="130" t="n"/>
      <c r="GB41" s="131" t="n"/>
      <c r="GC41" s="130" t="n"/>
      <c r="GD41" s="131" t="n"/>
      <c r="GE41" s="130" t="n"/>
      <c r="GF41" s="131" t="n"/>
      <c r="GG41" s="130" t="n"/>
      <c r="GH41" s="131" t="n"/>
      <c r="GI41" s="130" t="n"/>
      <c r="GJ41" s="131" t="n"/>
      <c r="GK41" s="193" t="n"/>
      <c r="GL41" s="133" t="n"/>
      <c r="GM41" s="134" t="n"/>
      <c r="GN41" s="133" t="n"/>
      <c r="GO41" s="134" t="n"/>
      <c r="GP41" s="133" t="n"/>
      <c r="GQ41" s="134" t="n"/>
      <c r="GR41" s="133" t="n"/>
      <c r="GS41" s="134" t="n"/>
      <c r="GT41" s="133" t="n"/>
      <c r="GU41" s="134" t="n"/>
      <c r="GV41" s="133" t="n"/>
      <c r="GW41" s="134" t="n"/>
      <c r="GX41" s="133" t="n"/>
      <c r="GY41" s="134" t="n"/>
      <c r="GZ41" s="133" t="n"/>
      <c r="HA41" s="134" t="n"/>
      <c r="HB41" s="194" t="n"/>
      <c r="HC41">
        <f>SUMIFS($G41:$HB41,$G$46:$HB$46,"&gt;="&amp;$HD$1,$G$46:$HB$46,"&lt;="&amp;$HD$2,$G$29:$HB$29,"&lt;&gt;ملاحظات",$G$28:$HB$28,"&gt;0")</f>
        <v>0</v>
      </c>
      <c r="HD41">
        <f>SUMIFS($G$28:$HB$28,$G$46:$HB$46,"&gt;="&amp;$HD$1,$G$46:$HB$46,"&lt;="&amp;$HD$2,$G$29:$HB$29,"&lt;&gt;ملاحظات",$G41:$HB41,"&gt;=0")</f>
        <v>0</v>
      </c>
    </row>
    <row r="42" ht="22.5" customHeight="1">
      <c r="A42" s="36" t="n">
        <v>13</v>
      </c>
      <c r="B42" s="181" t="str">
        <f>IF($B17="","",$B17)</f>
        <v/>
      </c>
      <c r="C42" s="136" t="str">
        <f>IF(OR($B42="",$HD42=0),"",ROUND($HC42,2)&amp;" / "&amp;$HD42)</f>
        <v/>
      </c>
      <c r="D42" s="182" t="str">
        <f>IF(OR($B42="",$HD42=0),"",$HC42/$HD42)</f>
        <v/>
      </c>
      <c r="E42" s="98" t="str">
        <f>IF($D42="","",RANK($D42,$D$30:$D$44))</f>
        <v/>
      </c>
      <c r="F42" s="99" t="str">
        <f>IF($D42="","",IF($D42&gt;=0.85,"ممتاز",IF($D42&gt;=0.75,"جيد جداً",IF($D42&gt;=0.65,"جيد",IF($D42&gt;=0.5,"مقبول","ضعيف")))))</f>
        <v/>
      </c>
      <c r="G42" s="100" t="n"/>
      <c r="H42" s="101" t="n"/>
      <c r="I42" s="100" t="n"/>
      <c r="J42" s="101" t="n"/>
      <c r="K42" s="100" t="n"/>
      <c r="L42" s="101" t="n"/>
      <c r="M42" s="100" t="n"/>
      <c r="N42" s="101" t="n"/>
      <c r="O42" s="100" t="n"/>
      <c r="P42" s="101" t="n"/>
      <c r="Q42" s="100" t="n"/>
      <c r="R42" s="101" t="n"/>
      <c r="S42" s="100" t="n"/>
      <c r="T42" s="101" t="n"/>
      <c r="U42" s="100" t="n"/>
      <c r="V42" s="101" t="n"/>
      <c r="W42" s="183" t="n"/>
      <c r="X42" s="103" t="n"/>
      <c r="Y42" s="104" t="n"/>
      <c r="Z42" s="103" t="n"/>
      <c r="AA42" s="104" t="n"/>
      <c r="AB42" s="103" t="n"/>
      <c r="AC42" s="104" t="n"/>
      <c r="AD42" s="103" t="n"/>
      <c r="AE42" s="104" t="n"/>
      <c r="AF42" s="103" t="n"/>
      <c r="AG42" s="104" t="n"/>
      <c r="AH42" s="103" t="n"/>
      <c r="AI42" s="104" t="n"/>
      <c r="AJ42" s="103" t="n"/>
      <c r="AK42" s="104" t="n"/>
      <c r="AL42" s="103" t="n"/>
      <c r="AM42" s="104" t="n"/>
      <c r="AN42" s="184" t="n"/>
      <c r="AO42" s="106" t="n"/>
      <c r="AP42" s="107" t="n"/>
      <c r="AQ42" s="106" t="n"/>
      <c r="AR42" s="107" t="n"/>
      <c r="AS42" s="106" t="n"/>
      <c r="AT42" s="107" t="n"/>
      <c r="AU42" s="106" t="n"/>
      <c r="AV42" s="107" t="n"/>
      <c r="AW42" s="106" t="n"/>
      <c r="AX42" s="107" t="n"/>
      <c r="AY42" s="106" t="n"/>
      <c r="AZ42" s="107" t="n"/>
      <c r="BA42" s="106" t="n"/>
      <c r="BB42" s="107" t="n"/>
      <c r="BC42" s="106" t="n"/>
      <c r="BD42" s="107" t="n"/>
      <c r="BE42" s="185" t="n"/>
      <c r="BF42" s="109" t="n"/>
      <c r="BG42" s="110" t="n"/>
      <c r="BH42" s="109" t="n"/>
      <c r="BI42" s="110" t="n"/>
      <c r="BJ42" s="109" t="n"/>
      <c r="BK42" s="110" t="n"/>
      <c r="BL42" s="109" t="n"/>
      <c r="BM42" s="110" t="n"/>
      <c r="BN42" s="109" t="n"/>
      <c r="BO42" s="110" t="n"/>
      <c r="BP42" s="109" t="n"/>
      <c r="BQ42" s="110" t="n"/>
      <c r="BR42" s="109" t="n"/>
      <c r="BS42" s="110" t="n"/>
      <c r="BT42" s="109" t="n"/>
      <c r="BU42" s="110" t="n"/>
      <c r="BV42" s="186" t="n"/>
      <c r="BW42" s="112" t="n"/>
      <c r="BX42" s="113" t="n"/>
      <c r="BY42" s="112" t="n"/>
      <c r="BZ42" s="113" t="n"/>
      <c r="CA42" s="112" t="n"/>
      <c r="CB42" s="113" t="n"/>
      <c r="CC42" s="112" t="n"/>
      <c r="CD42" s="113" t="n"/>
      <c r="CE42" s="112" t="n"/>
      <c r="CF42" s="113" t="n"/>
      <c r="CG42" s="112" t="n"/>
      <c r="CH42" s="113" t="n"/>
      <c r="CI42" s="112" t="n"/>
      <c r="CJ42" s="113" t="n"/>
      <c r="CK42" s="112" t="n"/>
      <c r="CL42" s="113" t="n"/>
      <c r="CM42" s="187" t="n"/>
      <c r="CN42" s="115" t="n"/>
      <c r="CO42" s="116" t="n"/>
      <c r="CP42" s="115" t="n"/>
      <c r="CQ42" s="116" t="n"/>
      <c r="CR42" s="115" t="n"/>
      <c r="CS42" s="116" t="n"/>
      <c r="CT42" s="115" t="n"/>
      <c r="CU42" s="116" t="n"/>
      <c r="CV42" s="115" t="n"/>
      <c r="CW42" s="116" t="n"/>
      <c r="CX42" s="115" t="n"/>
      <c r="CY42" s="116" t="n"/>
      <c r="CZ42" s="115" t="n"/>
      <c r="DA42" s="116" t="n"/>
      <c r="DB42" s="115" t="n"/>
      <c r="DC42" s="116" t="n"/>
      <c r="DD42" s="188" t="n"/>
      <c r="DE42" s="118" t="n"/>
      <c r="DF42" s="119" t="n"/>
      <c r="DG42" s="118" t="n"/>
      <c r="DH42" s="119" t="n"/>
      <c r="DI42" s="118" t="n"/>
      <c r="DJ42" s="119" t="n"/>
      <c r="DK42" s="118" t="n"/>
      <c r="DL42" s="119" t="n"/>
      <c r="DM42" s="118" t="n"/>
      <c r="DN42" s="119" t="n"/>
      <c r="DO42" s="118" t="n"/>
      <c r="DP42" s="119" t="n"/>
      <c r="DQ42" s="118" t="n"/>
      <c r="DR42" s="119" t="n"/>
      <c r="DS42" s="118" t="n"/>
      <c r="DT42" s="119" t="n"/>
      <c r="DU42" s="189" t="n"/>
      <c r="DV42" s="121" t="n"/>
      <c r="DW42" s="122" t="n"/>
      <c r="DX42" s="121" t="n"/>
      <c r="DY42" s="122" t="n"/>
      <c r="DZ42" s="121" t="n"/>
      <c r="EA42" s="122" t="n"/>
      <c r="EB42" s="121" t="n"/>
      <c r="EC42" s="122" t="n"/>
      <c r="ED42" s="121" t="n"/>
      <c r="EE42" s="122" t="n"/>
      <c r="EF42" s="121" t="n"/>
      <c r="EG42" s="122" t="n"/>
      <c r="EH42" s="121" t="n"/>
      <c r="EI42" s="122" t="n"/>
      <c r="EJ42" s="121" t="n"/>
      <c r="EK42" s="122" t="n"/>
      <c r="EL42" s="190" t="n"/>
      <c r="EM42" s="124" t="n"/>
      <c r="EN42" s="125" t="n"/>
      <c r="EO42" s="124" t="n"/>
      <c r="EP42" s="125" t="n"/>
      <c r="EQ42" s="124" t="n"/>
      <c r="ER42" s="125" t="n"/>
      <c r="ES42" s="124" t="n"/>
      <c r="ET42" s="125" t="n"/>
      <c r="EU42" s="124" t="n"/>
      <c r="EV42" s="125" t="n"/>
      <c r="EW42" s="124" t="n"/>
      <c r="EX42" s="125" t="n"/>
      <c r="EY42" s="124" t="n"/>
      <c r="EZ42" s="125" t="n"/>
      <c r="FA42" s="124" t="n"/>
      <c r="FB42" s="125" t="n"/>
      <c r="FC42" s="191" t="n"/>
      <c r="FD42" s="127" t="n"/>
      <c r="FE42" s="128" t="n"/>
      <c r="FF42" s="127" t="n"/>
      <c r="FG42" s="128" t="n"/>
      <c r="FH42" s="127" t="n"/>
      <c r="FI42" s="128" t="n"/>
      <c r="FJ42" s="127" t="n"/>
      <c r="FK42" s="128" t="n"/>
      <c r="FL42" s="127" t="n"/>
      <c r="FM42" s="128" t="n"/>
      <c r="FN42" s="127" t="n"/>
      <c r="FO42" s="128" t="n"/>
      <c r="FP42" s="127" t="n"/>
      <c r="FQ42" s="128" t="n"/>
      <c r="FR42" s="127" t="n"/>
      <c r="FS42" s="128" t="n"/>
      <c r="FT42" s="192" t="n"/>
      <c r="FU42" s="130" t="n"/>
      <c r="FV42" s="131" t="n"/>
      <c r="FW42" s="130" t="n"/>
      <c r="FX42" s="131" t="n"/>
      <c r="FY42" s="130" t="n"/>
      <c r="FZ42" s="131" t="n"/>
      <c r="GA42" s="130" t="n"/>
      <c r="GB42" s="131" t="n"/>
      <c r="GC42" s="130" t="n"/>
      <c r="GD42" s="131" t="n"/>
      <c r="GE42" s="130" t="n"/>
      <c r="GF42" s="131" t="n"/>
      <c r="GG42" s="130" t="n"/>
      <c r="GH42" s="131" t="n"/>
      <c r="GI42" s="130" t="n"/>
      <c r="GJ42" s="131" t="n"/>
      <c r="GK42" s="193" t="n"/>
      <c r="GL42" s="133" t="n"/>
      <c r="GM42" s="134" t="n"/>
      <c r="GN42" s="133" t="n"/>
      <c r="GO42" s="134" t="n"/>
      <c r="GP42" s="133" t="n"/>
      <c r="GQ42" s="134" t="n"/>
      <c r="GR42" s="133" t="n"/>
      <c r="GS42" s="134" t="n"/>
      <c r="GT42" s="133" t="n"/>
      <c r="GU42" s="134" t="n"/>
      <c r="GV42" s="133" t="n"/>
      <c r="GW42" s="134" t="n"/>
      <c r="GX42" s="133" t="n"/>
      <c r="GY42" s="134" t="n"/>
      <c r="GZ42" s="133" t="n"/>
      <c r="HA42" s="134" t="n"/>
      <c r="HB42" s="194" t="n"/>
      <c r="HC42">
        <f>SUMIFS($G42:$HB42,$G$46:$HB$46,"&gt;="&amp;$HD$1,$G$46:$HB$46,"&lt;="&amp;$HD$2,$G$29:$HB$29,"&lt;&gt;ملاحظات",$G$28:$HB$28,"&gt;0")</f>
        <v>0</v>
      </c>
      <c r="HD42">
        <f>SUMIFS($G$28:$HB$28,$G$46:$HB$46,"&gt;="&amp;$HD$1,$G$46:$HB$46,"&lt;="&amp;$HD$2,$G$29:$HB$29,"&lt;&gt;ملاحظات",$G42:$HB42,"&gt;=0")</f>
        <v>0</v>
      </c>
    </row>
    <row r="43" ht="22.5" customHeight="1">
      <c r="A43" s="36" t="n">
        <v>14</v>
      </c>
      <c r="B43" s="181" t="str">
        <f>IF($B18="","",$B18)</f>
        <v/>
      </c>
      <c r="C43" s="136" t="str">
        <f>IF(OR($B43="",$HD43=0),"",ROUND($HC43,2)&amp;" / "&amp;$HD43)</f>
        <v/>
      </c>
      <c r="D43" s="182" t="str">
        <f>IF(OR($B43="",$HD43=0),"",$HC43/$HD43)</f>
        <v/>
      </c>
      <c r="E43" s="98" t="str">
        <f>IF($D43="","",RANK($D43,$D$30:$D$44))</f>
        <v/>
      </c>
      <c r="F43" s="99" t="str">
        <f>IF($D43="","",IF($D43&gt;=0.85,"ممتاز",IF($D43&gt;=0.75,"جيد جداً",IF($D43&gt;=0.65,"جيد",IF($D43&gt;=0.5,"مقبول","ضعيف")))))</f>
        <v/>
      </c>
      <c r="G43" s="100" t="n"/>
      <c r="H43" s="101" t="n"/>
      <c r="I43" s="100" t="n"/>
      <c r="J43" s="101" t="n"/>
      <c r="K43" s="100" t="n"/>
      <c r="L43" s="101" t="n"/>
      <c r="M43" s="100" t="n"/>
      <c r="N43" s="101" t="n"/>
      <c r="O43" s="100" t="n"/>
      <c r="P43" s="101" t="n"/>
      <c r="Q43" s="100" t="n"/>
      <c r="R43" s="101" t="n"/>
      <c r="S43" s="100" t="n"/>
      <c r="T43" s="101" t="n"/>
      <c r="U43" s="100" t="n"/>
      <c r="V43" s="101" t="n"/>
      <c r="W43" s="183" t="n"/>
      <c r="X43" s="103" t="n"/>
      <c r="Y43" s="104" t="n"/>
      <c r="Z43" s="103" t="n"/>
      <c r="AA43" s="104" t="n"/>
      <c r="AB43" s="103" t="n"/>
      <c r="AC43" s="104" t="n"/>
      <c r="AD43" s="103" t="n"/>
      <c r="AE43" s="104" t="n"/>
      <c r="AF43" s="103" t="n"/>
      <c r="AG43" s="104" t="n"/>
      <c r="AH43" s="103" t="n"/>
      <c r="AI43" s="104" t="n"/>
      <c r="AJ43" s="103" t="n"/>
      <c r="AK43" s="104" t="n"/>
      <c r="AL43" s="103" t="n"/>
      <c r="AM43" s="104" t="n"/>
      <c r="AN43" s="184" t="n"/>
      <c r="AO43" s="106" t="n"/>
      <c r="AP43" s="107" t="n"/>
      <c r="AQ43" s="106" t="n"/>
      <c r="AR43" s="107" t="n"/>
      <c r="AS43" s="106" t="n"/>
      <c r="AT43" s="107" t="n"/>
      <c r="AU43" s="106" t="n"/>
      <c r="AV43" s="107" t="n"/>
      <c r="AW43" s="106" t="n"/>
      <c r="AX43" s="107" t="n"/>
      <c r="AY43" s="106" t="n"/>
      <c r="AZ43" s="107" t="n"/>
      <c r="BA43" s="106" t="n"/>
      <c r="BB43" s="107" t="n"/>
      <c r="BC43" s="106" t="n"/>
      <c r="BD43" s="107" t="n"/>
      <c r="BE43" s="185" t="n"/>
      <c r="BF43" s="109" t="n"/>
      <c r="BG43" s="110" t="n"/>
      <c r="BH43" s="109" t="n"/>
      <c r="BI43" s="110" t="n"/>
      <c r="BJ43" s="109" t="n"/>
      <c r="BK43" s="110" t="n"/>
      <c r="BL43" s="109" t="n"/>
      <c r="BM43" s="110" t="n"/>
      <c r="BN43" s="109" t="n"/>
      <c r="BO43" s="110" t="n"/>
      <c r="BP43" s="109" t="n"/>
      <c r="BQ43" s="110" t="n"/>
      <c r="BR43" s="109" t="n"/>
      <c r="BS43" s="110" t="n"/>
      <c r="BT43" s="109" t="n"/>
      <c r="BU43" s="110" t="n"/>
      <c r="BV43" s="186" t="n"/>
      <c r="BW43" s="112" t="n"/>
      <c r="BX43" s="113" t="n"/>
      <c r="BY43" s="112" t="n"/>
      <c r="BZ43" s="113" t="n"/>
      <c r="CA43" s="112" t="n"/>
      <c r="CB43" s="113" t="n"/>
      <c r="CC43" s="112" t="n"/>
      <c r="CD43" s="113" t="n"/>
      <c r="CE43" s="112" t="n"/>
      <c r="CF43" s="113" t="n"/>
      <c r="CG43" s="112" t="n"/>
      <c r="CH43" s="113" t="n"/>
      <c r="CI43" s="112" t="n"/>
      <c r="CJ43" s="113" t="n"/>
      <c r="CK43" s="112" t="n"/>
      <c r="CL43" s="113" t="n"/>
      <c r="CM43" s="187" t="n"/>
      <c r="CN43" s="115" t="n"/>
      <c r="CO43" s="116" t="n"/>
      <c r="CP43" s="115" t="n"/>
      <c r="CQ43" s="116" t="n"/>
      <c r="CR43" s="115" t="n"/>
      <c r="CS43" s="116" t="n"/>
      <c r="CT43" s="115" t="n"/>
      <c r="CU43" s="116" t="n"/>
      <c r="CV43" s="115" t="n"/>
      <c r="CW43" s="116" t="n"/>
      <c r="CX43" s="115" t="n"/>
      <c r="CY43" s="116" t="n"/>
      <c r="CZ43" s="115" t="n"/>
      <c r="DA43" s="116" t="n"/>
      <c r="DB43" s="115" t="n"/>
      <c r="DC43" s="116" t="n"/>
      <c r="DD43" s="188" t="n"/>
      <c r="DE43" s="118" t="n"/>
      <c r="DF43" s="119" t="n"/>
      <c r="DG43" s="118" t="n"/>
      <c r="DH43" s="119" t="n"/>
      <c r="DI43" s="118" t="n"/>
      <c r="DJ43" s="119" t="n"/>
      <c r="DK43" s="118" t="n"/>
      <c r="DL43" s="119" t="n"/>
      <c r="DM43" s="118" t="n"/>
      <c r="DN43" s="119" t="n"/>
      <c r="DO43" s="118" t="n"/>
      <c r="DP43" s="119" t="n"/>
      <c r="DQ43" s="118" t="n"/>
      <c r="DR43" s="119" t="n"/>
      <c r="DS43" s="118" t="n"/>
      <c r="DT43" s="119" t="n"/>
      <c r="DU43" s="189" t="n"/>
      <c r="DV43" s="121" t="n"/>
      <c r="DW43" s="122" t="n"/>
      <c r="DX43" s="121" t="n"/>
      <c r="DY43" s="122" t="n"/>
      <c r="DZ43" s="121" t="n"/>
      <c r="EA43" s="122" t="n"/>
      <c r="EB43" s="121" t="n"/>
      <c r="EC43" s="122" t="n"/>
      <c r="ED43" s="121" t="n"/>
      <c r="EE43" s="122" t="n"/>
      <c r="EF43" s="121" t="n"/>
      <c r="EG43" s="122" t="n"/>
      <c r="EH43" s="121" t="n"/>
      <c r="EI43" s="122" t="n"/>
      <c r="EJ43" s="121" t="n"/>
      <c r="EK43" s="122" t="n"/>
      <c r="EL43" s="190" t="n"/>
      <c r="EM43" s="124" t="n"/>
      <c r="EN43" s="125" t="n"/>
      <c r="EO43" s="124" t="n"/>
      <c r="EP43" s="125" t="n"/>
      <c r="EQ43" s="124" t="n"/>
      <c r="ER43" s="125" t="n"/>
      <c r="ES43" s="124" t="n"/>
      <c r="ET43" s="125" t="n"/>
      <c r="EU43" s="124" t="n"/>
      <c r="EV43" s="125" t="n"/>
      <c r="EW43" s="124" t="n"/>
      <c r="EX43" s="125" t="n"/>
      <c r="EY43" s="124" t="n"/>
      <c r="EZ43" s="125" t="n"/>
      <c r="FA43" s="124" t="n"/>
      <c r="FB43" s="125" t="n"/>
      <c r="FC43" s="191" t="n"/>
      <c r="FD43" s="127" t="n"/>
      <c r="FE43" s="128" t="n"/>
      <c r="FF43" s="127" t="n"/>
      <c r="FG43" s="128" t="n"/>
      <c r="FH43" s="127" t="n"/>
      <c r="FI43" s="128" t="n"/>
      <c r="FJ43" s="127" t="n"/>
      <c r="FK43" s="128" t="n"/>
      <c r="FL43" s="127" t="n"/>
      <c r="FM43" s="128" t="n"/>
      <c r="FN43" s="127" t="n"/>
      <c r="FO43" s="128" t="n"/>
      <c r="FP43" s="127" t="n"/>
      <c r="FQ43" s="128" t="n"/>
      <c r="FR43" s="127" t="n"/>
      <c r="FS43" s="128" t="n"/>
      <c r="FT43" s="192" t="n"/>
      <c r="FU43" s="130" t="n"/>
      <c r="FV43" s="131" t="n"/>
      <c r="FW43" s="130" t="n"/>
      <c r="FX43" s="131" t="n"/>
      <c r="FY43" s="130" t="n"/>
      <c r="FZ43" s="131" t="n"/>
      <c r="GA43" s="130" t="n"/>
      <c r="GB43" s="131" t="n"/>
      <c r="GC43" s="130" t="n"/>
      <c r="GD43" s="131" t="n"/>
      <c r="GE43" s="130" t="n"/>
      <c r="GF43" s="131" t="n"/>
      <c r="GG43" s="130" t="n"/>
      <c r="GH43" s="131" t="n"/>
      <c r="GI43" s="130" t="n"/>
      <c r="GJ43" s="131" t="n"/>
      <c r="GK43" s="193" t="n"/>
      <c r="GL43" s="133" t="n"/>
      <c r="GM43" s="134" t="n"/>
      <c r="GN43" s="133" t="n"/>
      <c r="GO43" s="134" t="n"/>
      <c r="GP43" s="133" t="n"/>
      <c r="GQ43" s="134" t="n"/>
      <c r="GR43" s="133" t="n"/>
      <c r="GS43" s="134" t="n"/>
      <c r="GT43" s="133" t="n"/>
      <c r="GU43" s="134" t="n"/>
      <c r="GV43" s="133" t="n"/>
      <c r="GW43" s="134" t="n"/>
      <c r="GX43" s="133" t="n"/>
      <c r="GY43" s="134" t="n"/>
      <c r="GZ43" s="133" t="n"/>
      <c r="HA43" s="134" t="n"/>
      <c r="HB43" s="194" t="n"/>
      <c r="HC43">
        <f>SUMIFS($G43:$HB43,$G$46:$HB$46,"&gt;="&amp;$HD$1,$G$46:$HB$46,"&lt;="&amp;$HD$2,$G$29:$HB$29,"&lt;&gt;ملاحظات",$G$28:$HB$28,"&gt;0")</f>
        <v>0</v>
      </c>
      <c r="HD43">
        <f>SUMIFS($G$28:$HB$28,$G$46:$HB$46,"&gt;="&amp;$HD$1,$G$46:$HB$46,"&lt;="&amp;$HD$2,$G$29:$HB$29,"&lt;&gt;ملاحظات",$G43:$HB43,"&gt;=0")</f>
        <v>0</v>
      </c>
    </row>
    <row r="44" ht="22.5" customHeight="1">
      <c r="A44" s="36" t="n">
        <v>15</v>
      </c>
      <c r="B44" s="181" t="str">
        <f>IF($B19="","",$B19)</f>
        <v/>
      </c>
      <c r="C44" s="136" t="str">
        <f>IF(OR($B44="",$HD44=0),"",ROUND($HC44,2)&amp;" / "&amp;$HD44)</f>
        <v/>
      </c>
      <c r="D44" s="182" t="str">
        <f>IF(OR($B44="",$HD44=0),"",$HC44/$HD44)</f>
        <v/>
      </c>
      <c r="E44" s="98" t="str">
        <f>IF($D44="","",RANK($D44,$D$30:$D$44))</f>
        <v/>
      </c>
      <c r="F44" s="99" t="str">
        <f>IF($D44="","",IF($D44&gt;=0.85,"ممتاز",IF($D44&gt;=0.75,"جيد جداً",IF($D44&gt;=0.65,"جيد",IF($D44&gt;=0.5,"مقبول","ضعيف")))))</f>
        <v/>
      </c>
      <c r="G44" s="100" t="n"/>
      <c r="H44" s="101" t="n"/>
      <c r="I44" s="100" t="n"/>
      <c r="J44" s="101" t="n"/>
      <c r="K44" s="100" t="n"/>
      <c r="L44" s="101" t="n"/>
      <c r="M44" s="100" t="n"/>
      <c r="N44" s="101" t="n"/>
      <c r="O44" s="100" t="n"/>
      <c r="P44" s="101" t="n"/>
      <c r="Q44" s="100" t="n"/>
      <c r="R44" s="101" t="n"/>
      <c r="S44" s="100" t="n"/>
      <c r="T44" s="101" t="n"/>
      <c r="U44" s="100" t="n"/>
      <c r="V44" s="101" t="n"/>
      <c r="W44" s="183" t="n"/>
      <c r="X44" s="103" t="n"/>
      <c r="Y44" s="104" t="n"/>
      <c r="Z44" s="103" t="n"/>
      <c r="AA44" s="104" t="n"/>
      <c r="AB44" s="103" t="n"/>
      <c r="AC44" s="104" t="n"/>
      <c r="AD44" s="103" t="n"/>
      <c r="AE44" s="104" t="n"/>
      <c r="AF44" s="103" t="n"/>
      <c r="AG44" s="104" t="n"/>
      <c r="AH44" s="103" t="n"/>
      <c r="AI44" s="104" t="n"/>
      <c r="AJ44" s="103" t="n"/>
      <c r="AK44" s="104" t="n"/>
      <c r="AL44" s="103" t="n"/>
      <c r="AM44" s="104" t="n"/>
      <c r="AN44" s="184" t="n"/>
      <c r="AO44" s="106" t="n"/>
      <c r="AP44" s="107" t="n"/>
      <c r="AQ44" s="106" t="n"/>
      <c r="AR44" s="107" t="n"/>
      <c r="AS44" s="106" t="n"/>
      <c r="AT44" s="107" t="n"/>
      <c r="AU44" s="106" t="n"/>
      <c r="AV44" s="107" t="n"/>
      <c r="AW44" s="106" t="n"/>
      <c r="AX44" s="107" t="n"/>
      <c r="AY44" s="106" t="n"/>
      <c r="AZ44" s="107" t="n"/>
      <c r="BA44" s="106" t="n"/>
      <c r="BB44" s="107" t="n"/>
      <c r="BC44" s="106" t="n"/>
      <c r="BD44" s="107" t="n"/>
      <c r="BE44" s="185" t="n"/>
      <c r="BF44" s="109" t="n"/>
      <c r="BG44" s="110" t="n"/>
      <c r="BH44" s="109" t="n"/>
      <c r="BI44" s="110" t="n"/>
      <c r="BJ44" s="109" t="n"/>
      <c r="BK44" s="110" t="n"/>
      <c r="BL44" s="109" t="n"/>
      <c r="BM44" s="110" t="n"/>
      <c r="BN44" s="109" t="n"/>
      <c r="BO44" s="110" t="n"/>
      <c r="BP44" s="109" t="n"/>
      <c r="BQ44" s="110" t="n"/>
      <c r="BR44" s="109" t="n"/>
      <c r="BS44" s="110" t="n"/>
      <c r="BT44" s="109" t="n"/>
      <c r="BU44" s="110" t="n"/>
      <c r="BV44" s="186" t="n"/>
      <c r="BW44" s="112" t="n"/>
      <c r="BX44" s="113" t="n"/>
      <c r="BY44" s="112" t="n"/>
      <c r="BZ44" s="113" t="n"/>
      <c r="CA44" s="112" t="n"/>
      <c r="CB44" s="113" t="n"/>
      <c r="CC44" s="112" t="n"/>
      <c r="CD44" s="113" t="n"/>
      <c r="CE44" s="112" t="n"/>
      <c r="CF44" s="113" t="n"/>
      <c r="CG44" s="112" t="n"/>
      <c r="CH44" s="113" t="n"/>
      <c r="CI44" s="112" t="n"/>
      <c r="CJ44" s="113" t="n"/>
      <c r="CK44" s="112" t="n"/>
      <c r="CL44" s="113" t="n"/>
      <c r="CM44" s="187" t="n"/>
      <c r="CN44" s="115" t="n"/>
      <c r="CO44" s="116" t="n"/>
      <c r="CP44" s="115" t="n"/>
      <c r="CQ44" s="116" t="n"/>
      <c r="CR44" s="115" t="n"/>
      <c r="CS44" s="116" t="n"/>
      <c r="CT44" s="115" t="n"/>
      <c r="CU44" s="116" t="n"/>
      <c r="CV44" s="115" t="n"/>
      <c r="CW44" s="116" t="n"/>
      <c r="CX44" s="115" t="n"/>
      <c r="CY44" s="116" t="n"/>
      <c r="CZ44" s="115" t="n"/>
      <c r="DA44" s="116" t="n"/>
      <c r="DB44" s="115" t="n"/>
      <c r="DC44" s="116" t="n"/>
      <c r="DD44" s="188" t="n"/>
      <c r="DE44" s="118" t="n"/>
      <c r="DF44" s="119" t="n"/>
      <c r="DG44" s="118" t="n"/>
      <c r="DH44" s="119" t="n"/>
      <c r="DI44" s="118" t="n"/>
      <c r="DJ44" s="119" t="n"/>
      <c r="DK44" s="118" t="n"/>
      <c r="DL44" s="119" t="n"/>
      <c r="DM44" s="118" t="n"/>
      <c r="DN44" s="119" t="n"/>
      <c r="DO44" s="118" t="n"/>
      <c r="DP44" s="119" t="n"/>
      <c r="DQ44" s="118" t="n"/>
      <c r="DR44" s="119" t="n"/>
      <c r="DS44" s="118" t="n"/>
      <c r="DT44" s="119" t="n"/>
      <c r="DU44" s="189" t="n"/>
      <c r="DV44" s="121" t="n"/>
      <c r="DW44" s="122" t="n"/>
      <c r="DX44" s="121" t="n"/>
      <c r="DY44" s="122" t="n"/>
      <c r="DZ44" s="121" t="n"/>
      <c r="EA44" s="122" t="n"/>
      <c r="EB44" s="121" t="n"/>
      <c r="EC44" s="122" t="n"/>
      <c r="ED44" s="121" t="n"/>
      <c r="EE44" s="122" t="n"/>
      <c r="EF44" s="121" t="n"/>
      <c r="EG44" s="122" t="n"/>
      <c r="EH44" s="121" t="n"/>
      <c r="EI44" s="122" t="n"/>
      <c r="EJ44" s="121" t="n"/>
      <c r="EK44" s="122" t="n"/>
      <c r="EL44" s="190" t="n"/>
      <c r="EM44" s="124" t="n"/>
      <c r="EN44" s="125" t="n"/>
      <c r="EO44" s="124" t="n"/>
      <c r="EP44" s="125" t="n"/>
      <c r="EQ44" s="124" t="n"/>
      <c r="ER44" s="125" t="n"/>
      <c r="ES44" s="124" t="n"/>
      <c r="ET44" s="125" t="n"/>
      <c r="EU44" s="124" t="n"/>
      <c r="EV44" s="125" t="n"/>
      <c r="EW44" s="124" t="n"/>
      <c r="EX44" s="125" t="n"/>
      <c r="EY44" s="124" t="n"/>
      <c r="EZ44" s="125" t="n"/>
      <c r="FA44" s="124" t="n"/>
      <c r="FB44" s="125" t="n"/>
      <c r="FC44" s="191" t="n"/>
      <c r="FD44" s="127" t="n"/>
      <c r="FE44" s="128" t="n"/>
      <c r="FF44" s="127" t="n"/>
      <c r="FG44" s="128" t="n"/>
      <c r="FH44" s="127" t="n"/>
      <c r="FI44" s="128" t="n"/>
      <c r="FJ44" s="127" t="n"/>
      <c r="FK44" s="128" t="n"/>
      <c r="FL44" s="127" t="n"/>
      <c r="FM44" s="128" t="n"/>
      <c r="FN44" s="127" t="n"/>
      <c r="FO44" s="128" t="n"/>
      <c r="FP44" s="127" t="n"/>
      <c r="FQ44" s="128" t="n"/>
      <c r="FR44" s="127" t="n"/>
      <c r="FS44" s="128" t="n"/>
      <c r="FT44" s="192" t="n"/>
      <c r="FU44" s="130" t="n"/>
      <c r="FV44" s="131" t="n"/>
      <c r="FW44" s="130" t="n"/>
      <c r="FX44" s="131" t="n"/>
      <c r="FY44" s="130" t="n"/>
      <c r="FZ44" s="131" t="n"/>
      <c r="GA44" s="130" t="n"/>
      <c r="GB44" s="131" t="n"/>
      <c r="GC44" s="130" t="n"/>
      <c r="GD44" s="131" t="n"/>
      <c r="GE44" s="130" t="n"/>
      <c r="GF44" s="131" t="n"/>
      <c r="GG44" s="130" t="n"/>
      <c r="GH44" s="131" t="n"/>
      <c r="GI44" s="130" t="n"/>
      <c r="GJ44" s="131" t="n"/>
      <c r="GK44" s="193" t="n"/>
      <c r="GL44" s="133" t="n"/>
      <c r="GM44" s="134" t="n"/>
      <c r="GN44" s="133" t="n"/>
      <c r="GO44" s="134" t="n"/>
      <c r="GP44" s="133" t="n"/>
      <c r="GQ44" s="134" t="n"/>
      <c r="GR44" s="133" t="n"/>
      <c r="GS44" s="134" t="n"/>
      <c r="GT44" s="133" t="n"/>
      <c r="GU44" s="134" t="n"/>
      <c r="GV44" s="133" t="n"/>
      <c r="GW44" s="134" t="n"/>
      <c r="GX44" s="133" t="n"/>
      <c r="GY44" s="134" t="n"/>
      <c r="GZ44" s="133" t="n"/>
      <c r="HA44" s="134" t="n"/>
      <c r="HB44" s="194" t="n"/>
      <c r="HC44">
        <f>SUMIFS($G44:$HB44,$G$46:$HB$46,"&gt;="&amp;$HD$1,$G$46:$HB$46,"&lt;="&amp;$HD$2,$G$29:$HB$29,"&lt;&gt;ملاحظات",$G$28:$HB$28,"&gt;0")</f>
        <v>0</v>
      </c>
      <c r="HD44">
        <f>SUMIFS($G$28:$HB$28,$G$46:$HB$46,"&gt;="&amp;$HD$1,$G$46:$HB$46,"&lt;="&amp;$HD$2,$G$29:$HB$29,"&lt;&gt;ملاحظات",$G44:$HB44,"&gt;=0")</f>
        <v>0</v>
      </c>
    </row>
    <row r="45" ht="7.5" customHeight="1"/>
    <row r="46" hidden="1">
      <c r="G46" t="n">
        <v>1</v>
      </c>
      <c r="H46" t="n">
        <v>1</v>
      </c>
      <c r="I46" t="n">
        <v>1</v>
      </c>
      <c r="J46" t="n">
        <v>1</v>
      </c>
      <c r="K46" t="n">
        <v>1</v>
      </c>
      <c r="L46" t="n">
        <v>1</v>
      </c>
      <c r="M46" t="n">
        <v>1</v>
      </c>
      <c r="N46" t="n">
        <v>1</v>
      </c>
      <c r="O46" t="n">
        <v>1</v>
      </c>
      <c r="P46" t="n">
        <v>1</v>
      </c>
      <c r="Q46" t="n">
        <v>1</v>
      </c>
      <c r="R46" t="n">
        <v>1</v>
      </c>
      <c r="S46" t="n">
        <v>1</v>
      </c>
      <c r="T46" t="n">
        <v>1</v>
      </c>
      <c r="U46" t="n">
        <v>1</v>
      </c>
      <c r="V46" t="n">
        <v>1</v>
      </c>
      <c r="W46" t="n">
        <v>1</v>
      </c>
      <c r="X46" t="n">
        <v>2</v>
      </c>
      <c r="Y46" t="n">
        <v>2</v>
      </c>
      <c r="Z46" t="n">
        <v>2</v>
      </c>
      <c r="AA46" t="n">
        <v>2</v>
      </c>
      <c r="AB46" t="n">
        <v>2</v>
      </c>
      <c r="AC46" t="n">
        <v>2</v>
      </c>
      <c r="AD46" t="n">
        <v>2</v>
      </c>
      <c r="AE46" t="n">
        <v>2</v>
      </c>
      <c r="AF46" t="n">
        <v>2</v>
      </c>
      <c r="AG46" t="n">
        <v>2</v>
      </c>
      <c r="AH46" t="n">
        <v>2</v>
      </c>
      <c r="AI46" t="n">
        <v>2</v>
      </c>
      <c r="AJ46" t="n">
        <v>2</v>
      </c>
      <c r="AK46" t="n">
        <v>2</v>
      </c>
      <c r="AL46" t="n">
        <v>2</v>
      </c>
      <c r="AM46" t="n">
        <v>2</v>
      </c>
      <c r="AN46" t="n">
        <v>2</v>
      </c>
      <c r="AO46" t="n">
        <v>3</v>
      </c>
      <c r="AP46" t="n">
        <v>3</v>
      </c>
      <c r="AQ46" t="n">
        <v>3</v>
      </c>
      <c r="AR46" t="n">
        <v>3</v>
      </c>
      <c r="AS46" t="n">
        <v>3</v>
      </c>
      <c r="AT46" t="n">
        <v>3</v>
      </c>
      <c r="AU46" t="n">
        <v>3</v>
      </c>
      <c r="AV46" t="n">
        <v>3</v>
      </c>
      <c r="AW46" t="n">
        <v>3</v>
      </c>
      <c r="AX46" t="n">
        <v>3</v>
      </c>
      <c r="AY46" t="n">
        <v>3</v>
      </c>
      <c r="AZ46" t="n">
        <v>3</v>
      </c>
      <c r="BA46" t="n">
        <v>3</v>
      </c>
      <c r="BB46" t="n">
        <v>3</v>
      </c>
      <c r="BC46" t="n">
        <v>3</v>
      </c>
      <c r="BD46" t="n">
        <v>3</v>
      </c>
      <c r="BE46" t="n">
        <v>3</v>
      </c>
      <c r="BF46" t="n">
        <v>4</v>
      </c>
      <c r="BG46" t="n">
        <v>4</v>
      </c>
      <c r="BH46" t="n">
        <v>4</v>
      </c>
      <c r="BI46" t="n">
        <v>4</v>
      </c>
      <c r="BJ46" t="n">
        <v>4</v>
      </c>
      <c r="BK46" t="n">
        <v>4</v>
      </c>
      <c r="BL46" t="n">
        <v>4</v>
      </c>
      <c r="BM46" t="n">
        <v>4</v>
      </c>
      <c r="BN46" t="n">
        <v>4</v>
      </c>
      <c r="BO46" t="n">
        <v>4</v>
      </c>
      <c r="BP46" t="n">
        <v>4</v>
      </c>
      <c r="BQ46" t="n">
        <v>4</v>
      </c>
      <c r="BR46" t="n">
        <v>4</v>
      </c>
      <c r="BS46" t="n">
        <v>4</v>
      </c>
      <c r="BT46" t="n">
        <v>4</v>
      </c>
      <c r="BU46" t="n">
        <v>4</v>
      </c>
      <c r="BV46" t="n">
        <v>4</v>
      </c>
      <c r="BW46" t="n">
        <v>5</v>
      </c>
      <c r="BX46" t="n">
        <v>5</v>
      </c>
      <c r="BY46" t="n">
        <v>5</v>
      </c>
      <c r="BZ46" t="n">
        <v>5</v>
      </c>
      <c r="CA46" t="n">
        <v>5</v>
      </c>
      <c r="CB46" t="n">
        <v>5</v>
      </c>
      <c r="CC46" t="n">
        <v>5</v>
      </c>
      <c r="CD46" t="n">
        <v>5</v>
      </c>
      <c r="CE46" t="n">
        <v>5</v>
      </c>
      <c r="CF46" t="n">
        <v>5</v>
      </c>
      <c r="CG46" t="n">
        <v>5</v>
      </c>
      <c r="CH46" t="n">
        <v>5</v>
      </c>
      <c r="CI46" t="n">
        <v>5</v>
      </c>
      <c r="CJ46" t="n">
        <v>5</v>
      </c>
      <c r="CK46" t="n">
        <v>5</v>
      </c>
      <c r="CL46" t="n">
        <v>5</v>
      </c>
      <c r="CM46" t="n">
        <v>5</v>
      </c>
      <c r="CN46" t="n">
        <v>6</v>
      </c>
      <c r="CO46" t="n">
        <v>6</v>
      </c>
      <c r="CP46" t="n">
        <v>6</v>
      </c>
      <c r="CQ46" t="n">
        <v>6</v>
      </c>
      <c r="CR46" t="n">
        <v>6</v>
      </c>
      <c r="CS46" t="n">
        <v>6</v>
      </c>
      <c r="CT46" t="n">
        <v>6</v>
      </c>
      <c r="CU46" t="n">
        <v>6</v>
      </c>
      <c r="CV46" t="n">
        <v>6</v>
      </c>
      <c r="CW46" t="n">
        <v>6</v>
      </c>
      <c r="CX46" t="n">
        <v>6</v>
      </c>
      <c r="CY46" t="n">
        <v>6</v>
      </c>
      <c r="CZ46" t="n">
        <v>6</v>
      </c>
      <c r="DA46" t="n">
        <v>6</v>
      </c>
      <c r="DB46" t="n">
        <v>6</v>
      </c>
      <c r="DC46" t="n">
        <v>6</v>
      </c>
      <c r="DD46" t="n">
        <v>6</v>
      </c>
      <c r="DE46" t="n">
        <v>7</v>
      </c>
      <c r="DF46" t="n">
        <v>7</v>
      </c>
      <c r="DG46" t="n">
        <v>7</v>
      </c>
      <c r="DH46" t="n">
        <v>7</v>
      </c>
      <c r="DI46" t="n">
        <v>7</v>
      </c>
      <c r="DJ46" t="n">
        <v>7</v>
      </c>
      <c r="DK46" t="n">
        <v>7</v>
      </c>
      <c r="DL46" t="n">
        <v>7</v>
      </c>
      <c r="DM46" t="n">
        <v>7</v>
      </c>
      <c r="DN46" t="n">
        <v>7</v>
      </c>
      <c r="DO46" t="n">
        <v>7</v>
      </c>
      <c r="DP46" t="n">
        <v>7</v>
      </c>
      <c r="DQ46" t="n">
        <v>7</v>
      </c>
      <c r="DR46" t="n">
        <v>7</v>
      </c>
      <c r="DS46" t="n">
        <v>7</v>
      </c>
      <c r="DT46" t="n">
        <v>7</v>
      </c>
      <c r="DU46" t="n">
        <v>7</v>
      </c>
      <c r="DV46" t="n">
        <v>8</v>
      </c>
      <c r="DW46" t="n">
        <v>8</v>
      </c>
      <c r="DX46" t="n">
        <v>8</v>
      </c>
      <c r="DY46" t="n">
        <v>8</v>
      </c>
      <c r="DZ46" t="n">
        <v>8</v>
      </c>
      <c r="EA46" t="n">
        <v>8</v>
      </c>
      <c r="EB46" t="n">
        <v>8</v>
      </c>
      <c r="EC46" t="n">
        <v>8</v>
      </c>
      <c r="ED46" t="n">
        <v>8</v>
      </c>
      <c r="EE46" t="n">
        <v>8</v>
      </c>
      <c r="EF46" t="n">
        <v>8</v>
      </c>
      <c r="EG46" t="n">
        <v>8</v>
      </c>
      <c r="EH46" t="n">
        <v>8</v>
      </c>
      <c r="EI46" t="n">
        <v>8</v>
      </c>
      <c r="EJ46" t="n">
        <v>8</v>
      </c>
      <c r="EK46" t="n">
        <v>8</v>
      </c>
      <c r="EL46" t="n">
        <v>8</v>
      </c>
      <c r="EM46" t="n">
        <v>9</v>
      </c>
      <c r="EN46" t="n">
        <v>9</v>
      </c>
      <c r="EO46" t="n">
        <v>9</v>
      </c>
      <c r="EP46" t="n">
        <v>9</v>
      </c>
      <c r="EQ46" t="n">
        <v>9</v>
      </c>
      <c r="ER46" t="n">
        <v>9</v>
      </c>
      <c r="ES46" t="n">
        <v>9</v>
      </c>
      <c r="ET46" t="n">
        <v>9</v>
      </c>
      <c r="EU46" t="n">
        <v>9</v>
      </c>
      <c r="EV46" t="n">
        <v>9</v>
      </c>
      <c r="EW46" t="n">
        <v>9</v>
      </c>
      <c r="EX46" t="n">
        <v>9</v>
      </c>
      <c r="EY46" t="n">
        <v>9</v>
      </c>
      <c r="EZ46" t="n">
        <v>9</v>
      </c>
      <c r="FA46" t="n">
        <v>9</v>
      </c>
      <c r="FB46" t="n">
        <v>9</v>
      </c>
      <c r="FC46" t="n">
        <v>9</v>
      </c>
      <c r="FD46" t="n">
        <v>10</v>
      </c>
      <c r="FE46" t="n">
        <v>10</v>
      </c>
      <c r="FF46" t="n">
        <v>10</v>
      </c>
      <c r="FG46" t="n">
        <v>10</v>
      </c>
      <c r="FH46" t="n">
        <v>10</v>
      </c>
      <c r="FI46" t="n">
        <v>10</v>
      </c>
      <c r="FJ46" t="n">
        <v>10</v>
      </c>
      <c r="FK46" t="n">
        <v>10</v>
      </c>
      <c r="FL46" t="n">
        <v>10</v>
      </c>
      <c r="FM46" t="n">
        <v>10</v>
      </c>
      <c r="FN46" t="n">
        <v>10</v>
      </c>
      <c r="FO46" t="n">
        <v>10</v>
      </c>
      <c r="FP46" t="n">
        <v>10</v>
      </c>
      <c r="FQ46" t="n">
        <v>10</v>
      </c>
      <c r="FR46" t="n">
        <v>10</v>
      </c>
      <c r="FS46" t="n">
        <v>10</v>
      </c>
      <c r="FT46" t="n">
        <v>10</v>
      </c>
      <c r="FU46" t="n">
        <v>11</v>
      </c>
      <c r="FV46" t="n">
        <v>11</v>
      </c>
      <c r="FW46" t="n">
        <v>11</v>
      </c>
      <c r="FX46" t="n">
        <v>11</v>
      </c>
      <c r="FY46" t="n">
        <v>11</v>
      </c>
      <c r="FZ46" t="n">
        <v>11</v>
      </c>
      <c r="GA46" t="n">
        <v>11</v>
      </c>
      <c r="GB46" t="n">
        <v>11</v>
      </c>
      <c r="GC46" t="n">
        <v>11</v>
      </c>
      <c r="GD46" t="n">
        <v>11</v>
      </c>
      <c r="GE46" t="n">
        <v>11</v>
      </c>
      <c r="GF46" t="n">
        <v>11</v>
      </c>
      <c r="GG46" t="n">
        <v>11</v>
      </c>
      <c r="GH46" t="n">
        <v>11</v>
      </c>
      <c r="GI46" t="n">
        <v>11</v>
      </c>
      <c r="GJ46" t="n">
        <v>11</v>
      </c>
      <c r="GK46" t="n">
        <v>11</v>
      </c>
      <c r="GL46" t="n">
        <v>12</v>
      </c>
      <c r="GM46" t="n">
        <v>12</v>
      </c>
      <c r="GN46" t="n">
        <v>12</v>
      </c>
      <c r="GO46" t="n">
        <v>12</v>
      </c>
      <c r="GP46" t="n">
        <v>12</v>
      </c>
      <c r="GQ46" t="n">
        <v>12</v>
      </c>
      <c r="GR46" t="n">
        <v>12</v>
      </c>
      <c r="GS46" t="n">
        <v>12</v>
      </c>
      <c r="GT46" t="n">
        <v>12</v>
      </c>
      <c r="GU46" t="n">
        <v>12</v>
      </c>
      <c r="GV46" t="n">
        <v>12</v>
      </c>
      <c r="GW46" t="n">
        <v>12</v>
      </c>
      <c r="GX46" t="n">
        <v>12</v>
      </c>
      <c r="GY46" t="n">
        <v>12</v>
      </c>
      <c r="GZ46" t="n">
        <v>12</v>
      </c>
      <c r="HA46" t="n">
        <v>12</v>
      </c>
      <c r="HB46" t="n">
        <v>12</v>
      </c>
    </row>
    <row r="47" hidden="1">
      <c r="G47" t="n">
        <v>1</v>
      </c>
      <c r="H47" t="n">
        <v>1</v>
      </c>
      <c r="I47" t="n">
        <v>2</v>
      </c>
      <c r="J47" t="n">
        <v>2</v>
      </c>
      <c r="K47" t="n">
        <v>3</v>
      </c>
      <c r="L47" t="n">
        <v>3</v>
      </c>
      <c r="M47" t="n">
        <v>4</v>
      </c>
      <c r="N47" t="n">
        <v>4</v>
      </c>
      <c r="O47" t="n">
        <v>5</v>
      </c>
      <c r="P47" t="n">
        <v>5</v>
      </c>
      <c r="Q47" t="n">
        <v>6</v>
      </c>
      <c r="R47" t="n">
        <v>6</v>
      </c>
      <c r="S47" t="n">
        <v>7</v>
      </c>
      <c r="T47" t="n">
        <v>7</v>
      </c>
      <c r="U47" t="n">
        <v>8</v>
      </c>
      <c r="V47" t="n">
        <v>8</v>
      </c>
      <c r="W47" t="n">
        <v>0</v>
      </c>
      <c r="X47" t="n">
        <v>9</v>
      </c>
      <c r="Y47" t="n">
        <v>9</v>
      </c>
      <c r="Z47" t="n">
        <v>10</v>
      </c>
      <c r="AA47" t="n">
        <v>10</v>
      </c>
      <c r="AB47" t="n">
        <v>11</v>
      </c>
      <c r="AC47" t="n">
        <v>11</v>
      </c>
      <c r="AD47" t="n">
        <v>12</v>
      </c>
      <c r="AE47" t="n">
        <v>12</v>
      </c>
      <c r="AF47" t="n">
        <v>13</v>
      </c>
      <c r="AG47" t="n">
        <v>13</v>
      </c>
      <c r="AH47" t="n">
        <v>14</v>
      </c>
      <c r="AI47" t="n">
        <v>14</v>
      </c>
      <c r="AJ47" t="n">
        <v>15</v>
      </c>
      <c r="AK47" t="n">
        <v>15</v>
      </c>
      <c r="AL47" t="n">
        <v>16</v>
      </c>
      <c r="AM47" t="n">
        <v>16</v>
      </c>
      <c r="AN47" t="n">
        <v>0</v>
      </c>
      <c r="AO47" t="n">
        <v>17</v>
      </c>
      <c r="AP47" t="n">
        <v>17</v>
      </c>
      <c r="AQ47" t="n">
        <v>18</v>
      </c>
      <c r="AR47" t="n">
        <v>18</v>
      </c>
      <c r="AS47" t="n">
        <v>19</v>
      </c>
      <c r="AT47" t="n">
        <v>19</v>
      </c>
      <c r="AU47" t="n">
        <v>20</v>
      </c>
      <c r="AV47" t="n">
        <v>20</v>
      </c>
      <c r="AW47" t="n">
        <v>21</v>
      </c>
      <c r="AX47" t="n">
        <v>21</v>
      </c>
      <c r="AY47" t="n">
        <v>22</v>
      </c>
      <c r="AZ47" t="n">
        <v>22</v>
      </c>
      <c r="BA47" t="n">
        <v>23</v>
      </c>
      <c r="BB47" t="n">
        <v>23</v>
      </c>
      <c r="BC47" t="n">
        <v>24</v>
      </c>
      <c r="BD47" t="n">
        <v>24</v>
      </c>
      <c r="BE47" t="n">
        <v>0</v>
      </c>
      <c r="BF47" t="n">
        <v>25</v>
      </c>
      <c r="BG47" t="n">
        <v>25</v>
      </c>
      <c r="BH47" t="n">
        <v>26</v>
      </c>
      <c r="BI47" t="n">
        <v>26</v>
      </c>
      <c r="BJ47" t="n">
        <v>27</v>
      </c>
      <c r="BK47" t="n">
        <v>27</v>
      </c>
      <c r="BL47" t="n">
        <v>28</v>
      </c>
      <c r="BM47" t="n">
        <v>28</v>
      </c>
      <c r="BN47" t="n">
        <v>29</v>
      </c>
      <c r="BO47" t="n">
        <v>29</v>
      </c>
      <c r="BP47" t="n">
        <v>30</v>
      </c>
      <c r="BQ47" t="n">
        <v>30</v>
      </c>
      <c r="BR47" t="n">
        <v>31</v>
      </c>
      <c r="BS47" t="n">
        <v>31</v>
      </c>
      <c r="BT47" t="n">
        <v>32</v>
      </c>
      <c r="BU47" t="n">
        <v>32</v>
      </c>
      <c r="BV47" t="n">
        <v>0</v>
      </c>
      <c r="BW47" t="n">
        <v>33</v>
      </c>
      <c r="BX47" t="n">
        <v>33</v>
      </c>
      <c r="BY47" t="n">
        <v>34</v>
      </c>
      <c r="BZ47" t="n">
        <v>34</v>
      </c>
      <c r="CA47" t="n">
        <v>35</v>
      </c>
      <c r="CB47" t="n">
        <v>35</v>
      </c>
      <c r="CC47" t="n">
        <v>36</v>
      </c>
      <c r="CD47" t="n">
        <v>36</v>
      </c>
      <c r="CE47" t="n">
        <v>37</v>
      </c>
      <c r="CF47" t="n">
        <v>37</v>
      </c>
      <c r="CG47" t="n">
        <v>38</v>
      </c>
      <c r="CH47" t="n">
        <v>38</v>
      </c>
      <c r="CI47" t="n">
        <v>39</v>
      </c>
      <c r="CJ47" t="n">
        <v>39</v>
      </c>
      <c r="CK47" t="n">
        <v>40</v>
      </c>
      <c r="CL47" t="n">
        <v>40</v>
      </c>
      <c r="CM47" t="n">
        <v>0</v>
      </c>
      <c r="CN47" t="n">
        <v>41</v>
      </c>
      <c r="CO47" t="n">
        <v>41</v>
      </c>
      <c r="CP47" t="n">
        <v>42</v>
      </c>
      <c r="CQ47" t="n">
        <v>42</v>
      </c>
      <c r="CR47" t="n">
        <v>43</v>
      </c>
      <c r="CS47" t="n">
        <v>43</v>
      </c>
      <c r="CT47" t="n">
        <v>44</v>
      </c>
      <c r="CU47" t="n">
        <v>44</v>
      </c>
      <c r="CV47" t="n">
        <v>45</v>
      </c>
      <c r="CW47" t="n">
        <v>45</v>
      </c>
      <c r="CX47" t="n">
        <v>46</v>
      </c>
      <c r="CY47" t="n">
        <v>46</v>
      </c>
      <c r="CZ47" t="n">
        <v>47</v>
      </c>
      <c r="DA47" t="n">
        <v>47</v>
      </c>
      <c r="DB47" t="n">
        <v>48</v>
      </c>
      <c r="DC47" t="n">
        <v>48</v>
      </c>
      <c r="DD47" t="n">
        <v>0</v>
      </c>
      <c r="DE47" t="n">
        <v>49</v>
      </c>
      <c r="DF47" t="n">
        <v>49</v>
      </c>
      <c r="DG47" t="n">
        <v>50</v>
      </c>
      <c r="DH47" t="n">
        <v>50</v>
      </c>
      <c r="DI47" t="n">
        <v>51</v>
      </c>
      <c r="DJ47" t="n">
        <v>51</v>
      </c>
      <c r="DK47" t="n">
        <v>52</v>
      </c>
      <c r="DL47" t="n">
        <v>52</v>
      </c>
      <c r="DM47" t="n">
        <v>53</v>
      </c>
      <c r="DN47" t="n">
        <v>53</v>
      </c>
      <c r="DO47" t="n">
        <v>54</v>
      </c>
      <c r="DP47" t="n">
        <v>54</v>
      </c>
      <c r="DQ47" t="n">
        <v>55</v>
      </c>
      <c r="DR47" t="n">
        <v>55</v>
      </c>
      <c r="DS47" t="n">
        <v>56</v>
      </c>
      <c r="DT47" t="n">
        <v>56</v>
      </c>
      <c r="DU47" t="n">
        <v>0</v>
      </c>
      <c r="DV47" t="n">
        <v>57</v>
      </c>
      <c r="DW47" t="n">
        <v>57</v>
      </c>
      <c r="DX47" t="n">
        <v>58</v>
      </c>
      <c r="DY47" t="n">
        <v>58</v>
      </c>
      <c r="DZ47" t="n">
        <v>59</v>
      </c>
      <c r="EA47" t="n">
        <v>59</v>
      </c>
      <c r="EB47" t="n">
        <v>60</v>
      </c>
      <c r="EC47" t="n">
        <v>60</v>
      </c>
      <c r="ED47" t="n">
        <v>61</v>
      </c>
      <c r="EE47" t="n">
        <v>61</v>
      </c>
      <c r="EF47" t="n">
        <v>62</v>
      </c>
      <c r="EG47" t="n">
        <v>62</v>
      </c>
      <c r="EH47" t="n">
        <v>63</v>
      </c>
      <c r="EI47" t="n">
        <v>63</v>
      </c>
      <c r="EJ47" t="n">
        <v>64</v>
      </c>
      <c r="EK47" t="n">
        <v>64</v>
      </c>
      <c r="EL47" t="n">
        <v>0</v>
      </c>
      <c r="EM47" t="n">
        <v>65</v>
      </c>
      <c r="EN47" t="n">
        <v>65</v>
      </c>
      <c r="EO47" t="n">
        <v>66</v>
      </c>
      <c r="EP47" t="n">
        <v>66</v>
      </c>
      <c r="EQ47" t="n">
        <v>67</v>
      </c>
      <c r="ER47" t="n">
        <v>67</v>
      </c>
      <c r="ES47" t="n">
        <v>68</v>
      </c>
      <c r="ET47" t="n">
        <v>68</v>
      </c>
      <c r="EU47" t="n">
        <v>69</v>
      </c>
      <c r="EV47" t="n">
        <v>69</v>
      </c>
      <c r="EW47" t="n">
        <v>70</v>
      </c>
      <c r="EX47" t="n">
        <v>70</v>
      </c>
      <c r="EY47" t="n">
        <v>71</v>
      </c>
      <c r="EZ47" t="n">
        <v>71</v>
      </c>
      <c r="FA47" t="n">
        <v>72</v>
      </c>
      <c r="FB47" t="n">
        <v>72</v>
      </c>
      <c r="FC47" t="n">
        <v>0</v>
      </c>
      <c r="FD47" t="n">
        <v>73</v>
      </c>
      <c r="FE47" t="n">
        <v>73</v>
      </c>
      <c r="FF47" t="n">
        <v>74</v>
      </c>
      <c r="FG47" t="n">
        <v>74</v>
      </c>
      <c r="FH47" t="n">
        <v>75</v>
      </c>
      <c r="FI47" t="n">
        <v>75</v>
      </c>
      <c r="FJ47" t="n">
        <v>76</v>
      </c>
      <c r="FK47" t="n">
        <v>76</v>
      </c>
      <c r="FL47" t="n">
        <v>77</v>
      </c>
      <c r="FM47" t="n">
        <v>77</v>
      </c>
      <c r="FN47" t="n">
        <v>78</v>
      </c>
      <c r="FO47" t="n">
        <v>78</v>
      </c>
      <c r="FP47" t="n">
        <v>79</v>
      </c>
      <c r="FQ47" t="n">
        <v>79</v>
      </c>
      <c r="FR47" t="n">
        <v>80</v>
      </c>
      <c r="FS47" t="n">
        <v>80</v>
      </c>
      <c r="FT47" t="n">
        <v>0</v>
      </c>
      <c r="FU47" t="n">
        <v>81</v>
      </c>
      <c r="FV47" t="n">
        <v>81</v>
      </c>
      <c r="FW47" t="n">
        <v>82</v>
      </c>
      <c r="FX47" t="n">
        <v>82</v>
      </c>
      <c r="FY47" t="n">
        <v>83</v>
      </c>
      <c r="FZ47" t="n">
        <v>83</v>
      </c>
      <c r="GA47" t="n">
        <v>84</v>
      </c>
      <c r="GB47" t="n">
        <v>84</v>
      </c>
      <c r="GC47" t="n">
        <v>85</v>
      </c>
      <c r="GD47" t="n">
        <v>85</v>
      </c>
      <c r="GE47" t="n">
        <v>86</v>
      </c>
      <c r="GF47" t="n">
        <v>86</v>
      </c>
      <c r="GG47" t="n">
        <v>87</v>
      </c>
      <c r="GH47" t="n">
        <v>87</v>
      </c>
      <c r="GI47" t="n">
        <v>88</v>
      </c>
      <c r="GJ47" t="n">
        <v>88</v>
      </c>
      <c r="GK47" t="n">
        <v>0</v>
      </c>
      <c r="GL47" t="n">
        <v>89</v>
      </c>
      <c r="GM47" t="n">
        <v>89</v>
      </c>
      <c r="GN47" t="n">
        <v>90</v>
      </c>
      <c r="GO47" t="n">
        <v>90</v>
      </c>
      <c r="GP47" t="n">
        <v>91</v>
      </c>
      <c r="GQ47" t="n">
        <v>91</v>
      </c>
      <c r="GR47" t="n">
        <v>92</v>
      </c>
      <c r="GS47" t="n">
        <v>92</v>
      </c>
      <c r="GT47" t="n">
        <v>93</v>
      </c>
      <c r="GU47" t="n">
        <v>93</v>
      </c>
      <c r="GV47" t="n">
        <v>94</v>
      </c>
      <c r="GW47" t="n">
        <v>94</v>
      </c>
      <c r="GX47" t="n">
        <v>95</v>
      </c>
      <c r="GY47" t="n">
        <v>95</v>
      </c>
      <c r="GZ47" t="n">
        <v>96</v>
      </c>
      <c r="HA47" t="n">
        <v>96</v>
      </c>
      <c r="HB47" t="n">
        <v>0</v>
      </c>
    </row>
  </sheetData>
  <mergeCells count="340">
    <mergeCell ref="BW1:CM1"/>
    <mergeCell ref="X2:Y2"/>
    <mergeCell ref="FY2:FZ2"/>
    <mergeCell ref="FU1:GK1"/>
    <mergeCell ref="DV2:DW2"/>
    <mergeCell ref="CZ27:DA27"/>
    <mergeCell ref="DB27:DC27"/>
    <mergeCell ref="BH2:BI2"/>
    <mergeCell ref="BJ2:BK2"/>
    <mergeCell ref="EB3:EC3"/>
    <mergeCell ref="ED3:EE3"/>
    <mergeCell ref="FD2:FE2"/>
    <mergeCell ref="FF2:FG2"/>
    <mergeCell ref="AQ2:AR2"/>
    <mergeCell ref="AS2:AT2"/>
    <mergeCell ref="O27:P27"/>
    <mergeCell ref="GL3:GM3"/>
    <mergeCell ref="Q27:R27"/>
    <mergeCell ref="FN3:FO3"/>
    <mergeCell ref="CM27:CM28"/>
    <mergeCell ref="GR2:GS2"/>
    <mergeCell ref="A28:B28"/>
    <mergeCell ref="CC2:CD2"/>
    <mergeCell ref="CE2:CF2"/>
    <mergeCell ref="EW3:EX3"/>
    <mergeCell ref="GA2:GB2"/>
    <mergeCell ref="DI3:DJ3"/>
    <mergeCell ref="GL1:HB1"/>
    <mergeCell ref="AJ27:AK27"/>
    <mergeCell ref="DO2:DP2"/>
    <mergeCell ref="AL27:AM27"/>
    <mergeCell ref="DQ2:DR2"/>
    <mergeCell ref="GI3:GJ3"/>
    <mergeCell ref="CX2:CY2"/>
    <mergeCell ref="EM3:EN3"/>
    <mergeCell ref="CZ2:DA2"/>
    <mergeCell ref="X3:Y3"/>
    <mergeCell ref="Z3:AA3"/>
    <mergeCell ref="AF2:AG2"/>
    <mergeCell ref="EJ2:EK2"/>
    <mergeCell ref="FY3:FZ3"/>
    <mergeCell ref="BJ3:BK3"/>
    <mergeCell ref="BL3:BM3"/>
    <mergeCell ref="EM1:FC1"/>
    <mergeCell ref="X1:AN1"/>
    <mergeCell ref="HB27:HB28"/>
    <mergeCell ref="FF3:FG3"/>
    <mergeCell ref="FP3:FQ3"/>
    <mergeCell ref="FH3:FI3"/>
    <mergeCell ref="BA2:BB2"/>
    <mergeCell ref="BC27:BD27"/>
    <mergeCell ref="BC2:BD2"/>
    <mergeCell ref="A1:B1"/>
    <mergeCell ref="GR3:GS3"/>
    <mergeCell ref="GT3:GU3"/>
    <mergeCell ref="M2:N2"/>
    <mergeCell ref="CE3:CF3"/>
    <mergeCell ref="CG3:CH3"/>
    <mergeCell ref="CK2:CL2"/>
    <mergeCell ref="C20:F20"/>
    <mergeCell ref="FC27:FC28"/>
    <mergeCell ref="DQ3:DR3"/>
    <mergeCell ref="DS3:DT3"/>
    <mergeCell ref="AN27:AN28"/>
    <mergeCell ref="DK3:DL3"/>
    <mergeCell ref="C22:F22"/>
    <mergeCell ref="AH2:AI2"/>
    <mergeCell ref="FF27:FG27"/>
    <mergeCell ref="AF3:AG3"/>
    <mergeCell ref="A24:B24"/>
    <mergeCell ref="AH3:AI3"/>
    <mergeCell ref="BW27:BX27"/>
    <mergeCell ref="C27:E27"/>
    <mergeCell ref="BR3:BS3"/>
    <mergeCell ref="FN27:FO27"/>
    <mergeCell ref="BA3:BB3"/>
    <mergeCell ref="DG27:DH27"/>
    <mergeCell ref="BC3:BD3"/>
    <mergeCell ref="FT2:FT3"/>
    <mergeCell ref="DI27:DJ27"/>
    <mergeCell ref="M3:N3"/>
    <mergeCell ref="CP27:CQ27"/>
    <mergeCell ref="FC2:FC3"/>
    <mergeCell ref="FU2:FV2"/>
    <mergeCell ref="CR27:CS27"/>
    <mergeCell ref="AF27:AG27"/>
    <mergeCell ref="X27:Y27"/>
    <mergeCell ref="GI27:GJ27"/>
    <mergeCell ref="EB27:EC27"/>
    <mergeCell ref="ED27:EE27"/>
    <mergeCell ref="CN2:CO2"/>
    <mergeCell ref="FP27:FQ27"/>
    <mergeCell ref="BA27:BB27"/>
    <mergeCell ref="BE2:BE3"/>
    <mergeCell ref="BT3:BU3"/>
    <mergeCell ref="K2:L2"/>
    <mergeCell ref="EW27:EX27"/>
    <mergeCell ref="EY27:EZ27"/>
    <mergeCell ref="DG2:DH2"/>
    <mergeCell ref="FH27:FI27"/>
    <mergeCell ref="DI2:DJ2"/>
    <mergeCell ref="EJ27:EK27"/>
    <mergeCell ref="CE27:CF27"/>
    <mergeCell ref="AU2:AV2"/>
    <mergeCell ref="AQ27:AR27"/>
    <mergeCell ref="ES2:ET2"/>
    <mergeCell ref="GT27:GU27"/>
    <mergeCell ref="EU2:EV2"/>
    <mergeCell ref="EM27:EN27"/>
    <mergeCell ref="Z27:AA27"/>
    <mergeCell ref="FW3:FX3"/>
    <mergeCell ref="GC2:GD2"/>
    <mergeCell ref="DO27:DP27"/>
    <mergeCell ref="BP2:BQ2"/>
    <mergeCell ref="BJ27:BK27"/>
    <mergeCell ref="BL27:BM27"/>
    <mergeCell ref="FL2:FM2"/>
    <mergeCell ref="FN2:FO2"/>
    <mergeCell ref="FP2:FQ2"/>
    <mergeCell ref="CN3:CO3"/>
    <mergeCell ref="CP3:CQ3"/>
    <mergeCell ref="DX2:DY2"/>
    <mergeCell ref="DZ2:EA2"/>
    <mergeCell ref="CV27:CW27"/>
    <mergeCell ref="CX27:CY27"/>
    <mergeCell ref="GX2:GY2"/>
    <mergeCell ref="GZ2:HA2"/>
    <mergeCell ref="DX3:DY3"/>
    <mergeCell ref="DZ3:EA3"/>
    <mergeCell ref="CG27:CH27"/>
    <mergeCell ref="K3:L3"/>
    <mergeCell ref="CN1:DD1"/>
    <mergeCell ref="A2:B3"/>
    <mergeCell ref="AO2:AP2"/>
    <mergeCell ref="DQ27:DR27"/>
    <mergeCell ref="AW3:AX3"/>
    <mergeCell ref="AO3:AP3"/>
    <mergeCell ref="AQ3:AR3"/>
    <mergeCell ref="BY2:BZ2"/>
    <mergeCell ref="CA2:CB2"/>
    <mergeCell ref="ES3:ET3"/>
    <mergeCell ref="EU3:EV3"/>
    <mergeCell ref="GE2:GF2"/>
    <mergeCell ref="FW2:FX2"/>
    <mergeCell ref="A23:B23"/>
    <mergeCell ref="AH27:AI27"/>
    <mergeCell ref="AO1:BE1"/>
    <mergeCell ref="GE3:GF3"/>
    <mergeCell ref="GG3:GH3"/>
    <mergeCell ref="DD27:DD28"/>
    <mergeCell ref="CT2:CU2"/>
    <mergeCell ref="CV2:CW2"/>
    <mergeCell ref="C24:F25"/>
    <mergeCell ref="CV3:CW3"/>
    <mergeCell ref="CX3:CY3"/>
    <mergeCell ref="EF2:EG2"/>
    <mergeCell ref="EH2:EI2"/>
    <mergeCell ref="GZ3:HA3"/>
    <mergeCell ref="BF3:BG3"/>
    <mergeCell ref="S2:T2"/>
    <mergeCell ref="BH3:BI3"/>
    <mergeCell ref="U2:V2"/>
    <mergeCell ref="HB2:HB3"/>
    <mergeCell ref="GR27:GS27"/>
    <mergeCell ref="FD3:FE3"/>
    <mergeCell ref="BE27:BE28"/>
    <mergeCell ref="U3:V3"/>
    <mergeCell ref="AY2:AZ2"/>
    <mergeCell ref="FA2:FB2"/>
    <mergeCell ref="CA3:CB3"/>
    <mergeCell ref="CC3:CD3"/>
    <mergeCell ref="FW27:FX27"/>
    <mergeCell ref="FA3:FB3"/>
    <mergeCell ref="CT27:CU27"/>
    <mergeCell ref="DM3:DN3"/>
    <mergeCell ref="DO3:DP3"/>
    <mergeCell ref="BR2:BS2"/>
    <mergeCell ref="FD27:FE27"/>
    <mergeCell ref="W2:W3"/>
    <mergeCell ref="FT27:FT28"/>
    <mergeCell ref="DU2:DU3"/>
    <mergeCell ref="EH3:EI3"/>
    <mergeCell ref="EJ3:EK3"/>
    <mergeCell ref="FY27:FZ27"/>
    <mergeCell ref="FR3:FS3"/>
    <mergeCell ref="AY3:AZ3"/>
    <mergeCell ref="DE27:DF27"/>
    <mergeCell ref="ES27:ET27"/>
    <mergeCell ref="C28:F28"/>
    <mergeCell ref="CN27:CO27"/>
    <mergeCell ref="GE27:GF27"/>
    <mergeCell ref="GG27:GH27"/>
    <mergeCell ref="DX27:DY27"/>
    <mergeCell ref="GK2:GK3"/>
    <mergeCell ref="DZ27:EA27"/>
    <mergeCell ref="K27:L27"/>
    <mergeCell ref="M27:N27"/>
    <mergeCell ref="GL2:GM2"/>
    <mergeCell ref="GN2:GO2"/>
    <mergeCell ref="FL27:FM27"/>
    <mergeCell ref="AW27:AX27"/>
    <mergeCell ref="AO27:AP27"/>
    <mergeCell ref="AY27:AZ27"/>
    <mergeCell ref="BF1:BV1"/>
    <mergeCell ref="GZ27:HA27"/>
    <mergeCell ref="GN3:GO3"/>
    <mergeCell ref="G2:H2"/>
    <mergeCell ref="GP3:GQ3"/>
    <mergeCell ref="I2:J2"/>
    <mergeCell ref="EU27:EV27"/>
    <mergeCell ref="FD1:FT1"/>
    <mergeCell ref="DE2:DF2"/>
    <mergeCell ref="CK27:CL27"/>
    <mergeCell ref="GT2:GU2"/>
    <mergeCell ref="BR27:BS27"/>
    <mergeCell ref="BV2:BV3"/>
    <mergeCell ref="EM2:EN2"/>
    <mergeCell ref="BT27:BU27"/>
    <mergeCell ref="EO2:EP2"/>
    <mergeCell ref="EQ2:ER2"/>
    <mergeCell ref="Z2:AA2"/>
    <mergeCell ref="AB2:AC2"/>
    <mergeCell ref="AD2:AE2"/>
    <mergeCell ref="FU3:FV3"/>
    <mergeCell ref="FA27:FB27"/>
    <mergeCell ref="BL2:BM2"/>
    <mergeCell ref="BN2:BO2"/>
    <mergeCell ref="BF2:BG2"/>
    <mergeCell ref="BH27:BI27"/>
    <mergeCell ref="FH2:FI2"/>
    <mergeCell ref="FJ2:FK2"/>
    <mergeCell ref="AW2:AX2"/>
    <mergeCell ref="S27:T27"/>
    <mergeCell ref="U27:V27"/>
    <mergeCell ref="GV2:GW2"/>
    <mergeCell ref="CG2:CH2"/>
    <mergeCell ref="DV3:DW3"/>
    <mergeCell ref="CI2:CJ2"/>
    <mergeCell ref="CA27:CB27"/>
    <mergeCell ref="CC27:CD27"/>
    <mergeCell ref="G3:H3"/>
    <mergeCell ref="I3:J3"/>
    <mergeCell ref="DE3:DF3"/>
    <mergeCell ref="DS2:DT2"/>
    <mergeCell ref="DK2:DL2"/>
    <mergeCell ref="DM2:DN2"/>
    <mergeCell ref="AS3:AT3"/>
    <mergeCell ref="AU3:AV3"/>
    <mergeCell ref="DV1:EL1"/>
    <mergeCell ref="G1:W1"/>
    <mergeCell ref="GK27:GK28"/>
    <mergeCell ref="EO3:EP3"/>
    <mergeCell ref="DB2:DC2"/>
    <mergeCell ref="EQ3:ER3"/>
    <mergeCell ref="AB3:AC3"/>
    <mergeCell ref="AD3:AE3"/>
    <mergeCell ref="DE1:DU1"/>
    <mergeCell ref="AJ2:AK2"/>
    <mergeCell ref="AL2:AM2"/>
    <mergeCell ref="GA3:GB3"/>
    <mergeCell ref="GC3:GD3"/>
    <mergeCell ref="EH27:EI27"/>
    <mergeCell ref="BN3:BO3"/>
    <mergeCell ref="BP3:BQ3"/>
    <mergeCell ref="CR2:CS2"/>
    <mergeCell ref="FJ3:FK3"/>
    <mergeCell ref="FL3:FM3"/>
    <mergeCell ref="A27:B27"/>
    <mergeCell ref="FR2:FS2"/>
    <mergeCell ref="EL27:EL28"/>
    <mergeCell ref="CZ3:DA3"/>
    <mergeCell ref="CR3:CS3"/>
    <mergeCell ref="DB3:DC3"/>
    <mergeCell ref="W27:W28"/>
    <mergeCell ref="CT3:CU3"/>
    <mergeCell ref="ED2:EE2"/>
    <mergeCell ref="A22:B22"/>
    <mergeCell ref="GV3:GW3"/>
    <mergeCell ref="O2:P2"/>
    <mergeCell ref="GX3:GY3"/>
    <mergeCell ref="Q2:R2"/>
    <mergeCell ref="DU27:DU28"/>
    <mergeCell ref="GL27:GM27"/>
    <mergeCell ref="CI3:CJ3"/>
    <mergeCell ref="GN27:GO27"/>
    <mergeCell ref="C1:F3"/>
    <mergeCell ref="CK3:CL3"/>
    <mergeCell ref="O3:P3"/>
    <mergeCell ref="Q3:R3"/>
    <mergeCell ref="EW2:EX2"/>
    <mergeCell ref="EY2:EZ2"/>
    <mergeCell ref="BF27:BG27"/>
    <mergeCell ref="BY3:BZ3"/>
    <mergeCell ref="EY3:EZ3"/>
    <mergeCell ref="BV27:BV28"/>
    <mergeCell ref="AJ3:AK3"/>
    <mergeCell ref="AL3:AM3"/>
    <mergeCell ref="BT2:BU2"/>
    <mergeCell ref="GP27:GQ27"/>
    <mergeCell ref="BY27:BZ27"/>
    <mergeCell ref="EL2:EL3"/>
    <mergeCell ref="FR27:FS27"/>
    <mergeCell ref="FJ27:FK27"/>
    <mergeCell ref="DK27:DL27"/>
    <mergeCell ref="DM27:DN27"/>
    <mergeCell ref="EF3:EG3"/>
    <mergeCell ref="S3:T3"/>
    <mergeCell ref="FU27:FV27"/>
    <mergeCell ref="CM2:CM3"/>
    <mergeCell ref="AN2:AN3"/>
    <mergeCell ref="AB27:AC27"/>
    <mergeCell ref="AD27:AE27"/>
    <mergeCell ref="EF27:EG27"/>
    <mergeCell ref="EO27:EP27"/>
    <mergeCell ref="CP2:CQ2"/>
    <mergeCell ref="GA27:GB27"/>
    <mergeCell ref="EB2:EC2"/>
    <mergeCell ref="GC27:GD27"/>
    <mergeCell ref="C23:F23"/>
    <mergeCell ref="DV27:DW27"/>
    <mergeCell ref="G27:H27"/>
    <mergeCell ref="I27:J27"/>
    <mergeCell ref="A25:B25"/>
    <mergeCell ref="CI27:CJ27"/>
    <mergeCell ref="BW2:BX2"/>
    <mergeCell ref="DD2:DD3"/>
    <mergeCell ref="AS27:AT27"/>
    <mergeCell ref="AU27:AV27"/>
    <mergeCell ref="GV27:GW27"/>
    <mergeCell ref="GX27:GY27"/>
    <mergeCell ref="EQ27:ER27"/>
    <mergeCell ref="BW3:BX3"/>
    <mergeCell ref="A20:B20"/>
    <mergeCell ref="GG2:GH2"/>
    <mergeCell ref="GI2:GJ2"/>
    <mergeCell ref="DS27:DT27"/>
    <mergeCell ref="DG3:DH3"/>
    <mergeCell ref="GP2:GQ2"/>
    <mergeCell ref="BN27:BO27"/>
    <mergeCell ref="BP27:BQ27"/>
  </mergeCells>
  <conditionalFormatting sqref="G5:HB19">
    <cfRule type="expression" priority="1" dxfId="1">
      <formula>AND($B5&lt;&gt;"",G$4="ح",G$20&gt;0,N(G5)=0)</formula>
    </cfRule>
  </conditionalFormatting>
  <conditionalFormatting sqref="W5:W19">
    <cfRule type="expression" priority="2" dxfId="2">
      <formula>AND($B5&lt;&gt;"",N($W5)=0,SUMPRODUCT(--$G5:$V5)&gt;0)</formula>
    </cfRule>
  </conditionalFormatting>
  <conditionalFormatting sqref="AN5:AN19">
    <cfRule type="expression" priority="3" dxfId="2">
      <formula>AND($B5&lt;&gt;"",N($AN5)=0,SUMPRODUCT(--$X5:$AM5)&gt;0)</formula>
    </cfRule>
  </conditionalFormatting>
  <conditionalFormatting sqref="BE5:BE19">
    <cfRule type="expression" priority="4" dxfId="2">
      <formula>AND($B5&lt;&gt;"",N($BE5)=0,SUMPRODUCT(--$AO5:$BD5)&gt;0)</formula>
    </cfRule>
  </conditionalFormatting>
  <conditionalFormatting sqref="BV5:BV19">
    <cfRule type="expression" priority="5" dxfId="2">
      <formula>AND($B5&lt;&gt;"",N($BV5)=0,SUMPRODUCT(--$BF5:$BU5)&gt;0)</formula>
    </cfRule>
  </conditionalFormatting>
  <conditionalFormatting sqref="CM5:CM19">
    <cfRule type="expression" priority="6" dxfId="2">
      <formula>AND($B5&lt;&gt;"",N($CM5)=0,SUMPRODUCT(--$BW5:$CL5)&gt;0)</formula>
    </cfRule>
  </conditionalFormatting>
  <conditionalFormatting sqref="DD5:DD19">
    <cfRule type="expression" priority="7" dxfId="2">
      <formula>AND($B5&lt;&gt;"",N($DD5)=0,SUMPRODUCT(--$CN5:$DC5)&gt;0)</formula>
    </cfRule>
  </conditionalFormatting>
  <conditionalFormatting sqref="DU5:DU19">
    <cfRule type="expression" priority="8" dxfId="2">
      <formula>AND($B5&lt;&gt;"",N($DU5)=0,SUMPRODUCT(--$DE5:$DT5)&gt;0)</formula>
    </cfRule>
  </conditionalFormatting>
  <conditionalFormatting sqref="EL5:EL19">
    <cfRule type="expression" priority="9" dxfId="2">
      <formula>AND($B5&lt;&gt;"",N($EL5)=0,SUMPRODUCT(--$DV5:$EK5)&gt;0)</formula>
    </cfRule>
  </conditionalFormatting>
  <conditionalFormatting sqref="FC5:FC19">
    <cfRule type="expression" priority="10" dxfId="2">
      <formula>AND($B5&lt;&gt;"",N($FC5)=0,SUMPRODUCT(--$EM5:$FB5)&gt;0)</formula>
    </cfRule>
  </conditionalFormatting>
  <conditionalFormatting sqref="FT5:FT19">
    <cfRule type="expression" priority="11" dxfId="2">
      <formula>AND($B5&lt;&gt;"",N($FT5)=0,SUMPRODUCT(--$FD5:$FS5)&gt;0)</formula>
    </cfRule>
  </conditionalFormatting>
  <conditionalFormatting sqref="GK5:GK19">
    <cfRule type="expression" priority="12" dxfId="2">
      <formula>AND($B5&lt;&gt;"",N($GK5)=0,SUMPRODUCT(--$FU5:$GJ5)&gt;0)</formula>
    </cfRule>
  </conditionalFormatting>
  <conditionalFormatting sqref="HB5:HB19">
    <cfRule type="expression" priority="13" dxfId="2">
      <formula>AND($B5&lt;&gt;"",N($HB5)=0,SUMPRODUCT(--$GL5:$HA5)&gt;0)</formula>
    </cfRule>
  </conditionalFormatting>
  <conditionalFormatting sqref="G3:HB3">
    <cfRule type="expression" priority="14" dxfId="0">
      <formula>AND(G3&lt;&gt;"",G3=TODAY())</formula>
    </cfRule>
  </conditionalFormatting>
  <conditionalFormatting sqref="D5:D19">
    <cfRule type="expression" priority="15" dxfId="1">
      <formula>AND(ISNUMBER(D5),D5&gt;=$HG$1)</formula>
    </cfRule>
  </conditionalFormatting>
  <conditionalFormatting sqref="E5:E19">
    <cfRule type="expression" priority="16" dxfId="0">
      <formula>AND(ISNUMBER(E5),E5&gt;=2)</formula>
    </cfRule>
  </conditionalFormatting>
  <conditionalFormatting sqref="F5:F19">
    <cfRule type="expression" priority="17" dxfId="2">
      <formula>AND(F5&lt;&gt;"",F5&lt;&gt;"تمام",F5&lt;&gt;"-")</formula>
    </cfRule>
  </conditionalFormatting>
  <conditionalFormatting sqref="G30:HB44">
    <cfRule type="expression" priority="18" dxfId="1">
      <formula>AND(G$29&lt;&gt;"ملاحظات",ISNUMBER(G30),ISNUMBER(G$28),G30&gt;G$28)</formula>
    </cfRule>
    <cfRule type="expression" priority="19" dxfId="3">
      <formula>AND(G$29&lt;&gt;"ملاحظات",ISNUMBER(G30),ISNUMBER(G$28),G30&lt;G$28/2)</formula>
    </cfRule>
  </conditionalFormatting>
  <conditionalFormatting sqref="E30:E44">
    <cfRule type="expression" priority="20" dxfId="0">
      <formula>AND(ISNUMBER(E30),E30&lt;=3)</formula>
    </cfRule>
  </conditionalFormatting>
  <conditionalFormatting sqref="G28:HB28">
    <cfRule type="expression" priority="21" dxfId="2">
      <formula>AND(G$29&lt;&gt;"ملاحظات",NOT(ISNUMBER(G28)),COUNT(G$30:G$44)&gt;0)</formula>
    </cfRule>
  </conditionalFormatting>
  <dataValidations count="4">
    <dataValidation sqref="G27 I27 K27 M27 O27 Q27 S27 U27 X27 Z27 AB27 AD27 AF27 AH27 AJ27 AL27 AO27 AQ27 AS27 AU27 AW27 AY27 BA27 BC27 BF27 BH27 BJ27 BL27 BN27 BP27 BR27 BT27 BW27 BY27 CA27 CC27 CE27 CG27 CI27 CK27 CN27 CP27 CR27 CT27 CV27 CX27 CZ27 DB27 DE27 DG27 DI27 DK27 DM27 DO27 DQ27 DS27 DV27 DX27 DZ27 EB27 ED27 EF27 EH27 EJ27 EM27 EO27 EQ27 ES27 EU27 EW27 EY27 FA27 FD27 FF27 FH27 FJ27 FL27 FN27 FP27 FR27 FU27 FW27 FY27 GA27 GC27 GE27 GG27 GI27 GL27 GN27 GP27 GR27 GT27 GV27 GX27 GZ27" showDropDown="0" showInputMessage="0" showErrorMessage="1" allowBlank="1" type="list" errorStyle="warning">
      <formula1>"وحدة,شهر"</formula1>
    </dataValidation>
    <dataValidation sqref="F27" showDropDown="0" showInputMessage="0" showErrorMessage="1" allowBlank="0" type="list">
      <formula1>'حسابات'!$F$2:$F$14</formula1>
    </dataValidation>
    <dataValidation sqref="G28:V28 G30:V44 X28:AM28 X30:AM44 AO28:BD28 AO30:BD44 BF28:BU28 BF30:BU44 BW28:CL28 BW30:CL44 CN28:DC28 CN30:DC44 DE28:DT28 DE30:DT44 DV28:EK28 DV30:EK44 EM28:FB28 EM30:FB44 FD28:FS28 FD30:FS44 FU28:GJ28 FU30:GJ44 GL28:HA28 GL30:HA44" showDropDown="0" showInputMessage="0" showErrorMessage="1" allowBlank="1" errorTitle="الدرجة" error="اكتبي رقم بس، بالشكل ده: 8 أو 8.5" type="decimal" operator="between">
      <formula1>0</formula1>
      <formula2>1000</formula2>
    </dataValidation>
    <dataValidation sqref="G3:V3 X3:AM3 AO3:BD3 BF3:BU3 BW3:CL3 CN3:DC3 DE3:DT3 DV3:EK3 EM3:FB3 FD3:FS3 FU3:GJ3 GL3:HA3" showDropDown="0" showInputMessage="0" showErrorMessage="1" allowBlank="1" errorTitle="التاريخ" error="اكتبي التاريخ كده: 5/10" type="date" operator="greaterThan">
      <formula1>40000</formula1>
    </dataValidation>
  </dataValidations>
  <pageMargins left="0.75" right="0.75" top="1" bottom="1" header="0.5" footer="0.5"/>
</worksheet>
</file>

<file path=xl/worksheets/sheet11.xml><?xml version="1.0" encoding="utf-8"?>
<worksheet xmlns="http://schemas.openxmlformats.org/spreadsheetml/2006/main">
  <sheetPr>
    <tabColor rgb="00D0F4DE"/>
    <outlinePr summaryBelow="1" summaryRight="1"/>
    <pageSetUpPr/>
  </sheetPr>
  <dimension ref="A1:HE66"/>
  <sheetViews>
    <sheetView showGridLines="0" rightToLeft="1" workbookViewId="0">
      <pane xSplit="2" ySplit="2" topLeftCell="C3" activePane="bottomRight" state="frozen"/>
      <selection pane="topRight"/>
      <selection pane="bottomLeft"/>
      <selection pane="bottomRight" activeCell="A1" sqref="A1"/>
    </sheetView>
  </sheetViews>
  <sheetFormatPr baseColWidth="8" defaultRowHeight="15"/>
  <cols>
    <col width="3.57" customWidth="1" min="1" max="1"/>
    <col width="19.29" customWidth="1" min="2" max="2"/>
    <col width="14.71" customWidth="1" min="3" max="3"/>
    <col width="5.86" customWidth="1" min="4" max="4"/>
    <col width="5.86" customWidth="1" min="5" max="5"/>
    <col width="10.71" customWidth="1" min="6" max="6"/>
    <col outlineLevel="1" width="5" customWidth="1" min="7" max="7"/>
    <col outlineLevel="1" width="5" customWidth="1" min="8" max="8"/>
    <col outlineLevel="1" width="5" customWidth="1" min="9" max="9"/>
    <col outlineLevel="1" width="5" customWidth="1" min="10" max="10"/>
    <col outlineLevel="1" width="5" customWidth="1" min="11" max="11"/>
    <col outlineLevel="1" width="5" customWidth="1" min="12" max="12"/>
    <col outlineLevel="1" width="5" customWidth="1" min="13" max="13"/>
    <col outlineLevel="1" width="5" customWidth="1" min="14" max="14"/>
    <col outlineLevel="1" width="5" customWidth="1" min="15" max="15"/>
    <col outlineLevel="1" width="5" customWidth="1" min="16" max="16"/>
    <col outlineLevel="1" width="5" customWidth="1" min="17" max="17"/>
    <col outlineLevel="1" width="5" customWidth="1" min="18" max="18"/>
    <col outlineLevel="1" width="5" customWidth="1" min="19" max="19"/>
    <col outlineLevel="1" width="5" customWidth="1" min="20" max="20"/>
    <col outlineLevel="1" width="5" customWidth="1" min="21" max="21"/>
    <col outlineLevel="1" width="5" customWidth="1" min="22" max="22"/>
    <col width="14.14" customWidth="1" min="23" max="23"/>
    <col outlineLevel="1" width="5" customWidth="1" min="24" max="24"/>
    <col outlineLevel="1" width="5" customWidth="1" min="25" max="25"/>
    <col outlineLevel="1" width="5" customWidth="1" min="26" max="26"/>
    <col outlineLevel="1" width="5" customWidth="1" min="27" max="27"/>
    <col outlineLevel="1" width="5" customWidth="1" min="28" max="28"/>
    <col outlineLevel="1" width="5" customWidth="1" min="29" max="29"/>
    <col outlineLevel="1" width="5" customWidth="1" min="30" max="30"/>
    <col outlineLevel="1" width="5" customWidth="1" min="31" max="31"/>
    <col outlineLevel="1" width="5" customWidth="1" min="32" max="32"/>
    <col outlineLevel="1" width="5" customWidth="1" min="33" max="33"/>
    <col outlineLevel="1" width="5" customWidth="1" min="34" max="34"/>
    <col outlineLevel="1" width="5" customWidth="1" min="35" max="35"/>
    <col outlineLevel="1" width="5" customWidth="1" min="36" max="36"/>
    <col outlineLevel="1" width="5" customWidth="1" min="37" max="37"/>
    <col outlineLevel="1" width="5" customWidth="1" min="38" max="38"/>
    <col outlineLevel="1" width="5" customWidth="1" min="39" max="39"/>
    <col width="14.14" customWidth="1" min="40" max="40"/>
    <col outlineLevel="1" width="5" customWidth="1" min="41" max="41"/>
    <col outlineLevel="1" width="5" customWidth="1" min="42" max="42"/>
    <col outlineLevel="1" width="5" customWidth="1" min="43" max="43"/>
    <col outlineLevel="1" width="5" customWidth="1" min="44" max="44"/>
    <col outlineLevel="1" width="5" customWidth="1" min="45" max="45"/>
    <col outlineLevel="1" width="5" customWidth="1" min="46" max="46"/>
    <col outlineLevel="1" width="5" customWidth="1" min="47" max="47"/>
    <col outlineLevel="1" width="5" customWidth="1" min="48" max="48"/>
    <col outlineLevel="1" width="5" customWidth="1" min="49" max="49"/>
    <col outlineLevel="1" width="5" customWidth="1" min="50" max="50"/>
    <col outlineLevel="1" width="5" customWidth="1" min="51" max="51"/>
    <col outlineLevel="1" width="5" customWidth="1" min="52" max="52"/>
    <col outlineLevel="1" width="5" customWidth="1" min="53" max="53"/>
    <col outlineLevel="1" width="5" customWidth="1" min="54" max="54"/>
    <col outlineLevel="1" width="5" customWidth="1" min="55" max="55"/>
    <col outlineLevel="1" width="5" customWidth="1" min="56" max="56"/>
    <col width="14.14" customWidth="1" min="57" max="57"/>
    <col outlineLevel="1" width="5" customWidth="1" min="58" max="58"/>
    <col outlineLevel="1" width="5" customWidth="1" min="59" max="59"/>
    <col outlineLevel="1" width="5" customWidth="1" min="60" max="60"/>
    <col outlineLevel="1" width="5" customWidth="1" min="61" max="61"/>
    <col outlineLevel="1" width="5" customWidth="1" min="62" max="62"/>
    <col outlineLevel="1" width="5" customWidth="1" min="63" max="63"/>
    <col outlineLevel="1" width="5" customWidth="1" min="64" max="64"/>
    <col outlineLevel="1" width="5" customWidth="1" min="65" max="65"/>
    <col outlineLevel="1" width="5" customWidth="1" min="66" max="66"/>
    <col outlineLevel="1" width="5" customWidth="1" min="67" max="67"/>
    <col outlineLevel="1" width="5" customWidth="1" min="68" max="68"/>
    <col outlineLevel="1" width="5" customWidth="1" min="69" max="69"/>
    <col outlineLevel="1" width="5" customWidth="1" min="70" max="70"/>
    <col outlineLevel="1" width="5" customWidth="1" min="71" max="71"/>
    <col outlineLevel="1" width="5" customWidth="1" min="72" max="72"/>
    <col outlineLevel="1" width="5" customWidth="1" min="73" max="73"/>
    <col width="14.14" customWidth="1" min="74" max="74"/>
    <col outlineLevel="1" width="5" customWidth="1" min="75" max="75"/>
    <col outlineLevel="1" width="5" customWidth="1" min="76" max="76"/>
    <col outlineLevel="1" width="5" customWidth="1" min="77" max="77"/>
    <col outlineLevel="1" width="5" customWidth="1" min="78" max="78"/>
    <col outlineLevel="1" width="5" customWidth="1" min="79" max="79"/>
    <col outlineLevel="1" width="5" customWidth="1" min="80" max="80"/>
    <col outlineLevel="1" width="5" customWidth="1" min="81" max="81"/>
    <col outlineLevel="1" width="5" customWidth="1" min="82" max="82"/>
    <col outlineLevel="1" width="5" customWidth="1" min="83" max="83"/>
    <col outlineLevel="1" width="5" customWidth="1" min="84" max="84"/>
    <col outlineLevel="1" width="5" customWidth="1" min="85" max="85"/>
    <col outlineLevel="1" width="5" customWidth="1" min="86" max="86"/>
    <col outlineLevel="1" width="5" customWidth="1" min="87" max="87"/>
    <col outlineLevel="1" width="5" customWidth="1" min="88" max="88"/>
    <col outlineLevel="1" width="5" customWidth="1" min="89" max="89"/>
    <col outlineLevel="1" width="5" customWidth="1" min="90" max="90"/>
    <col width="14.14" customWidth="1" min="91" max="91"/>
    <col outlineLevel="1" width="5" customWidth="1" min="92" max="92"/>
    <col outlineLevel="1" width="5" customWidth="1" min="93" max="93"/>
    <col outlineLevel="1" width="5" customWidth="1" min="94" max="94"/>
    <col outlineLevel="1" width="5" customWidth="1" min="95" max="95"/>
    <col outlineLevel="1" width="5" customWidth="1" min="96" max="96"/>
    <col outlineLevel="1" width="5" customWidth="1" min="97" max="97"/>
    <col outlineLevel="1" width="5" customWidth="1" min="98" max="98"/>
    <col outlineLevel="1" width="5" customWidth="1" min="99" max="99"/>
    <col outlineLevel="1" width="5" customWidth="1" min="100" max="100"/>
    <col outlineLevel="1" width="5" customWidth="1" min="101" max="101"/>
    <col outlineLevel="1" width="5" customWidth="1" min="102" max="102"/>
    <col outlineLevel="1" width="5" customWidth="1" min="103" max="103"/>
    <col outlineLevel="1" width="5" customWidth="1" min="104" max="104"/>
    <col outlineLevel="1" width="5" customWidth="1" min="105" max="105"/>
    <col outlineLevel="1" width="5" customWidth="1" min="106" max="106"/>
    <col outlineLevel="1" width="5" customWidth="1" min="107" max="107"/>
    <col width="14.14" customWidth="1" min="108" max="108"/>
    <col outlineLevel="1" width="5" customWidth="1" min="109" max="109"/>
    <col outlineLevel="1" width="5" customWidth="1" min="110" max="110"/>
    <col outlineLevel="1" width="5" customWidth="1" min="111" max="111"/>
    <col outlineLevel="1" width="5" customWidth="1" min="112" max="112"/>
    <col outlineLevel="1" width="5" customWidth="1" min="113" max="113"/>
    <col outlineLevel="1" width="5" customWidth="1" min="114" max="114"/>
    <col outlineLevel="1" width="5" customWidth="1" min="115" max="115"/>
    <col outlineLevel="1" width="5" customWidth="1" min="116" max="116"/>
    <col outlineLevel="1" width="5" customWidth="1" min="117" max="117"/>
    <col outlineLevel="1" width="5" customWidth="1" min="118" max="118"/>
    <col outlineLevel="1" width="5" customWidth="1" min="119" max="119"/>
    <col outlineLevel="1" width="5" customWidth="1" min="120" max="120"/>
    <col outlineLevel="1" width="5" customWidth="1" min="121" max="121"/>
    <col outlineLevel="1" width="5" customWidth="1" min="122" max="122"/>
    <col outlineLevel="1" width="5" customWidth="1" min="123" max="123"/>
    <col outlineLevel="1" width="5" customWidth="1" min="124" max="124"/>
    <col width="14.14" customWidth="1" min="125" max="125"/>
    <col outlineLevel="1" width="5" customWidth="1" min="126" max="126"/>
    <col outlineLevel="1" width="5" customWidth="1" min="127" max="127"/>
    <col outlineLevel="1" width="5" customWidth="1" min="128" max="128"/>
    <col outlineLevel="1" width="5" customWidth="1" min="129" max="129"/>
    <col outlineLevel="1" width="5" customWidth="1" min="130" max="130"/>
    <col outlineLevel="1" width="5" customWidth="1" min="131" max="131"/>
    <col outlineLevel="1" width="5" customWidth="1" min="132" max="132"/>
    <col outlineLevel="1" width="5" customWidth="1" min="133" max="133"/>
    <col outlineLevel="1" width="5" customWidth="1" min="134" max="134"/>
    <col outlineLevel="1" width="5" customWidth="1" min="135" max="135"/>
    <col outlineLevel="1" width="5" customWidth="1" min="136" max="136"/>
    <col outlineLevel="1" width="5" customWidth="1" min="137" max="137"/>
    <col outlineLevel="1" width="5" customWidth="1" min="138" max="138"/>
    <col outlineLevel="1" width="5" customWidth="1" min="139" max="139"/>
    <col outlineLevel="1" width="5" customWidth="1" min="140" max="140"/>
    <col outlineLevel="1" width="5" customWidth="1" min="141" max="141"/>
    <col width="14.14" customWidth="1" min="142" max="142"/>
    <col outlineLevel="1" width="5" customWidth="1" min="143" max="143"/>
    <col outlineLevel="1" width="5" customWidth="1" min="144" max="144"/>
    <col outlineLevel="1" width="5" customWidth="1" min="145" max="145"/>
    <col outlineLevel="1" width="5" customWidth="1" min="146" max="146"/>
    <col outlineLevel="1" width="5" customWidth="1" min="147" max="147"/>
    <col outlineLevel="1" width="5" customWidth="1" min="148" max="148"/>
    <col outlineLevel="1" width="5" customWidth="1" min="149" max="149"/>
    <col outlineLevel="1" width="5" customWidth="1" min="150" max="150"/>
    <col outlineLevel="1" width="5" customWidth="1" min="151" max="151"/>
    <col outlineLevel="1" width="5" customWidth="1" min="152" max="152"/>
    <col outlineLevel="1" width="5" customWidth="1" min="153" max="153"/>
    <col outlineLevel="1" width="5" customWidth="1" min="154" max="154"/>
    <col outlineLevel="1" width="5" customWidth="1" min="155" max="155"/>
    <col outlineLevel="1" width="5" customWidth="1" min="156" max="156"/>
    <col outlineLevel="1" width="5" customWidth="1" min="157" max="157"/>
    <col outlineLevel="1" width="5" customWidth="1" min="158" max="158"/>
    <col width="14.14" customWidth="1" min="159" max="159"/>
    <col outlineLevel="1" width="5" customWidth="1" min="160" max="160"/>
    <col outlineLevel="1" width="5" customWidth="1" min="161" max="161"/>
    <col outlineLevel="1" width="5" customWidth="1" min="162" max="162"/>
    <col outlineLevel="1" width="5" customWidth="1" min="163" max="163"/>
    <col outlineLevel="1" width="5" customWidth="1" min="164" max="164"/>
    <col outlineLevel="1" width="5" customWidth="1" min="165" max="165"/>
    <col outlineLevel="1" width="5" customWidth="1" min="166" max="166"/>
    <col outlineLevel="1" width="5" customWidth="1" min="167" max="167"/>
    <col outlineLevel="1" width="5" customWidth="1" min="168" max="168"/>
    <col outlineLevel="1" width="5" customWidth="1" min="169" max="169"/>
    <col outlineLevel="1" width="5" customWidth="1" min="170" max="170"/>
    <col outlineLevel="1" width="5" customWidth="1" min="171" max="171"/>
    <col outlineLevel="1" width="5" customWidth="1" min="172" max="172"/>
    <col outlineLevel="1" width="5" customWidth="1" min="173" max="173"/>
    <col outlineLevel="1" width="5" customWidth="1" min="174" max="174"/>
    <col outlineLevel="1" width="5" customWidth="1" min="175" max="175"/>
    <col width="14.14" customWidth="1" min="176" max="176"/>
    <col outlineLevel="1" width="5" customWidth="1" min="177" max="177"/>
    <col outlineLevel="1" width="5" customWidth="1" min="178" max="178"/>
    <col outlineLevel="1" width="5" customWidth="1" min="179" max="179"/>
    <col outlineLevel="1" width="5" customWidth="1" min="180" max="180"/>
    <col outlineLevel="1" width="5" customWidth="1" min="181" max="181"/>
    <col outlineLevel="1" width="5" customWidth="1" min="182" max="182"/>
    <col outlineLevel="1" width="5" customWidth="1" min="183" max="183"/>
    <col outlineLevel="1" width="5" customWidth="1" min="184" max="184"/>
    <col outlineLevel="1" width="5" customWidth="1" min="185" max="185"/>
    <col outlineLevel="1" width="5" customWidth="1" min="186" max="186"/>
    <col outlineLevel="1" width="5" customWidth="1" min="187" max="187"/>
    <col outlineLevel="1" width="5" customWidth="1" min="188" max="188"/>
    <col outlineLevel="1" width="5" customWidth="1" min="189" max="189"/>
    <col outlineLevel="1" width="5" customWidth="1" min="190" max="190"/>
    <col outlineLevel="1" width="5" customWidth="1" min="191" max="191"/>
    <col outlineLevel="1" width="5" customWidth="1" min="192" max="192"/>
    <col width="14.14" customWidth="1" min="193" max="193"/>
    <col outlineLevel="1" width="5" customWidth="1" min="194" max="194"/>
    <col outlineLevel="1" width="5" customWidth="1" min="195" max="195"/>
    <col outlineLevel="1" width="5" customWidth="1" min="196" max="196"/>
    <col outlineLevel="1" width="5" customWidth="1" min="197" max="197"/>
    <col outlineLevel="1" width="5" customWidth="1" min="198" max="198"/>
    <col outlineLevel="1" width="5" customWidth="1" min="199" max="199"/>
    <col outlineLevel="1" width="5" customWidth="1" min="200" max="200"/>
    <col outlineLevel="1" width="5" customWidth="1" min="201" max="201"/>
    <col outlineLevel="1" width="5" customWidth="1" min="202" max="202"/>
    <col outlineLevel="1" width="5" customWidth="1" min="203" max="203"/>
    <col outlineLevel="1" width="5" customWidth="1" min="204" max="204"/>
    <col outlineLevel="1" width="5" customWidth="1" min="205" max="205"/>
    <col outlineLevel="1" width="5" customWidth="1" min="206" max="206"/>
    <col outlineLevel="1" width="5" customWidth="1" min="207" max="207"/>
    <col outlineLevel="1" width="5" customWidth="1" min="208" max="208"/>
    <col outlineLevel="1" width="5" customWidth="1" min="209" max="209"/>
    <col width="14.14" customWidth="1" min="210" max="210"/>
    <col hidden="1" width="7.86" customWidth="1" min="211" max="211"/>
    <col hidden="1" width="7.86" customWidth="1" min="212" max="212"/>
    <col hidden="1" width="7.86" customWidth="1" min="213" max="213"/>
    <col hidden="1" width="7.86" customWidth="1" min="214" max="214"/>
    <col hidden="1" width="7.86" customWidth="1" min="215" max="215"/>
  </cols>
  <sheetData>
    <row r="1" ht="24" customHeight="1">
      <c r="A1" s="40" t="inlineStr">
        <is>
          <t>أونلاين</t>
        </is>
      </c>
      <c r="B1" s="4" t="n"/>
      <c r="C1" s="41" t="inlineStr">
        <is>
          <t>كل طالب بيتحسب لوحده: مع كل حصة علّمي المربع اللي عليه الدور</t>
        </is>
      </c>
      <c r="D1" s="42" t="n"/>
      <c r="E1" s="42" t="n"/>
      <c r="F1" s="43" t="n"/>
      <c r="G1" s="44" t="inlineStr">
        <is>
          <t>الشهر 1 (8 حصص)</t>
        </is>
      </c>
      <c r="H1" s="13" t="n"/>
      <c r="I1" s="13" t="n"/>
      <c r="J1" s="13" t="n"/>
      <c r="K1" s="13" t="n"/>
      <c r="L1" s="13" t="n"/>
      <c r="M1" s="13" t="n"/>
      <c r="N1" s="13" t="n"/>
      <c r="O1" s="13" t="n"/>
      <c r="P1" s="13" t="n"/>
      <c r="Q1" s="13" t="n"/>
      <c r="R1" s="13" t="n"/>
      <c r="S1" s="13" t="n"/>
      <c r="T1" s="13" t="n"/>
      <c r="U1" s="13" t="n"/>
      <c r="V1" s="13" t="n"/>
      <c r="W1" s="4" t="n"/>
      <c r="X1" s="45" t="inlineStr">
        <is>
          <t>الشهر 2 (8 حصص)</t>
        </is>
      </c>
      <c r="Y1" s="13" t="n"/>
      <c r="Z1" s="13" t="n"/>
      <c r="AA1" s="13" t="n"/>
      <c r="AB1" s="13" t="n"/>
      <c r="AC1" s="13" t="n"/>
      <c r="AD1" s="13" t="n"/>
      <c r="AE1" s="13" t="n"/>
      <c r="AF1" s="13" t="n"/>
      <c r="AG1" s="13" t="n"/>
      <c r="AH1" s="13" t="n"/>
      <c r="AI1" s="13" t="n"/>
      <c r="AJ1" s="13" t="n"/>
      <c r="AK1" s="13" t="n"/>
      <c r="AL1" s="13" t="n"/>
      <c r="AM1" s="13" t="n"/>
      <c r="AN1" s="4" t="n"/>
      <c r="AO1" s="46" t="inlineStr">
        <is>
          <t>الشهر 3 (8 حصص)</t>
        </is>
      </c>
      <c r="AP1" s="13" t="n"/>
      <c r="AQ1" s="13" t="n"/>
      <c r="AR1" s="13" t="n"/>
      <c r="AS1" s="13" t="n"/>
      <c r="AT1" s="13" t="n"/>
      <c r="AU1" s="13" t="n"/>
      <c r="AV1" s="13" t="n"/>
      <c r="AW1" s="13" t="n"/>
      <c r="AX1" s="13" t="n"/>
      <c r="AY1" s="13" t="n"/>
      <c r="AZ1" s="13" t="n"/>
      <c r="BA1" s="13" t="n"/>
      <c r="BB1" s="13" t="n"/>
      <c r="BC1" s="13" t="n"/>
      <c r="BD1" s="13" t="n"/>
      <c r="BE1" s="4" t="n"/>
      <c r="BF1" s="47" t="inlineStr">
        <is>
          <t>الشهر 4 (8 حصص)</t>
        </is>
      </c>
      <c r="BG1" s="13" t="n"/>
      <c r="BH1" s="13" t="n"/>
      <c r="BI1" s="13" t="n"/>
      <c r="BJ1" s="13" t="n"/>
      <c r="BK1" s="13" t="n"/>
      <c r="BL1" s="13" t="n"/>
      <c r="BM1" s="13" t="n"/>
      <c r="BN1" s="13" t="n"/>
      <c r="BO1" s="13" t="n"/>
      <c r="BP1" s="13" t="n"/>
      <c r="BQ1" s="13" t="n"/>
      <c r="BR1" s="13" t="n"/>
      <c r="BS1" s="13" t="n"/>
      <c r="BT1" s="13" t="n"/>
      <c r="BU1" s="13" t="n"/>
      <c r="BV1" s="4" t="n"/>
      <c r="BW1" s="48" t="inlineStr">
        <is>
          <t>الشهر 5 (8 حصص)</t>
        </is>
      </c>
      <c r="BX1" s="13" t="n"/>
      <c r="BY1" s="13" t="n"/>
      <c r="BZ1" s="13" t="n"/>
      <c r="CA1" s="13" t="n"/>
      <c r="CB1" s="13" t="n"/>
      <c r="CC1" s="13" t="n"/>
      <c r="CD1" s="13" t="n"/>
      <c r="CE1" s="13" t="n"/>
      <c r="CF1" s="13" t="n"/>
      <c r="CG1" s="13" t="n"/>
      <c r="CH1" s="13" t="n"/>
      <c r="CI1" s="13" t="n"/>
      <c r="CJ1" s="13" t="n"/>
      <c r="CK1" s="13" t="n"/>
      <c r="CL1" s="13" t="n"/>
      <c r="CM1" s="4" t="n"/>
      <c r="CN1" s="49" t="inlineStr">
        <is>
          <t>الشهر 6 (8 حصص)</t>
        </is>
      </c>
      <c r="CO1" s="13" t="n"/>
      <c r="CP1" s="13" t="n"/>
      <c r="CQ1" s="13" t="n"/>
      <c r="CR1" s="13" t="n"/>
      <c r="CS1" s="13" t="n"/>
      <c r="CT1" s="13" t="n"/>
      <c r="CU1" s="13" t="n"/>
      <c r="CV1" s="13" t="n"/>
      <c r="CW1" s="13" t="n"/>
      <c r="CX1" s="13" t="n"/>
      <c r="CY1" s="13" t="n"/>
      <c r="CZ1" s="13" t="n"/>
      <c r="DA1" s="13" t="n"/>
      <c r="DB1" s="13" t="n"/>
      <c r="DC1" s="13" t="n"/>
      <c r="DD1" s="4" t="n"/>
      <c r="DE1" s="50" t="inlineStr">
        <is>
          <t>الشهر 7 (8 حصص)</t>
        </is>
      </c>
      <c r="DF1" s="13" t="n"/>
      <c r="DG1" s="13" t="n"/>
      <c r="DH1" s="13" t="n"/>
      <c r="DI1" s="13" t="n"/>
      <c r="DJ1" s="13" t="n"/>
      <c r="DK1" s="13" t="n"/>
      <c r="DL1" s="13" t="n"/>
      <c r="DM1" s="13" t="n"/>
      <c r="DN1" s="13" t="n"/>
      <c r="DO1" s="13" t="n"/>
      <c r="DP1" s="13" t="n"/>
      <c r="DQ1" s="13" t="n"/>
      <c r="DR1" s="13" t="n"/>
      <c r="DS1" s="13" t="n"/>
      <c r="DT1" s="13" t="n"/>
      <c r="DU1" s="4" t="n"/>
      <c r="DV1" s="51" t="inlineStr">
        <is>
          <t>الشهر 8 (8 حصص)</t>
        </is>
      </c>
      <c r="DW1" s="13" t="n"/>
      <c r="DX1" s="13" t="n"/>
      <c r="DY1" s="13" t="n"/>
      <c r="DZ1" s="13" t="n"/>
      <c r="EA1" s="13" t="n"/>
      <c r="EB1" s="13" t="n"/>
      <c r="EC1" s="13" t="n"/>
      <c r="ED1" s="13" t="n"/>
      <c r="EE1" s="13" t="n"/>
      <c r="EF1" s="13" t="n"/>
      <c r="EG1" s="13" t="n"/>
      <c r="EH1" s="13" t="n"/>
      <c r="EI1" s="13" t="n"/>
      <c r="EJ1" s="13" t="n"/>
      <c r="EK1" s="13" t="n"/>
      <c r="EL1" s="4" t="n"/>
      <c r="EM1" s="52" t="inlineStr">
        <is>
          <t>الشهر 9 (8 حصص)</t>
        </is>
      </c>
      <c r="EN1" s="13" t="n"/>
      <c r="EO1" s="13" t="n"/>
      <c r="EP1" s="13" t="n"/>
      <c r="EQ1" s="13" t="n"/>
      <c r="ER1" s="13" t="n"/>
      <c r="ES1" s="13" t="n"/>
      <c r="ET1" s="13" t="n"/>
      <c r="EU1" s="13" t="n"/>
      <c r="EV1" s="13" t="n"/>
      <c r="EW1" s="13" t="n"/>
      <c r="EX1" s="13" t="n"/>
      <c r="EY1" s="13" t="n"/>
      <c r="EZ1" s="13" t="n"/>
      <c r="FA1" s="13" t="n"/>
      <c r="FB1" s="13" t="n"/>
      <c r="FC1" s="4" t="n"/>
      <c r="FD1" s="53" t="inlineStr">
        <is>
          <t>الشهر 10 (8 حصص)</t>
        </is>
      </c>
      <c r="FE1" s="13" t="n"/>
      <c r="FF1" s="13" t="n"/>
      <c r="FG1" s="13" t="n"/>
      <c r="FH1" s="13" t="n"/>
      <c r="FI1" s="13" t="n"/>
      <c r="FJ1" s="13" t="n"/>
      <c r="FK1" s="13" t="n"/>
      <c r="FL1" s="13" t="n"/>
      <c r="FM1" s="13" t="n"/>
      <c r="FN1" s="13" t="n"/>
      <c r="FO1" s="13" t="n"/>
      <c r="FP1" s="13" t="n"/>
      <c r="FQ1" s="13" t="n"/>
      <c r="FR1" s="13" t="n"/>
      <c r="FS1" s="13" t="n"/>
      <c r="FT1" s="4" t="n"/>
      <c r="FU1" s="54" t="inlineStr">
        <is>
          <t>الشهر 11 (8 حصص)</t>
        </is>
      </c>
      <c r="FV1" s="13" t="n"/>
      <c r="FW1" s="13" t="n"/>
      <c r="FX1" s="13" t="n"/>
      <c r="FY1" s="13" t="n"/>
      <c r="FZ1" s="13" t="n"/>
      <c r="GA1" s="13" t="n"/>
      <c r="GB1" s="13" t="n"/>
      <c r="GC1" s="13" t="n"/>
      <c r="GD1" s="13" t="n"/>
      <c r="GE1" s="13" t="n"/>
      <c r="GF1" s="13" t="n"/>
      <c r="GG1" s="13" t="n"/>
      <c r="GH1" s="13" t="n"/>
      <c r="GI1" s="13" t="n"/>
      <c r="GJ1" s="13" t="n"/>
      <c r="GK1" s="4" t="n"/>
      <c r="GL1" s="55" t="inlineStr">
        <is>
          <t>الشهر 12 (8 حصص)</t>
        </is>
      </c>
      <c r="GM1" s="13" t="n"/>
      <c r="GN1" s="13" t="n"/>
      <c r="GO1" s="13" t="n"/>
      <c r="GP1" s="13" t="n"/>
      <c r="GQ1" s="13" t="n"/>
      <c r="GR1" s="13" t="n"/>
      <c r="GS1" s="13" t="n"/>
      <c r="GT1" s="13" t="n"/>
      <c r="GU1" s="13" t="n"/>
      <c r="GV1" s="13" t="n"/>
      <c r="GW1" s="13" t="n"/>
      <c r="GX1" s="13" t="n"/>
      <c r="GY1" s="13" t="n"/>
      <c r="GZ1" s="13" t="n"/>
      <c r="HA1" s="13" t="n"/>
      <c r="HB1" s="4" t="n"/>
      <c r="HE1">
        <f>SUMPRODUCT(--($B$4:$B$33&lt;&gt;""))</f>
        <v>0</v>
      </c>
    </row>
    <row r="2" ht="18" customHeight="1">
      <c r="A2" s="56" t="str">
        <f>"عدد الطلاب: "&amp;$HE$1</f>
        <v>عدد الطلاب: 0</v>
      </c>
      <c r="B2" s="4" t="n"/>
      <c r="C2" s="71" t="n"/>
      <c r="D2" s="73" t="n"/>
      <c r="E2" s="73" t="n"/>
      <c r="F2" s="72" t="n"/>
      <c r="G2" s="59" t="inlineStr">
        <is>
          <t>حصة 1</t>
        </is>
      </c>
      <c r="H2" s="4" t="n"/>
      <c r="I2" s="59" t="inlineStr">
        <is>
          <t>حصة 2</t>
        </is>
      </c>
      <c r="J2" s="4" t="n"/>
      <c r="K2" s="59" t="inlineStr">
        <is>
          <t>حصة 3</t>
        </is>
      </c>
      <c r="L2" s="4" t="n"/>
      <c r="M2" s="59" t="inlineStr">
        <is>
          <t>حصة 4</t>
        </is>
      </c>
      <c r="N2" s="4" t="n"/>
      <c r="O2" s="59" t="inlineStr">
        <is>
          <t>حصة 5</t>
        </is>
      </c>
      <c r="P2" s="4" t="n"/>
      <c r="Q2" s="59" t="inlineStr">
        <is>
          <t>حصة 6</t>
        </is>
      </c>
      <c r="R2" s="4" t="n"/>
      <c r="S2" s="59" t="inlineStr">
        <is>
          <t>حصة 7</t>
        </is>
      </c>
      <c r="T2" s="4" t="n"/>
      <c r="U2" s="59" t="inlineStr">
        <is>
          <t>حصة 8</t>
        </is>
      </c>
      <c r="V2" s="4" t="n"/>
      <c r="W2" s="59" t="inlineStr">
        <is>
          <t>المصاريف</t>
        </is>
      </c>
      <c r="X2" s="60" t="inlineStr">
        <is>
          <t>حصة 1</t>
        </is>
      </c>
      <c r="Y2" s="4" t="n"/>
      <c r="Z2" s="60" t="inlineStr">
        <is>
          <t>حصة 2</t>
        </is>
      </c>
      <c r="AA2" s="4" t="n"/>
      <c r="AB2" s="60" t="inlineStr">
        <is>
          <t>حصة 3</t>
        </is>
      </c>
      <c r="AC2" s="4" t="n"/>
      <c r="AD2" s="60" t="inlineStr">
        <is>
          <t>حصة 4</t>
        </is>
      </c>
      <c r="AE2" s="4" t="n"/>
      <c r="AF2" s="60" t="inlineStr">
        <is>
          <t>حصة 5</t>
        </is>
      </c>
      <c r="AG2" s="4" t="n"/>
      <c r="AH2" s="60" t="inlineStr">
        <is>
          <t>حصة 6</t>
        </is>
      </c>
      <c r="AI2" s="4" t="n"/>
      <c r="AJ2" s="60" t="inlineStr">
        <is>
          <t>حصة 7</t>
        </is>
      </c>
      <c r="AK2" s="4" t="n"/>
      <c r="AL2" s="60" t="inlineStr">
        <is>
          <t>حصة 8</t>
        </is>
      </c>
      <c r="AM2" s="4" t="n"/>
      <c r="AN2" s="60" t="inlineStr">
        <is>
          <t>المصاريف</t>
        </is>
      </c>
      <c r="AO2" s="61" t="inlineStr">
        <is>
          <t>حصة 1</t>
        </is>
      </c>
      <c r="AP2" s="4" t="n"/>
      <c r="AQ2" s="61" t="inlineStr">
        <is>
          <t>حصة 2</t>
        </is>
      </c>
      <c r="AR2" s="4" t="n"/>
      <c r="AS2" s="61" t="inlineStr">
        <is>
          <t>حصة 3</t>
        </is>
      </c>
      <c r="AT2" s="4" t="n"/>
      <c r="AU2" s="61" t="inlineStr">
        <is>
          <t>حصة 4</t>
        </is>
      </c>
      <c r="AV2" s="4" t="n"/>
      <c r="AW2" s="61" t="inlineStr">
        <is>
          <t>حصة 5</t>
        </is>
      </c>
      <c r="AX2" s="4" t="n"/>
      <c r="AY2" s="61" t="inlineStr">
        <is>
          <t>حصة 6</t>
        </is>
      </c>
      <c r="AZ2" s="4" t="n"/>
      <c r="BA2" s="61" t="inlineStr">
        <is>
          <t>حصة 7</t>
        </is>
      </c>
      <c r="BB2" s="4" t="n"/>
      <c r="BC2" s="61" t="inlineStr">
        <is>
          <t>حصة 8</t>
        </is>
      </c>
      <c r="BD2" s="4" t="n"/>
      <c r="BE2" s="61" t="inlineStr">
        <is>
          <t>المصاريف</t>
        </is>
      </c>
      <c r="BF2" s="62" t="inlineStr">
        <is>
          <t>حصة 1</t>
        </is>
      </c>
      <c r="BG2" s="4" t="n"/>
      <c r="BH2" s="62" t="inlineStr">
        <is>
          <t>حصة 2</t>
        </is>
      </c>
      <c r="BI2" s="4" t="n"/>
      <c r="BJ2" s="62" t="inlineStr">
        <is>
          <t>حصة 3</t>
        </is>
      </c>
      <c r="BK2" s="4" t="n"/>
      <c r="BL2" s="62" t="inlineStr">
        <is>
          <t>حصة 4</t>
        </is>
      </c>
      <c r="BM2" s="4" t="n"/>
      <c r="BN2" s="62" t="inlineStr">
        <is>
          <t>حصة 5</t>
        </is>
      </c>
      <c r="BO2" s="4" t="n"/>
      <c r="BP2" s="62" t="inlineStr">
        <is>
          <t>حصة 6</t>
        </is>
      </c>
      <c r="BQ2" s="4" t="n"/>
      <c r="BR2" s="62" t="inlineStr">
        <is>
          <t>حصة 7</t>
        </is>
      </c>
      <c r="BS2" s="4" t="n"/>
      <c r="BT2" s="62" t="inlineStr">
        <is>
          <t>حصة 8</t>
        </is>
      </c>
      <c r="BU2" s="4" t="n"/>
      <c r="BV2" s="62" t="inlineStr">
        <is>
          <t>المصاريف</t>
        </is>
      </c>
      <c r="BW2" s="63" t="inlineStr">
        <is>
          <t>حصة 1</t>
        </is>
      </c>
      <c r="BX2" s="4" t="n"/>
      <c r="BY2" s="63" t="inlineStr">
        <is>
          <t>حصة 2</t>
        </is>
      </c>
      <c r="BZ2" s="4" t="n"/>
      <c r="CA2" s="63" t="inlineStr">
        <is>
          <t>حصة 3</t>
        </is>
      </c>
      <c r="CB2" s="4" t="n"/>
      <c r="CC2" s="63" t="inlineStr">
        <is>
          <t>حصة 4</t>
        </is>
      </c>
      <c r="CD2" s="4" t="n"/>
      <c r="CE2" s="63" t="inlineStr">
        <is>
          <t>حصة 5</t>
        </is>
      </c>
      <c r="CF2" s="4" t="n"/>
      <c r="CG2" s="63" t="inlineStr">
        <is>
          <t>حصة 6</t>
        </is>
      </c>
      <c r="CH2" s="4" t="n"/>
      <c r="CI2" s="63" t="inlineStr">
        <is>
          <t>حصة 7</t>
        </is>
      </c>
      <c r="CJ2" s="4" t="n"/>
      <c r="CK2" s="63" t="inlineStr">
        <is>
          <t>حصة 8</t>
        </is>
      </c>
      <c r="CL2" s="4" t="n"/>
      <c r="CM2" s="63" t="inlineStr">
        <is>
          <t>المصاريف</t>
        </is>
      </c>
      <c r="CN2" s="64" t="inlineStr">
        <is>
          <t>حصة 1</t>
        </is>
      </c>
      <c r="CO2" s="4" t="n"/>
      <c r="CP2" s="64" t="inlineStr">
        <is>
          <t>حصة 2</t>
        </is>
      </c>
      <c r="CQ2" s="4" t="n"/>
      <c r="CR2" s="64" t="inlineStr">
        <is>
          <t>حصة 3</t>
        </is>
      </c>
      <c r="CS2" s="4" t="n"/>
      <c r="CT2" s="64" t="inlineStr">
        <is>
          <t>حصة 4</t>
        </is>
      </c>
      <c r="CU2" s="4" t="n"/>
      <c r="CV2" s="64" t="inlineStr">
        <is>
          <t>حصة 5</t>
        </is>
      </c>
      <c r="CW2" s="4" t="n"/>
      <c r="CX2" s="64" t="inlineStr">
        <is>
          <t>حصة 6</t>
        </is>
      </c>
      <c r="CY2" s="4" t="n"/>
      <c r="CZ2" s="64" t="inlineStr">
        <is>
          <t>حصة 7</t>
        </is>
      </c>
      <c r="DA2" s="4" t="n"/>
      <c r="DB2" s="64" t="inlineStr">
        <is>
          <t>حصة 8</t>
        </is>
      </c>
      <c r="DC2" s="4" t="n"/>
      <c r="DD2" s="64" t="inlineStr">
        <is>
          <t>المصاريف</t>
        </is>
      </c>
      <c r="DE2" s="65" t="inlineStr">
        <is>
          <t>حصة 1</t>
        </is>
      </c>
      <c r="DF2" s="4" t="n"/>
      <c r="DG2" s="65" t="inlineStr">
        <is>
          <t>حصة 2</t>
        </is>
      </c>
      <c r="DH2" s="4" t="n"/>
      <c r="DI2" s="65" t="inlineStr">
        <is>
          <t>حصة 3</t>
        </is>
      </c>
      <c r="DJ2" s="4" t="n"/>
      <c r="DK2" s="65" t="inlineStr">
        <is>
          <t>حصة 4</t>
        </is>
      </c>
      <c r="DL2" s="4" t="n"/>
      <c r="DM2" s="65" t="inlineStr">
        <is>
          <t>حصة 5</t>
        </is>
      </c>
      <c r="DN2" s="4" t="n"/>
      <c r="DO2" s="65" t="inlineStr">
        <is>
          <t>حصة 6</t>
        </is>
      </c>
      <c r="DP2" s="4" t="n"/>
      <c r="DQ2" s="65" t="inlineStr">
        <is>
          <t>حصة 7</t>
        </is>
      </c>
      <c r="DR2" s="4" t="n"/>
      <c r="DS2" s="65" t="inlineStr">
        <is>
          <t>حصة 8</t>
        </is>
      </c>
      <c r="DT2" s="4" t="n"/>
      <c r="DU2" s="65" t="inlineStr">
        <is>
          <t>المصاريف</t>
        </is>
      </c>
      <c r="DV2" s="66" t="inlineStr">
        <is>
          <t>حصة 1</t>
        </is>
      </c>
      <c r="DW2" s="4" t="n"/>
      <c r="DX2" s="66" t="inlineStr">
        <is>
          <t>حصة 2</t>
        </is>
      </c>
      <c r="DY2" s="4" t="n"/>
      <c r="DZ2" s="66" t="inlineStr">
        <is>
          <t>حصة 3</t>
        </is>
      </c>
      <c r="EA2" s="4" t="n"/>
      <c r="EB2" s="66" t="inlineStr">
        <is>
          <t>حصة 4</t>
        </is>
      </c>
      <c r="EC2" s="4" t="n"/>
      <c r="ED2" s="66" t="inlineStr">
        <is>
          <t>حصة 5</t>
        </is>
      </c>
      <c r="EE2" s="4" t="n"/>
      <c r="EF2" s="66" t="inlineStr">
        <is>
          <t>حصة 6</t>
        </is>
      </c>
      <c r="EG2" s="4" t="n"/>
      <c r="EH2" s="66" t="inlineStr">
        <is>
          <t>حصة 7</t>
        </is>
      </c>
      <c r="EI2" s="4" t="n"/>
      <c r="EJ2" s="66" t="inlineStr">
        <is>
          <t>حصة 8</t>
        </is>
      </c>
      <c r="EK2" s="4" t="n"/>
      <c r="EL2" s="66" t="inlineStr">
        <is>
          <t>المصاريف</t>
        </is>
      </c>
      <c r="EM2" s="67" t="inlineStr">
        <is>
          <t>حصة 1</t>
        </is>
      </c>
      <c r="EN2" s="4" t="n"/>
      <c r="EO2" s="67" t="inlineStr">
        <is>
          <t>حصة 2</t>
        </is>
      </c>
      <c r="EP2" s="4" t="n"/>
      <c r="EQ2" s="67" t="inlineStr">
        <is>
          <t>حصة 3</t>
        </is>
      </c>
      <c r="ER2" s="4" t="n"/>
      <c r="ES2" s="67" t="inlineStr">
        <is>
          <t>حصة 4</t>
        </is>
      </c>
      <c r="ET2" s="4" t="n"/>
      <c r="EU2" s="67" t="inlineStr">
        <is>
          <t>حصة 5</t>
        </is>
      </c>
      <c r="EV2" s="4" t="n"/>
      <c r="EW2" s="67" t="inlineStr">
        <is>
          <t>حصة 6</t>
        </is>
      </c>
      <c r="EX2" s="4" t="n"/>
      <c r="EY2" s="67" t="inlineStr">
        <is>
          <t>حصة 7</t>
        </is>
      </c>
      <c r="EZ2" s="4" t="n"/>
      <c r="FA2" s="67" t="inlineStr">
        <is>
          <t>حصة 8</t>
        </is>
      </c>
      <c r="FB2" s="4" t="n"/>
      <c r="FC2" s="67" t="inlineStr">
        <is>
          <t>المصاريف</t>
        </is>
      </c>
      <c r="FD2" s="68" t="inlineStr">
        <is>
          <t>حصة 1</t>
        </is>
      </c>
      <c r="FE2" s="4" t="n"/>
      <c r="FF2" s="68" t="inlineStr">
        <is>
          <t>حصة 2</t>
        </is>
      </c>
      <c r="FG2" s="4" t="n"/>
      <c r="FH2" s="68" t="inlineStr">
        <is>
          <t>حصة 3</t>
        </is>
      </c>
      <c r="FI2" s="4" t="n"/>
      <c r="FJ2" s="68" t="inlineStr">
        <is>
          <t>حصة 4</t>
        </is>
      </c>
      <c r="FK2" s="4" t="n"/>
      <c r="FL2" s="68" t="inlineStr">
        <is>
          <t>حصة 5</t>
        </is>
      </c>
      <c r="FM2" s="4" t="n"/>
      <c r="FN2" s="68" t="inlineStr">
        <is>
          <t>حصة 6</t>
        </is>
      </c>
      <c r="FO2" s="4" t="n"/>
      <c r="FP2" s="68" t="inlineStr">
        <is>
          <t>حصة 7</t>
        </is>
      </c>
      <c r="FQ2" s="4" t="n"/>
      <c r="FR2" s="68" t="inlineStr">
        <is>
          <t>حصة 8</t>
        </is>
      </c>
      <c r="FS2" s="4" t="n"/>
      <c r="FT2" s="68" t="inlineStr">
        <is>
          <t>المصاريف</t>
        </is>
      </c>
      <c r="FU2" s="69" t="inlineStr">
        <is>
          <t>حصة 1</t>
        </is>
      </c>
      <c r="FV2" s="4" t="n"/>
      <c r="FW2" s="69" t="inlineStr">
        <is>
          <t>حصة 2</t>
        </is>
      </c>
      <c r="FX2" s="4" t="n"/>
      <c r="FY2" s="69" t="inlineStr">
        <is>
          <t>حصة 3</t>
        </is>
      </c>
      <c r="FZ2" s="4" t="n"/>
      <c r="GA2" s="69" t="inlineStr">
        <is>
          <t>حصة 4</t>
        </is>
      </c>
      <c r="GB2" s="4" t="n"/>
      <c r="GC2" s="69" t="inlineStr">
        <is>
          <t>حصة 5</t>
        </is>
      </c>
      <c r="GD2" s="4" t="n"/>
      <c r="GE2" s="69" t="inlineStr">
        <is>
          <t>حصة 6</t>
        </is>
      </c>
      <c r="GF2" s="4" t="n"/>
      <c r="GG2" s="69" t="inlineStr">
        <is>
          <t>حصة 7</t>
        </is>
      </c>
      <c r="GH2" s="4" t="n"/>
      <c r="GI2" s="69" t="inlineStr">
        <is>
          <t>حصة 8</t>
        </is>
      </c>
      <c r="GJ2" s="4" t="n"/>
      <c r="GK2" s="69" t="inlineStr">
        <is>
          <t>المصاريف</t>
        </is>
      </c>
      <c r="GL2" s="70" t="inlineStr">
        <is>
          <t>حصة 1</t>
        </is>
      </c>
      <c r="GM2" s="4" t="n"/>
      <c r="GN2" s="70" t="inlineStr">
        <is>
          <t>حصة 2</t>
        </is>
      </c>
      <c r="GO2" s="4" t="n"/>
      <c r="GP2" s="70" t="inlineStr">
        <is>
          <t>حصة 3</t>
        </is>
      </c>
      <c r="GQ2" s="4" t="n"/>
      <c r="GR2" s="70" t="inlineStr">
        <is>
          <t>حصة 4</t>
        </is>
      </c>
      <c r="GS2" s="4" t="n"/>
      <c r="GT2" s="70" t="inlineStr">
        <is>
          <t>حصة 5</t>
        </is>
      </c>
      <c r="GU2" s="4" t="n"/>
      <c r="GV2" s="70" t="inlineStr">
        <is>
          <t>حصة 6</t>
        </is>
      </c>
      <c r="GW2" s="4" t="n"/>
      <c r="GX2" s="70" t="inlineStr">
        <is>
          <t>حصة 7</t>
        </is>
      </c>
      <c r="GY2" s="4" t="n"/>
      <c r="GZ2" s="70" t="inlineStr">
        <is>
          <t>حصة 8</t>
        </is>
      </c>
      <c r="HA2" s="4" t="n"/>
      <c r="HB2" s="70" t="inlineStr">
        <is>
          <t>المصاريف</t>
        </is>
      </c>
    </row>
    <row r="3" ht="16.5" customHeight="1">
      <c r="A3" s="76" t="inlineStr">
        <is>
          <t>م</t>
        </is>
      </c>
      <c r="B3" s="76" t="inlineStr">
        <is>
          <t>الاسم</t>
        </is>
      </c>
      <c r="C3" s="76" t="inlineStr">
        <is>
          <t>ولي الأمر</t>
        </is>
      </c>
      <c r="D3" s="76" t="inlineStr">
        <is>
          <t>الحصة</t>
        </is>
      </c>
      <c r="E3" s="76" t="inlineStr">
        <is>
          <t>باقي</t>
        </is>
      </c>
      <c r="F3" s="76" t="inlineStr">
        <is>
          <t>الحالة</t>
        </is>
      </c>
      <c r="G3" s="8" t="inlineStr">
        <is>
          <t>ح</t>
        </is>
      </c>
      <c r="H3" s="77" t="inlineStr">
        <is>
          <t>و</t>
        </is>
      </c>
      <c r="I3" s="8" t="inlineStr">
        <is>
          <t>ح</t>
        </is>
      </c>
      <c r="J3" s="77" t="inlineStr">
        <is>
          <t>و</t>
        </is>
      </c>
      <c r="K3" s="8" t="inlineStr">
        <is>
          <t>ح</t>
        </is>
      </c>
      <c r="L3" s="77" t="inlineStr">
        <is>
          <t>و</t>
        </is>
      </c>
      <c r="M3" s="8" t="inlineStr">
        <is>
          <t>ح</t>
        </is>
      </c>
      <c r="N3" s="77" t="inlineStr">
        <is>
          <t>و</t>
        </is>
      </c>
      <c r="O3" s="8" t="inlineStr">
        <is>
          <t>ح</t>
        </is>
      </c>
      <c r="P3" s="77" t="inlineStr">
        <is>
          <t>و</t>
        </is>
      </c>
      <c r="Q3" s="8" t="inlineStr">
        <is>
          <t>ح</t>
        </is>
      </c>
      <c r="R3" s="77" t="inlineStr">
        <is>
          <t>و</t>
        </is>
      </c>
      <c r="S3" s="8" t="inlineStr">
        <is>
          <t>ح</t>
        </is>
      </c>
      <c r="T3" s="77" t="inlineStr">
        <is>
          <t>و</t>
        </is>
      </c>
      <c r="U3" s="8" t="inlineStr">
        <is>
          <t>ح</t>
        </is>
      </c>
      <c r="V3" s="77" t="inlineStr">
        <is>
          <t>و</t>
        </is>
      </c>
      <c r="W3" s="77" t="inlineStr">
        <is>
          <t>دفع</t>
        </is>
      </c>
      <c r="X3" s="9" t="inlineStr">
        <is>
          <t>ح</t>
        </is>
      </c>
      <c r="Y3" s="78" t="inlineStr">
        <is>
          <t>و</t>
        </is>
      </c>
      <c r="Z3" s="9" t="inlineStr">
        <is>
          <t>ح</t>
        </is>
      </c>
      <c r="AA3" s="78" t="inlineStr">
        <is>
          <t>و</t>
        </is>
      </c>
      <c r="AB3" s="9" t="inlineStr">
        <is>
          <t>ح</t>
        </is>
      </c>
      <c r="AC3" s="78" t="inlineStr">
        <is>
          <t>و</t>
        </is>
      </c>
      <c r="AD3" s="9" t="inlineStr">
        <is>
          <t>ح</t>
        </is>
      </c>
      <c r="AE3" s="78" t="inlineStr">
        <is>
          <t>و</t>
        </is>
      </c>
      <c r="AF3" s="9" t="inlineStr">
        <is>
          <t>ح</t>
        </is>
      </c>
      <c r="AG3" s="78" t="inlineStr">
        <is>
          <t>و</t>
        </is>
      </c>
      <c r="AH3" s="9" t="inlineStr">
        <is>
          <t>ح</t>
        </is>
      </c>
      <c r="AI3" s="78" t="inlineStr">
        <is>
          <t>و</t>
        </is>
      </c>
      <c r="AJ3" s="9" t="inlineStr">
        <is>
          <t>ح</t>
        </is>
      </c>
      <c r="AK3" s="78" t="inlineStr">
        <is>
          <t>و</t>
        </is>
      </c>
      <c r="AL3" s="9" t="inlineStr">
        <is>
          <t>ح</t>
        </is>
      </c>
      <c r="AM3" s="78" t="inlineStr">
        <is>
          <t>و</t>
        </is>
      </c>
      <c r="AN3" s="78" t="inlineStr">
        <is>
          <t>دفع</t>
        </is>
      </c>
      <c r="AO3" s="10" t="inlineStr">
        <is>
          <t>ح</t>
        </is>
      </c>
      <c r="AP3" s="79" t="inlineStr">
        <is>
          <t>و</t>
        </is>
      </c>
      <c r="AQ3" s="10" t="inlineStr">
        <is>
          <t>ح</t>
        </is>
      </c>
      <c r="AR3" s="79" t="inlineStr">
        <is>
          <t>و</t>
        </is>
      </c>
      <c r="AS3" s="10" t="inlineStr">
        <is>
          <t>ح</t>
        </is>
      </c>
      <c r="AT3" s="79" t="inlineStr">
        <is>
          <t>و</t>
        </is>
      </c>
      <c r="AU3" s="10" t="inlineStr">
        <is>
          <t>ح</t>
        </is>
      </c>
      <c r="AV3" s="79" t="inlineStr">
        <is>
          <t>و</t>
        </is>
      </c>
      <c r="AW3" s="10" t="inlineStr">
        <is>
          <t>ح</t>
        </is>
      </c>
      <c r="AX3" s="79" t="inlineStr">
        <is>
          <t>و</t>
        </is>
      </c>
      <c r="AY3" s="10" t="inlineStr">
        <is>
          <t>ح</t>
        </is>
      </c>
      <c r="AZ3" s="79" t="inlineStr">
        <is>
          <t>و</t>
        </is>
      </c>
      <c r="BA3" s="10" t="inlineStr">
        <is>
          <t>ح</t>
        </is>
      </c>
      <c r="BB3" s="79" t="inlineStr">
        <is>
          <t>و</t>
        </is>
      </c>
      <c r="BC3" s="10" t="inlineStr">
        <is>
          <t>ح</t>
        </is>
      </c>
      <c r="BD3" s="79" t="inlineStr">
        <is>
          <t>و</t>
        </is>
      </c>
      <c r="BE3" s="79" t="inlineStr">
        <is>
          <t>دفع</t>
        </is>
      </c>
      <c r="BF3" s="11" t="inlineStr">
        <is>
          <t>ح</t>
        </is>
      </c>
      <c r="BG3" s="80" t="inlineStr">
        <is>
          <t>و</t>
        </is>
      </c>
      <c r="BH3" s="11" t="inlineStr">
        <is>
          <t>ح</t>
        </is>
      </c>
      <c r="BI3" s="80" t="inlineStr">
        <is>
          <t>و</t>
        </is>
      </c>
      <c r="BJ3" s="11" t="inlineStr">
        <is>
          <t>ح</t>
        </is>
      </c>
      <c r="BK3" s="80" t="inlineStr">
        <is>
          <t>و</t>
        </is>
      </c>
      <c r="BL3" s="11" t="inlineStr">
        <is>
          <t>ح</t>
        </is>
      </c>
      <c r="BM3" s="80" t="inlineStr">
        <is>
          <t>و</t>
        </is>
      </c>
      <c r="BN3" s="11" t="inlineStr">
        <is>
          <t>ح</t>
        </is>
      </c>
      <c r="BO3" s="80" t="inlineStr">
        <is>
          <t>و</t>
        </is>
      </c>
      <c r="BP3" s="11" t="inlineStr">
        <is>
          <t>ح</t>
        </is>
      </c>
      <c r="BQ3" s="80" t="inlineStr">
        <is>
          <t>و</t>
        </is>
      </c>
      <c r="BR3" s="11" t="inlineStr">
        <is>
          <t>ح</t>
        </is>
      </c>
      <c r="BS3" s="80" t="inlineStr">
        <is>
          <t>و</t>
        </is>
      </c>
      <c r="BT3" s="11" t="inlineStr">
        <is>
          <t>ح</t>
        </is>
      </c>
      <c r="BU3" s="80" t="inlineStr">
        <is>
          <t>و</t>
        </is>
      </c>
      <c r="BV3" s="80" t="inlineStr">
        <is>
          <t>دفع</t>
        </is>
      </c>
      <c r="BW3" s="81" t="inlineStr">
        <is>
          <t>ح</t>
        </is>
      </c>
      <c r="BX3" s="82" t="inlineStr">
        <is>
          <t>و</t>
        </is>
      </c>
      <c r="BY3" s="81" t="inlineStr">
        <is>
          <t>ح</t>
        </is>
      </c>
      <c r="BZ3" s="82" t="inlineStr">
        <is>
          <t>و</t>
        </is>
      </c>
      <c r="CA3" s="81" t="inlineStr">
        <is>
          <t>ح</t>
        </is>
      </c>
      <c r="CB3" s="82" t="inlineStr">
        <is>
          <t>و</t>
        </is>
      </c>
      <c r="CC3" s="81" t="inlineStr">
        <is>
          <t>ح</t>
        </is>
      </c>
      <c r="CD3" s="82" t="inlineStr">
        <is>
          <t>و</t>
        </is>
      </c>
      <c r="CE3" s="81" t="inlineStr">
        <is>
          <t>ح</t>
        </is>
      </c>
      <c r="CF3" s="82" t="inlineStr">
        <is>
          <t>و</t>
        </is>
      </c>
      <c r="CG3" s="81" t="inlineStr">
        <is>
          <t>ح</t>
        </is>
      </c>
      <c r="CH3" s="82" t="inlineStr">
        <is>
          <t>و</t>
        </is>
      </c>
      <c r="CI3" s="81" t="inlineStr">
        <is>
          <t>ح</t>
        </is>
      </c>
      <c r="CJ3" s="82" t="inlineStr">
        <is>
          <t>و</t>
        </is>
      </c>
      <c r="CK3" s="81" t="inlineStr">
        <is>
          <t>ح</t>
        </is>
      </c>
      <c r="CL3" s="82" t="inlineStr">
        <is>
          <t>و</t>
        </is>
      </c>
      <c r="CM3" s="82" t="inlineStr">
        <is>
          <t>دفع</t>
        </is>
      </c>
      <c r="CN3" s="83" t="inlineStr">
        <is>
          <t>ح</t>
        </is>
      </c>
      <c r="CO3" s="84" t="inlineStr">
        <is>
          <t>و</t>
        </is>
      </c>
      <c r="CP3" s="83" t="inlineStr">
        <is>
          <t>ح</t>
        </is>
      </c>
      <c r="CQ3" s="84" t="inlineStr">
        <is>
          <t>و</t>
        </is>
      </c>
      <c r="CR3" s="83" t="inlineStr">
        <is>
          <t>ح</t>
        </is>
      </c>
      <c r="CS3" s="84" t="inlineStr">
        <is>
          <t>و</t>
        </is>
      </c>
      <c r="CT3" s="83" t="inlineStr">
        <is>
          <t>ح</t>
        </is>
      </c>
      <c r="CU3" s="84" t="inlineStr">
        <is>
          <t>و</t>
        </is>
      </c>
      <c r="CV3" s="83" t="inlineStr">
        <is>
          <t>ح</t>
        </is>
      </c>
      <c r="CW3" s="84" t="inlineStr">
        <is>
          <t>و</t>
        </is>
      </c>
      <c r="CX3" s="83" t="inlineStr">
        <is>
          <t>ح</t>
        </is>
      </c>
      <c r="CY3" s="84" t="inlineStr">
        <is>
          <t>و</t>
        </is>
      </c>
      <c r="CZ3" s="83" t="inlineStr">
        <is>
          <t>ح</t>
        </is>
      </c>
      <c r="DA3" s="84" t="inlineStr">
        <is>
          <t>و</t>
        </is>
      </c>
      <c r="DB3" s="83" t="inlineStr">
        <is>
          <t>ح</t>
        </is>
      </c>
      <c r="DC3" s="84" t="inlineStr">
        <is>
          <t>و</t>
        </is>
      </c>
      <c r="DD3" s="84" t="inlineStr">
        <is>
          <t>دفع</t>
        </is>
      </c>
      <c r="DE3" s="85" t="inlineStr">
        <is>
          <t>ح</t>
        </is>
      </c>
      <c r="DF3" s="86" t="inlineStr">
        <is>
          <t>و</t>
        </is>
      </c>
      <c r="DG3" s="85" t="inlineStr">
        <is>
          <t>ح</t>
        </is>
      </c>
      <c r="DH3" s="86" t="inlineStr">
        <is>
          <t>و</t>
        </is>
      </c>
      <c r="DI3" s="85" t="inlineStr">
        <is>
          <t>ح</t>
        </is>
      </c>
      <c r="DJ3" s="86" t="inlineStr">
        <is>
          <t>و</t>
        </is>
      </c>
      <c r="DK3" s="85" t="inlineStr">
        <is>
          <t>ح</t>
        </is>
      </c>
      <c r="DL3" s="86" t="inlineStr">
        <is>
          <t>و</t>
        </is>
      </c>
      <c r="DM3" s="85" t="inlineStr">
        <is>
          <t>ح</t>
        </is>
      </c>
      <c r="DN3" s="86" t="inlineStr">
        <is>
          <t>و</t>
        </is>
      </c>
      <c r="DO3" s="85" t="inlineStr">
        <is>
          <t>ح</t>
        </is>
      </c>
      <c r="DP3" s="86" t="inlineStr">
        <is>
          <t>و</t>
        </is>
      </c>
      <c r="DQ3" s="85" t="inlineStr">
        <is>
          <t>ح</t>
        </is>
      </c>
      <c r="DR3" s="86" t="inlineStr">
        <is>
          <t>و</t>
        </is>
      </c>
      <c r="DS3" s="85" t="inlineStr">
        <is>
          <t>ح</t>
        </is>
      </c>
      <c r="DT3" s="86" t="inlineStr">
        <is>
          <t>و</t>
        </is>
      </c>
      <c r="DU3" s="86" t="inlineStr">
        <is>
          <t>دفع</t>
        </is>
      </c>
      <c r="DV3" s="87" t="inlineStr">
        <is>
          <t>ح</t>
        </is>
      </c>
      <c r="DW3" s="88" t="inlineStr">
        <is>
          <t>و</t>
        </is>
      </c>
      <c r="DX3" s="87" t="inlineStr">
        <is>
          <t>ح</t>
        </is>
      </c>
      <c r="DY3" s="88" t="inlineStr">
        <is>
          <t>و</t>
        </is>
      </c>
      <c r="DZ3" s="87" t="inlineStr">
        <is>
          <t>ح</t>
        </is>
      </c>
      <c r="EA3" s="88" t="inlineStr">
        <is>
          <t>و</t>
        </is>
      </c>
      <c r="EB3" s="87" t="inlineStr">
        <is>
          <t>ح</t>
        </is>
      </c>
      <c r="EC3" s="88" t="inlineStr">
        <is>
          <t>و</t>
        </is>
      </c>
      <c r="ED3" s="87" t="inlineStr">
        <is>
          <t>ح</t>
        </is>
      </c>
      <c r="EE3" s="88" t="inlineStr">
        <is>
          <t>و</t>
        </is>
      </c>
      <c r="EF3" s="87" t="inlineStr">
        <is>
          <t>ح</t>
        </is>
      </c>
      <c r="EG3" s="88" t="inlineStr">
        <is>
          <t>و</t>
        </is>
      </c>
      <c r="EH3" s="87" t="inlineStr">
        <is>
          <t>ح</t>
        </is>
      </c>
      <c r="EI3" s="88" t="inlineStr">
        <is>
          <t>و</t>
        </is>
      </c>
      <c r="EJ3" s="87" t="inlineStr">
        <is>
          <t>ح</t>
        </is>
      </c>
      <c r="EK3" s="88" t="inlineStr">
        <is>
          <t>و</t>
        </is>
      </c>
      <c r="EL3" s="88" t="inlineStr">
        <is>
          <t>دفع</t>
        </is>
      </c>
      <c r="EM3" s="89" t="inlineStr">
        <is>
          <t>ح</t>
        </is>
      </c>
      <c r="EN3" s="90" t="inlineStr">
        <is>
          <t>و</t>
        </is>
      </c>
      <c r="EO3" s="89" t="inlineStr">
        <is>
          <t>ح</t>
        </is>
      </c>
      <c r="EP3" s="90" t="inlineStr">
        <is>
          <t>و</t>
        </is>
      </c>
      <c r="EQ3" s="89" t="inlineStr">
        <is>
          <t>ح</t>
        </is>
      </c>
      <c r="ER3" s="90" t="inlineStr">
        <is>
          <t>و</t>
        </is>
      </c>
      <c r="ES3" s="89" t="inlineStr">
        <is>
          <t>ح</t>
        </is>
      </c>
      <c r="ET3" s="90" t="inlineStr">
        <is>
          <t>و</t>
        </is>
      </c>
      <c r="EU3" s="89" t="inlineStr">
        <is>
          <t>ح</t>
        </is>
      </c>
      <c r="EV3" s="90" t="inlineStr">
        <is>
          <t>و</t>
        </is>
      </c>
      <c r="EW3" s="89" t="inlineStr">
        <is>
          <t>ح</t>
        </is>
      </c>
      <c r="EX3" s="90" t="inlineStr">
        <is>
          <t>و</t>
        </is>
      </c>
      <c r="EY3" s="89" t="inlineStr">
        <is>
          <t>ح</t>
        </is>
      </c>
      <c r="EZ3" s="90" t="inlineStr">
        <is>
          <t>و</t>
        </is>
      </c>
      <c r="FA3" s="89" t="inlineStr">
        <is>
          <t>ح</t>
        </is>
      </c>
      <c r="FB3" s="90" t="inlineStr">
        <is>
          <t>و</t>
        </is>
      </c>
      <c r="FC3" s="90" t="inlineStr">
        <is>
          <t>دفع</t>
        </is>
      </c>
      <c r="FD3" s="91" t="inlineStr">
        <is>
          <t>ح</t>
        </is>
      </c>
      <c r="FE3" s="92" t="inlineStr">
        <is>
          <t>و</t>
        </is>
      </c>
      <c r="FF3" s="91" t="inlineStr">
        <is>
          <t>ح</t>
        </is>
      </c>
      <c r="FG3" s="92" t="inlineStr">
        <is>
          <t>و</t>
        </is>
      </c>
      <c r="FH3" s="91" t="inlineStr">
        <is>
          <t>ح</t>
        </is>
      </c>
      <c r="FI3" s="92" t="inlineStr">
        <is>
          <t>و</t>
        </is>
      </c>
      <c r="FJ3" s="91" t="inlineStr">
        <is>
          <t>ح</t>
        </is>
      </c>
      <c r="FK3" s="92" t="inlineStr">
        <is>
          <t>و</t>
        </is>
      </c>
      <c r="FL3" s="91" t="inlineStr">
        <is>
          <t>ح</t>
        </is>
      </c>
      <c r="FM3" s="92" t="inlineStr">
        <is>
          <t>و</t>
        </is>
      </c>
      <c r="FN3" s="91" t="inlineStr">
        <is>
          <t>ح</t>
        </is>
      </c>
      <c r="FO3" s="92" t="inlineStr">
        <is>
          <t>و</t>
        </is>
      </c>
      <c r="FP3" s="91" t="inlineStr">
        <is>
          <t>ح</t>
        </is>
      </c>
      <c r="FQ3" s="92" t="inlineStr">
        <is>
          <t>و</t>
        </is>
      </c>
      <c r="FR3" s="91" t="inlineStr">
        <is>
          <t>ح</t>
        </is>
      </c>
      <c r="FS3" s="92" t="inlineStr">
        <is>
          <t>و</t>
        </is>
      </c>
      <c r="FT3" s="92" t="inlineStr">
        <is>
          <t>دفع</t>
        </is>
      </c>
      <c r="FU3" s="93" t="inlineStr">
        <is>
          <t>ح</t>
        </is>
      </c>
      <c r="FV3" s="94" t="inlineStr">
        <is>
          <t>و</t>
        </is>
      </c>
      <c r="FW3" s="93" t="inlineStr">
        <is>
          <t>ح</t>
        </is>
      </c>
      <c r="FX3" s="94" t="inlineStr">
        <is>
          <t>و</t>
        </is>
      </c>
      <c r="FY3" s="93" t="inlineStr">
        <is>
          <t>ح</t>
        </is>
      </c>
      <c r="FZ3" s="94" t="inlineStr">
        <is>
          <t>و</t>
        </is>
      </c>
      <c r="GA3" s="93" t="inlineStr">
        <is>
          <t>ح</t>
        </is>
      </c>
      <c r="GB3" s="94" t="inlineStr">
        <is>
          <t>و</t>
        </is>
      </c>
      <c r="GC3" s="93" t="inlineStr">
        <is>
          <t>ح</t>
        </is>
      </c>
      <c r="GD3" s="94" t="inlineStr">
        <is>
          <t>و</t>
        </is>
      </c>
      <c r="GE3" s="93" t="inlineStr">
        <is>
          <t>ح</t>
        </is>
      </c>
      <c r="GF3" s="94" t="inlineStr">
        <is>
          <t>و</t>
        </is>
      </c>
      <c r="GG3" s="93" t="inlineStr">
        <is>
          <t>ح</t>
        </is>
      </c>
      <c r="GH3" s="94" t="inlineStr">
        <is>
          <t>و</t>
        </is>
      </c>
      <c r="GI3" s="93" t="inlineStr">
        <is>
          <t>ح</t>
        </is>
      </c>
      <c r="GJ3" s="94" t="inlineStr">
        <is>
          <t>و</t>
        </is>
      </c>
      <c r="GK3" s="94" t="inlineStr">
        <is>
          <t>دفع</t>
        </is>
      </c>
      <c r="GL3" s="95" t="inlineStr">
        <is>
          <t>ح</t>
        </is>
      </c>
      <c r="GM3" s="96" t="inlineStr">
        <is>
          <t>و</t>
        </is>
      </c>
      <c r="GN3" s="95" t="inlineStr">
        <is>
          <t>ح</t>
        </is>
      </c>
      <c r="GO3" s="96" t="inlineStr">
        <is>
          <t>و</t>
        </is>
      </c>
      <c r="GP3" s="95" t="inlineStr">
        <is>
          <t>ح</t>
        </is>
      </c>
      <c r="GQ3" s="96" t="inlineStr">
        <is>
          <t>و</t>
        </is>
      </c>
      <c r="GR3" s="95" t="inlineStr">
        <is>
          <t>ح</t>
        </is>
      </c>
      <c r="GS3" s="96" t="inlineStr">
        <is>
          <t>و</t>
        </is>
      </c>
      <c r="GT3" s="95" t="inlineStr">
        <is>
          <t>ح</t>
        </is>
      </c>
      <c r="GU3" s="96" t="inlineStr">
        <is>
          <t>و</t>
        </is>
      </c>
      <c r="GV3" s="95" t="inlineStr">
        <is>
          <t>ح</t>
        </is>
      </c>
      <c r="GW3" s="96" t="inlineStr">
        <is>
          <t>و</t>
        </is>
      </c>
      <c r="GX3" s="95" t="inlineStr">
        <is>
          <t>ح</t>
        </is>
      </c>
      <c r="GY3" s="96" t="inlineStr">
        <is>
          <t>و</t>
        </is>
      </c>
      <c r="GZ3" s="95" t="inlineStr">
        <is>
          <t>ح</t>
        </is>
      </c>
      <c r="HA3" s="96" t="inlineStr">
        <is>
          <t>و</t>
        </is>
      </c>
      <c r="HB3" s="96" t="inlineStr">
        <is>
          <t>دفع</t>
        </is>
      </c>
    </row>
    <row r="4" ht="22.5" customHeight="1">
      <c r="A4" s="36" t="n">
        <v>1</v>
      </c>
      <c r="B4" s="97" t="n"/>
      <c r="C4" s="28" t="n"/>
      <c r="D4" s="98" t="str">
        <f>IF($B4="","",IF($HC4=0,"-",($HC4-8*INT(($HC4-1)/8))&amp;"/8"))</f>
        <v/>
      </c>
      <c r="E4" s="98" t="str">
        <f>IF($B4="","",IF(AND($HC4=0,$HD4=0),"-",$HE4))</f>
        <v/>
      </c>
      <c r="F4" s="99" t="str">
        <f>IF($B4="","",IF(AND($HC4=0,$HD4=0),"جديد",IF($HE4&gt;1,"تمام",IF($HE4=1,"آخر حصة",IF($HE4=0,"تجديد",IF($HE4=-1,"عليه حصة",IF($HE4=-2,"عليه حصتين","عليه "&amp;(-$HE4)&amp;" حصص")))))))</f>
        <v/>
      </c>
      <c r="G4" s="100" t="n"/>
      <c r="H4" s="101" t="n"/>
      <c r="I4" s="100" t="n"/>
      <c r="J4" s="101" t="n"/>
      <c r="K4" s="100" t="n"/>
      <c r="L4" s="101" t="n"/>
      <c r="M4" s="100" t="n"/>
      <c r="N4" s="101" t="n"/>
      <c r="O4" s="100" t="n"/>
      <c r="P4" s="101" t="n"/>
      <c r="Q4" s="100" t="n"/>
      <c r="R4" s="101" t="n"/>
      <c r="S4" s="100" t="n"/>
      <c r="T4" s="101" t="n"/>
      <c r="U4" s="100" t="n"/>
      <c r="V4" s="101" t="n"/>
      <c r="W4" s="102" t="n"/>
      <c r="X4" s="103" t="n"/>
      <c r="Y4" s="104" t="n"/>
      <c r="Z4" s="103" t="n"/>
      <c r="AA4" s="104" t="n"/>
      <c r="AB4" s="103" t="n"/>
      <c r="AC4" s="104" t="n"/>
      <c r="AD4" s="103" t="n"/>
      <c r="AE4" s="104" t="n"/>
      <c r="AF4" s="103" t="n"/>
      <c r="AG4" s="104" t="n"/>
      <c r="AH4" s="103" t="n"/>
      <c r="AI4" s="104" t="n"/>
      <c r="AJ4" s="103" t="n"/>
      <c r="AK4" s="104" t="n"/>
      <c r="AL4" s="103" t="n"/>
      <c r="AM4" s="104" t="n"/>
      <c r="AN4" s="105" t="n"/>
      <c r="AO4" s="106" t="n"/>
      <c r="AP4" s="107" t="n"/>
      <c r="AQ4" s="106" t="n"/>
      <c r="AR4" s="107" t="n"/>
      <c r="AS4" s="106" t="n"/>
      <c r="AT4" s="107" t="n"/>
      <c r="AU4" s="106" t="n"/>
      <c r="AV4" s="107" t="n"/>
      <c r="AW4" s="106" t="n"/>
      <c r="AX4" s="107" t="n"/>
      <c r="AY4" s="106" t="n"/>
      <c r="AZ4" s="107" t="n"/>
      <c r="BA4" s="106" t="n"/>
      <c r="BB4" s="107" t="n"/>
      <c r="BC4" s="106" t="n"/>
      <c r="BD4" s="107" t="n"/>
      <c r="BE4" s="108" t="n"/>
      <c r="BF4" s="109" t="n"/>
      <c r="BG4" s="110" t="n"/>
      <c r="BH4" s="109" t="n"/>
      <c r="BI4" s="110" t="n"/>
      <c r="BJ4" s="109" t="n"/>
      <c r="BK4" s="110" t="n"/>
      <c r="BL4" s="109" t="n"/>
      <c r="BM4" s="110" t="n"/>
      <c r="BN4" s="109" t="n"/>
      <c r="BO4" s="110" t="n"/>
      <c r="BP4" s="109" t="n"/>
      <c r="BQ4" s="110" t="n"/>
      <c r="BR4" s="109" t="n"/>
      <c r="BS4" s="110" t="n"/>
      <c r="BT4" s="109" t="n"/>
      <c r="BU4" s="110" t="n"/>
      <c r="BV4" s="111" t="n"/>
      <c r="BW4" s="112" t="n"/>
      <c r="BX4" s="113" t="n"/>
      <c r="BY4" s="112" t="n"/>
      <c r="BZ4" s="113" t="n"/>
      <c r="CA4" s="112" t="n"/>
      <c r="CB4" s="113" t="n"/>
      <c r="CC4" s="112" t="n"/>
      <c r="CD4" s="113" t="n"/>
      <c r="CE4" s="112" t="n"/>
      <c r="CF4" s="113" t="n"/>
      <c r="CG4" s="112" t="n"/>
      <c r="CH4" s="113" t="n"/>
      <c r="CI4" s="112" t="n"/>
      <c r="CJ4" s="113" t="n"/>
      <c r="CK4" s="112" t="n"/>
      <c r="CL4" s="113" t="n"/>
      <c r="CM4" s="114" t="n"/>
      <c r="CN4" s="115" t="n"/>
      <c r="CO4" s="116" t="n"/>
      <c r="CP4" s="115" t="n"/>
      <c r="CQ4" s="116" t="n"/>
      <c r="CR4" s="115" t="n"/>
      <c r="CS4" s="116" t="n"/>
      <c r="CT4" s="115" t="n"/>
      <c r="CU4" s="116" t="n"/>
      <c r="CV4" s="115" t="n"/>
      <c r="CW4" s="116" t="n"/>
      <c r="CX4" s="115" t="n"/>
      <c r="CY4" s="116" t="n"/>
      <c r="CZ4" s="115" t="n"/>
      <c r="DA4" s="116" t="n"/>
      <c r="DB4" s="115" t="n"/>
      <c r="DC4" s="116" t="n"/>
      <c r="DD4" s="117" t="n"/>
      <c r="DE4" s="118" t="n"/>
      <c r="DF4" s="119" t="n"/>
      <c r="DG4" s="118" t="n"/>
      <c r="DH4" s="119" t="n"/>
      <c r="DI4" s="118" t="n"/>
      <c r="DJ4" s="119" t="n"/>
      <c r="DK4" s="118" t="n"/>
      <c r="DL4" s="119" t="n"/>
      <c r="DM4" s="118" t="n"/>
      <c r="DN4" s="119" t="n"/>
      <c r="DO4" s="118" t="n"/>
      <c r="DP4" s="119" t="n"/>
      <c r="DQ4" s="118" t="n"/>
      <c r="DR4" s="119" t="n"/>
      <c r="DS4" s="118" t="n"/>
      <c r="DT4" s="119" t="n"/>
      <c r="DU4" s="120" t="n"/>
      <c r="DV4" s="121" t="n"/>
      <c r="DW4" s="122" t="n"/>
      <c r="DX4" s="121" t="n"/>
      <c r="DY4" s="122" t="n"/>
      <c r="DZ4" s="121" t="n"/>
      <c r="EA4" s="122" t="n"/>
      <c r="EB4" s="121" t="n"/>
      <c r="EC4" s="122" t="n"/>
      <c r="ED4" s="121" t="n"/>
      <c r="EE4" s="122" t="n"/>
      <c r="EF4" s="121" t="n"/>
      <c r="EG4" s="122" t="n"/>
      <c r="EH4" s="121" t="n"/>
      <c r="EI4" s="122" t="n"/>
      <c r="EJ4" s="121" t="n"/>
      <c r="EK4" s="122" t="n"/>
      <c r="EL4" s="123" t="n"/>
      <c r="EM4" s="124" t="n"/>
      <c r="EN4" s="125" t="n"/>
      <c r="EO4" s="124" t="n"/>
      <c r="EP4" s="125" t="n"/>
      <c r="EQ4" s="124" t="n"/>
      <c r="ER4" s="125" t="n"/>
      <c r="ES4" s="124" t="n"/>
      <c r="ET4" s="125" t="n"/>
      <c r="EU4" s="124" t="n"/>
      <c r="EV4" s="125" t="n"/>
      <c r="EW4" s="124" t="n"/>
      <c r="EX4" s="125" t="n"/>
      <c r="EY4" s="124" t="n"/>
      <c r="EZ4" s="125" t="n"/>
      <c r="FA4" s="124" t="n"/>
      <c r="FB4" s="125" t="n"/>
      <c r="FC4" s="126" t="n"/>
      <c r="FD4" s="127" t="n"/>
      <c r="FE4" s="128" t="n"/>
      <c r="FF4" s="127" t="n"/>
      <c r="FG4" s="128" t="n"/>
      <c r="FH4" s="127" t="n"/>
      <c r="FI4" s="128" t="n"/>
      <c r="FJ4" s="127" t="n"/>
      <c r="FK4" s="128" t="n"/>
      <c r="FL4" s="127" t="n"/>
      <c r="FM4" s="128" t="n"/>
      <c r="FN4" s="127" t="n"/>
      <c r="FO4" s="128" t="n"/>
      <c r="FP4" s="127" t="n"/>
      <c r="FQ4" s="128" t="n"/>
      <c r="FR4" s="127" t="n"/>
      <c r="FS4" s="128" t="n"/>
      <c r="FT4" s="129" t="n"/>
      <c r="FU4" s="130" t="n"/>
      <c r="FV4" s="131" t="n"/>
      <c r="FW4" s="130" t="n"/>
      <c r="FX4" s="131" t="n"/>
      <c r="FY4" s="130" t="n"/>
      <c r="FZ4" s="131" t="n"/>
      <c r="GA4" s="130" t="n"/>
      <c r="GB4" s="131" t="n"/>
      <c r="GC4" s="130" t="n"/>
      <c r="GD4" s="131" t="n"/>
      <c r="GE4" s="130" t="n"/>
      <c r="GF4" s="131" t="n"/>
      <c r="GG4" s="130" t="n"/>
      <c r="GH4" s="131" t="n"/>
      <c r="GI4" s="130" t="n"/>
      <c r="GJ4" s="131" t="n"/>
      <c r="GK4" s="132" t="n"/>
      <c r="GL4" s="133" t="n"/>
      <c r="GM4" s="134" t="n"/>
      <c r="GN4" s="133" t="n"/>
      <c r="GO4" s="134" t="n"/>
      <c r="GP4" s="133" t="n"/>
      <c r="GQ4" s="134" t="n"/>
      <c r="GR4" s="133" t="n"/>
      <c r="GS4" s="134" t="n"/>
      <c r="GT4" s="133" t="n"/>
      <c r="GU4" s="134" t="n"/>
      <c r="GV4" s="133" t="n"/>
      <c r="GW4" s="134" t="n"/>
      <c r="GX4" s="133" t="n"/>
      <c r="GY4" s="134" t="n"/>
      <c r="GZ4" s="133" t="n"/>
      <c r="HA4" s="134" t="n"/>
      <c r="HB4" s="135" t="n"/>
      <c r="HC4">
        <f>COUNTIFS($G$3:$HB$3,"ح",$G4:$HB4,TRUE)</f>
        <v>0</v>
      </c>
      <c r="HD4">
        <f>COUNTIFS($G$3:$HB$3,"دفع",$G4:$HB4,TRUE)</f>
        <v>0</v>
      </c>
      <c r="HE4">
        <f>8*$HD4-$HC4</f>
        <v>0</v>
      </c>
    </row>
    <row r="5" ht="22.5" customHeight="1">
      <c r="A5" s="36" t="n">
        <v>2</v>
      </c>
      <c r="B5" s="97" t="n"/>
      <c r="C5" s="28" t="n"/>
      <c r="D5" s="98" t="str">
        <f>IF($B5="","",IF($HC5=0,"-",($HC5-8*INT(($HC5-1)/8))&amp;"/8"))</f>
        <v/>
      </c>
      <c r="E5" s="98" t="str">
        <f>IF($B5="","",IF(AND($HC5=0,$HD5=0),"-",$HE5))</f>
        <v/>
      </c>
      <c r="F5" s="99" t="str">
        <f>IF($B5="","",IF(AND($HC5=0,$HD5=0),"جديد",IF($HE5&gt;1,"تمام",IF($HE5=1,"آخر حصة",IF($HE5=0,"تجديد",IF($HE5=-1,"عليه حصة",IF($HE5=-2,"عليه حصتين","عليه "&amp;(-$HE5)&amp;" حصص")))))))</f>
        <v/>
      </c>
      <c r="G5" s="100" t="n"/>
      <c r="H5" s="101" t="n"/>
      <c r="I5" s="100" t="n"/>
      <c r="J5" s="101" t="n"/>
      <c r="K5" s="100" t="n"/>
      <c r="L5" s="101" t="n"/>
      <c r="M5" s="100" t="n"/>
      <c r="N5" s="101" t="n"/>
      <c r="O5" s="100" t="n"/>
      <c r="P5" s="101" t="n"/>
      <c r="Q5" s="100" t="n"/>
      <c r="R5" s="101" t="n"/>
      <c r="S5" s="100" t="n"/>
      <c r="T5" s="101" t="n"/>
      <c r="U5" s="100" t="n"/>
      <c r="V5" s="101" t="n"/>
      <c r="W5" s="102" t="n"/>
      <c r="X5" s="103" t="n"/>
      <c r="Y5" s="104" t="n"/>
      <c r="Z5" s="103" t="n"/>
      <c r="AA5" s="104" t="n"/>
      <c r="AB5" s="103" t="n"/>
      <c r="AC5" s="104" t="n"/>
      <c r="AD5" s="103" t="n"/>
      <c r="AE5" s="104" t="n"/>
      <c r="AF5" s="103" t="n"/>
      <c r="AG5" s="104" t="n"/>
      <c r="AH5" s="103" t="n"/>
      <c r="AI5" s="104" t="n"/>
      <c r="AJ5" s="103" t="n"/>
      <c r="AK5" s="104" t="n"/>
      <c r="AL5" s="103" t="n"/>
      <c r="AM5" s="104" t="n"/>
      <c r="AN5" s="105" t="n"/>
      <c r="AO5" s="106" t="n"/>
      <c r="AP5" s="107" t="n"/>
      <c r="AQ5" s="106" t="n"/>
      <c r="AR5" s="107" t="n"/>
      <c r="AS5" s="106" t="n"/>
      <c r="AT5" s="107" t="n"/>
      <c r="AU5" s="106" t="n"/>
      <c r="AV5" s="107" t="n"/>
      <c r="AW5" s="106" t="n"/>
      <c r="AX5" s="107" t="n"/>
      <c r="AY5" s="106" t="n"/>
      <c r="AZ5" s="107" t="n"/>
      <c r="BA5" s="106" t="n"/>
      <c r="BB5" s="107" t="n"/>
      <c r="BC5" s="106" t="n"/>
      <c r="BD5" s="107" t="n"/>
      <c r="BE5" s="108" t="n"/>
      <c r="BF5" s="109" t="n"/>
      <c r="BG5" s="110" t="n"/>
      <c r="BH5" s="109" t="n"/>
      <c r="BI5" s="110" t="n"/>
      <c r="BJ5" s="109" t="n"/>
      <c r="BK5" s="110" t="n"/>
      <c r="BL5" s="109" t="n"/>
      <c r="BM5" s="110" t="n"/>
      <c r="BN5" s="109" t="n"/>
      <c r="BO5" s="110" t="n"/>
      <c r="BP5" s="109" t="n"/>
      <c r="BQ5" s="110" t="n"/>
      <c r="BR5" s="109" t="n"/>
      <c r="BS5" s="110" t="n"/>
      <c r="BT5" s="109" t="n"/>
      <c r="BU5" s="110" t="n"/>
      <c r="BV5" s="111" t="n"/>
      <c r="BW5" s="112" t="n"/>
      <c r="BX5" s="113" t="n"/>
      <c r="BY5" s="112" t="n"/>
      <c r="BZ5" s="113" t="n"/>
      <c r="CA5" s="112" t="n"/>
      <c r="CB5" s="113" t="n"/>
      <c r="CC5" s="112" t="n"/>
      <c r="CD5" s="113" t="n"/>
      <c r="CE5" s="112" t="n"/>
      <c r="CF5" s="113" t="n"/>
      <c r="CG5" s="112" t="n"/>
      <c r="CH5" s="113" t="n"/>
      <c r="CI5" s="112" t="n"/>
      <c r="CJ5" s="113" t="n"/>
      <c r="CK5" s="112" t="n"/>
      <c r="CL5" s="113" t="n"/>
      <c r="CM5" s="114" t="n"/>
      <c r="CN5" s="115" t="n"/>
      <c r="CO5" s="116" t="n"/>
      <c r="CP5" s="115" t="n"/>
      <c r="CQ5" s="116" t="n"/>
      <c r="CR5" s="115" t="n"/>
      <c r="CS5" s="116" t="n"/>
      <c r="CT5" s="115" t="n"/>
      <c r="CU5" s="116" t="n"/>
      <c r="CV5" s="115" t="n"/>
      <c r="CW5" s="116" t="n"/>
      <c r="CX5" s="115" t="n"/>
      <c r="CY5" s="116" t="n"/>
      <c r="CZ5" s="115" t="n"/>
      <c r="DA5" s="116" t="n"/>
      <c r="DB5" s="115" t="n"/>
      <c r="DC5" s="116" t="n"/>
      <c r="DD5" s="117" t="n"/>
      <c r="DE5" s="118" t="n"/>
      <c r="DF5" s="119" t="n"/>
      <c r="DG5" s="118" t="n"/>
      <c r="DH5" s="119" t="n"/>
      <c r="DI5" s="118" t="n"/>
      <c r="DJ5" s="119" t="n"/>
      <c r="DK5" s="118" t="n"/>
      <c r="DL5" s="119" t="n"/>
      <c r="DM5" s="118" t="n"/>
      <c r="DN5" s="119" t="n"/>
      <c r="DO5" s="118" t="n"/>
      <c r="DP5" s="119" t="n"/>
      <c r="DQ5" s="118" t="n"/>
      <c r="DR5" s="119" t="n"/>
      <c r="DS5" s="118" t="n"/>
      <c r="DT5" s="119" t="n"/>
      <c r="DU5" s="120" t="n"/>
      <c r="DV5" s="121" t="n"/>
      <c r="DW5" s="122" t="n"/>
      <c r="DX5" s="121" t="n"/>
      <c r="DY5" s="122" t="n"/>
      <c r="DZ5" s="121" t="n"/>
      <c r="EA5" s="122" t="n"/>
      <c r="EB5" s="121" t="n"/>
      <c r="EC5" s="122" t="n"/>
      <c r="ED5" s="121" t="n"/>
      <c r="EE5" s="122" t="n"/>
      <c r="EF5" s="121" t="n"/>
      <c r="EG5" s="122" t="n"/>
      <c r="EH5" s="121" t="n"/>
      <c r="EI5" s="122" t="n"/>
      <c r="EJ5" s="121" t="n"/>
      <c r="EK5" s="122" t="n"/>
      <c r="EL5" s="123" t="n"/>
      <c r="EM5" s="124" t="n"/>
      <c r="EN5" s="125" t="n"/>
      <c r="EO5" s="124" t="n"/>
      <c r="EP5" s="125" t="n"/>
      <c r="EQ5" s="124" t="n"/>
      <c r="ER5" s="125" t="n"/>
      <c r="ES5" s="124" t="n"/>
      <c r="ET5" s="125" t="n"/>
      <c r="EU5" s="124" t="n"/>
      <c r="EV5" s="125" t="n"/>
      <c r="EW5" s="124" t="n"/>
      <c r="EX5" s="125" t="n"/>
      <c r="EY5" s="124" t="n"/>
      <c r="EZ5" s="125" t="n"/>
      <c r="FA5" s="124" t="n"/>
      <c r="FB5" s="125" t="n"/>
      <c r="FC5" s="126" t="n"/>
      <c r="FD5" s="127" t="n"/>
      <c r="FE5" s="128" t="n"/>
      <c r="FF5" s="127" t="n"/>
      <c r="FG5" s="128" t="n"/>
      <c r="FH5" s="127" t="n"/>
      <c r="FI5" s="128" t="n"/>
      <c r="FJ5" s="127" t="n"/>
      <c r="FK5" s="128" t="n"/>
      <c r="FL5" s="127" t="n"/>
      <c r="FM5" s="128" t="n"/>
      <c r="FN5" s="127" t="n"/>
      <c r="FO5" s="128" t="n"/>
      <c r="FP5" s="127" t="n"/>
      <c r="FQ5" s="128" t="n"/>
      <c r="FR5" s="127" t="n"/>
      <c r="FS5" s="128" t="n"/>
      <c r="FT5" s="129" t="n"/>
      <c r="FU5" s="130" t="n"/>
      <c r="FV5" s="131" t="n"/>
      <c r="FW5" s="130" t="n"/>
      <c r="FX5" s="131" t="n"/>
      <c r="FY5" s="130" t="n"/>
      <c r="FZ5" s="131" t="n"/>
      <c r="GA5" s="130" t="n"/>
      <c r="GB5" s="131" t="n"/>
      <c r="GC5" s="130" t="n"/>
      <c r="GD5" s="131" t="n"/>
      <c r="GE5" s="130" t="n"/>
      <c r="GF5" s="131" t="n"/>
      <c r="GG5" s="130" t="n"/>
      <c r="GH5" s="131" t="n"/>
      <c r="GI5" s="130" t="n"/>
      <c r="GJ5" s="131" t="n"/>
      <c r="GK5" s="132" t="n"/>
      <c r="GL5" s="133" t="n"/>
      <c r="GM5" s="134" t="n"/>
      <c r="GN5" s="133" t="n"/>
      <c r="GO5" s="134" t="n"/>
      <c r="GP5" s="133" t="n"/>
      <c r="GQ5" s="134" t="n"/>
      <c r="GR5" s="133" t="n"/>
      <c r="GS5" s="134" t="n"/>
      <c r="GT5" s="133" t="n"/>
      <c r="GU5" s="134" t="n"/>
      <c r="GV5" s="133" t="n"/>
      <c r="GW5" s="134" t="n"/>
      <c r="GX5" s="133" t="n"/>
      <c r="GY5" s="134" t="n"/>
      <c r="GZ5" s="133" t="n"/>
      <c r="HA5" s="134" t="n"/>
      <c r="HB5" s="135" t="n"/>
      <c r="HC5">
        <f>COUNTIFS($G$3:$HB$3,"ح",$G5:$HB5,TRUE)</f>
        <v>0</v>
      </c>
      <c r="HD5">
        <f>COUNTIFS($G$3:$HB$3,"دفع",$G5:$HB5,TRUE)</f>
        <v>0</v>
      </c>
      <c r="HE5">
        <f>8*$HD5-$HC5</f>
        <v>0</v>
      </c>
    </row>
    <row r="6" ht="22.5" customHeight="1">
      <c r="A6" s="36" t="n">
        <v>3</v>
      </c>
      <c r="B6" s="97" t="n"/>
      <c r="C6" s="28" t="n"/>
      <c r="D6" s="98" t="str">
        <f>IF($B6="","",IF($HC6=0,"-",($HC6-8*INT(($HC6-1)/8))&amp;"/8"))</f>
        <v/>
      </c>
      <c r="E6" s="98" t="str">
        <f>IF($B6="","",IF(AND($HC6=0,$HD6=0),"-",$HE6))</f>
        <v/>
      </c>
      <c r="F6" s="99" t="str">
        <f>IF($B6="","",IF(AND($HC6=0,$HD6=0),"جديد",IF($HE6&gt;1,"تمام",IF($HE6=1,"آخر حصة",IF($HE6=0,"تجديد",IF($HE6=-1,"عليه حصة",IF($HE6=-2,"عليه حصتين","عليه "&amp;(-$HE6)&amp;" حصص")))))))</f>
        <v/>
      </c>
      <c r="G6" s="100" t="n"/>
      <c r="H6" s="101" t="n"/>
      <c r="I6" s="100" t="n"/>
      <c r="J6" s="101" t="n"/>
      <c r="K6" s="100" t="n"/>
      <c r="L6" s="101" t="n"/>
      <c r="M6" s="100" t="n"/>
      <c r="N6" s="101" t="n"/>
      <c r="O6" s="100" t="n"/>
      <c r="P6" s="101" t="n"/>
      <c r="Q6" s="100" t="n"/>
      <c r="R6" s="101" t="n"/>
      <c r="S6" s="100" t="n"/>
      <c r="T6" s="101" t="n"/>
      <c r="U6" s="100" t="n"/>
      <c r="V6" s="101" t="n"/>
      <c r="W6" s="102" t="n"/>
      <c r="X6" s="103" t="n"/>
      <c r="Y6" s="104" t="n"/>
      <c r="Z6" s="103" t="n"/>
      <c r="AA6" s="104" t="n"/>
      <c r="AB6" s="103" t="n"/>
      <c r="AC6" s="104" t="n"/>
      <c r="AD6" s="103" t="n"/>
      <c r="AE6" s="104" t="n"/>
      <c r="AF6" s="103" t="n"/>
      <c r="AG6" s="104" t="n"/>
      <c r="AH6" s="103" t="n"/>
      <c r="AI6" s="104" t="n"/>
      <c r="AJ6" s="103" t="n"/>
      <c r="AK6" s="104" t="n"/>
      <c r="AL6" s="103" t="n"/>
      <c r="AM6" s="104" t="n"/>
      <c r="AN6" s="105" t="n"/>
      <c r="AO6" s="106" t="n"/>
      <c r="AP6" s="107" t="n"/>
      <c r="AQ6" s="106" t="n"/>
      <c r="AR6" s="107" t="n"/>
      <c r="AS6" s="106" t="n"/>
      <c r="AT6" s="107" t="n"/>
      <c r="AU6" s="106" t="n"/>
      <c r="AV6" s="107" t="n"/>
      <c r="AW6" s="106" t="n"/>
      <c r="AX6" s="107" t="n"/>
      <c r="AY6" s="106" t="n"/>
      <c r="AZ6" s="107" t="n"/>
      <c r="BA6" s="106" t="n"/>
      <c r="BB6" s="107" t="n"/>
      <c r="BC6" s="106" t="n"/>
      <c r="BD6" s="107" t="n"/>
      <c r="BE6" s="108" t="n"/>
      <c r="BF6" s="109" t="n"/>
      <c r="BG6" s="110" t="n"/>
      <c r="BH6" s="109" t="n"/>
      <c r="BI6" s="110" t="n"/>
      <c r="BJ6" s="109" t="n"/>
      <c r="BK6" s="110" t="n"/>
      <c r="BL6" s="109" t="n"/>
      <c r="BM6" s="110" t="n"/>
      <c r="BN6" s="109" t="n"/>
      <c r="BO6" s="110" t="n"/>
      <c r="BP6" s="109" t="n"/>
      <c r="BQ6" s="110" t="n"/>
      <c r="BR6" s="109" t="n"/>
      <c r="BS6" s="110" t="n"/>
      <c r="BT6" s="109" t="n"/>
      <c r="BU6" s="110" t="n"/>
      <c r="BV6" s="111" t="n"/>
      <c r="BW6" s="112" t="n"/>
      <c r="BX6" s="113" t="n"/>
      <c r="BY6" s="112" t="n"/>
      <c r="BZ6" s="113" t="n"/>
      <c r="CA6" s="112" t="n"/>
      <c r="CB6" s="113" t="n"/>
      <c r="CC6" s="112" t="n"/>
      <c r="CD6" s="113" t="n"/>
      <c r="CE6" s="112" t="n"/>
      <c r="CF6" s="113" t="n"/>
      <c r="CG6" s="112" t="n"/>
      <c r="CH6" s="113" t="n"/>
      <c r="CI6" s="112" t="n"/>
      <c r="CJ6" s="113" t="n"/>
      <c r="CK6" s="112" t="n"/>
      <c r="CL6" s="113" t="n"/>
      <c r="CM6" s="114" t="n"/>
      <c r="CN6" s="115" t="n"/>
      <c r="CO6" s="116" t="n"/>
      <c r="CP6" s="115" t="n"/>
      <c r="CQ6" s="116" t="n"/>
      <c r="CR6" s="115" t="n"/>
      <c r="CS6" s="116" t="n"/>
      <c r="CT6" s="115" t="n"/>
      <c r="CU6" s="116" t="n"/>
      <c r="CV6" s="115" t="n"/>
      <c r="CW6" s="116" t="n"/>
      <c r="CX6" s="115" t="n"/>
      <c r="CY6" s="116" t="n"/>
      <c r="CZ6" s="115" t="n"/>
      <c r="DA6" s="116" t="n"/>
      <c r="DB6" s="115" t="n"/>
      <c r="DC6" s="116" t="n"/>
      <c r="DD6" s="117" t="n"/>
      <c r="DE6" s="118" t="n"/>
      <c r="DF6" s="119" t="n"/>
      <c r="DG6" s="118" t="n"/>
      <c r="DH6" s="119" t="n"/>
      <c r="DI6" s="118" t="n"/>
      <c r="DJ6" s="119" t="n"/>
      <c r="DK6" s="118" t="n"/>
      <c r="DL6" s="119" t="n"/>
      <c r="DM6" s="118" t="n"/>
      <c r="DN6" s="119" t="n"/>
      <c r="DO6" s="118" t="n"/>
      <c r="DP6" s="119" t="n"/>
      <c r="DQ6" s="118" t="n"/>
      <c r="DR6" s="119" t="n"/>
      <c r="DS6" s="118" t="n"/>
      <c r="DT6" s="119" t="n"/>
      <c r="DU6" s="120" t="n"/>
      <c r="DV6" s="121" t="n"/>
      <c r="DW6" s="122" t="n"/>
      <c r="DX6" s="121" t="n"/>
      <c r="DY6" s="122" t="n"/>
      <c r="DZ6" s="121" t="n"/>
      <c r="EA6" s="122" t="n"/>
      <c r="EB6" s="121" t="n"/>
      <c r="EC6" s="122" t="n"/>
      <c r="ED6" s="121" t="n"/>
      <c r="EE6" s="122" t="n"/>
      <c r="EF6" s="121" t="n"/>
      <c r="EG6" s="122" t="n"/>
      <c r="EH6" s="121" t="n"/>
      <c r="EI6" s="122" t="n"/>
      <c r="EJ6" s="121" t="n"/>
      <c r="EK6" s="122" t="n"/>
      <c r="EL6" s="123" t="n"/>
      <c r="EM6" s="124" t="n"/>
      <c r="EN6" s="125" t="n"/>
      <c r="EO6" s="124" t="n"/>
      <c r="EP6" s="125" t="n"/>
      <c r="EQ6" s="124" t="n"/>
      <c r="ER6" s="125" t="n"/>
      <c r="ES6" s="124" t="n"/>
      <c r="ET6" s="125" t="n"/>
      <c r="EU6" s="124" t="n"/>
      <c r="EV6" s="125" t="n"/>
      <c r="EW6" s="124" t="n"/>
      <c r="EX6" s="125" t="n"/>
      <c r="EY6" s="124" t="n"/>
      <c r="EZ6" s="125" t="n"/>
      <c r="FA6" s="124" t="n"/>
      <c r="FB6" s="125" t="n"/>
      <c r="FC6" s="126" t="n"/>
      <c r="FD6" s="127" t="n"/>
      <c r="FE6" s="128" t="n"/>
      <c r="FF6" s="127" t="n"/>
      <c r="FG6" s="128" t="n"/>
      <c r="FH6" s="127" t="n"/>
      <c r="FI6" s="128" t="n"/>
      <c r="FJ6" s="127" t="n"/>
      <c r="FK6" s="128" t="n"/>
      <c r="FL6" s="127" t="n"/>
      <c r="FM6" s="128" t="n"/>
      <c r="FN6" s="127" t="n"/>
      <c r="FO6" s="128" t="n"/>
      <c r="FP6" s="127" t="n"/>
      <c r="FQ6" s="128" t="n"/>
      <c r="FR6" s="127" t="n"/>
      <c r="FS6" s="128" t="n"/>
      <c r="FT6" s="129" t="n"/>
      <c r="FU6" s="130" t="n"/>
      <c r="FV6" s="131" t="n"/>
      <c r="FW6" s="130" t="n"/>
      <c r="FX6" s="131" t="n"/>
      <c r="FY6" s="130" t="n"/>
      <c r="FZ6" s="131" t="n"/>
      <c r="GA6" s="130" t="n"/>
      <c r="GB6" s="131" t="n"/>
      <c r="GC6" s="130" t="n"/>
      <c r="GD6" s="131" t="n"/>
      <c r="GE6" s="130" t="n"/>
      <c r="GF6" s="131" t="n"/>
      <c r="GG6" s="130" t="n"/>
      <c r="GH6" s="131" t="n"/>
      <c r="GI6" s="130" t="n"/>
      <c r="GJ6" s="131" t="n"/>
      <c r="GK6" s="132" t="n"/>
      <c r="GL6" s="133" t="n"/>
      <c r="GM6" s="134" t="n"/>
      <c r="GN6" s="133" t="n"/>
      <c r="GO6" s="134" t="n"/>
      <c r="GP6" s="133" t="n"/>
      <c r="GQ6" s="134" t="n"/>
      <c r="GR6" s="133" t="n"/>
      <c r="GS6" s="134" t="n"/>
      <c r="GT6" s="133" t="n"/>
      <c r="GU6" s="134" t="n"/>
      <c r="GV6" s="133" t="n"/>
      <c r="GW6" s="134" t="n"/>
      <c r="GX6" s="133" t="n"/>
      <c r="GY6" s="134" t="n"/>
      <c r="GZ6" s="133" t="n"/>
      <c r="HA6" s="134" t="n"/>
      <c r="HB6" s="135" t="n"/>
      <c r="HC6">
        <f>COUNTIFS($G$3:$HB$3,"ح",$G6:$HB6,TRUE)</f>
        <v>0</v>
      </c>
      <c r="HD6">
        <f>COUNTIFS($G$3:$HB$3,"دفع",$G6:$HB6,TRUE)</f>
        <v>0</v>
      </c>
      <c r="HE6">
        <f>8*$HD6-$HC6</f>
        <v>0</v>
      </c>
    </row>
    <row r="7" ht="22.5" customHeight="1">
      <c r="A7" s="36" t="n">
        <v>4</v>
      </c>
      <c r="B7" s="97" t="n"/>
      <c r="C7" s="28" t="n"/>
      <c r="D7" s="98" t="str">
        <f>IF($B7="","",IF($HC7=0,"-",($HC7-8*INT(($HC7-1)/8))&amp;"/8"))</f>
        <v/>
      </c>
      <c r="E7" s="98" t="str">
        <f>IF($B7="","",IF(AND($HC7=0,$HD7=0),"-",$HE7))</f>
        <v/>
      </c>
      <c r="F7" s="99" t="str">
        <f>IF($B7="","",IF(AND($HC7=0,$HD7=0),"جديد",IF($HE7&gt;1,"تمام",IF($HE7=1,"آخر حصة",IF($HE7=0,"تجديد",IF($HE7=-1,"عليه حصة",IF($HE7=-2,"عليه حصتين","عليه "&amp;(-$HE7)&amp;" حصص")))))))</f>
        <v/>
      </c>
      <c r="G7" s="100" t="n"/>
      <c r="H7" s="101" t="n"/>
      <c r="I7" s="100" t="n"/>
      <c r="J7" s="101" t="n"/>
      <c r="K7" s="100" t="n"/>
      <c r="L7" s="101" t="n"/>
      <c r="M7" s="100" t="n"/>
      <c r="N7" s="101" t="n"/>
      <c r="O7" s="100" t="n"/>
      <c r="P7" s="101" t="n"/>
      <c r="Q7" s="100" t="n"/>
      <c r="R7" s="101" t="n"/>
      <c r="S7" s="100" t="n"/>
      <c r="T7" s="101" t="n"/>
      <c r="U7" s="100" t="n"/>
      <c r="V7" s="101" t="n"/>
      <c r="W7" s="102" t="n"/>
      <c r="X7" s="103" t="n"/>
      <c r="Y7" s="104" t="n"/>
      <c r="Z7" s="103" t="n"/>
      <c r="AA7" s="104" t="n"/>
      <c r="AB7" s="103" t="n"/>
      <c r="AC7" s="104" t="n"/>
      <c r="AD7" s="103" t="n"/>
      <c r="AE7" s="104" t="n"/>
      <c r="AF7" s="103" t="n"/>
      <c r="AG7" s="104" t="n"/>
      <c r="AH7" s="103" t="n"/>
      <c r="AI7" s="104" t="n"/>
      <c r="AJ7" s="103" t="n"/>
      <c r="AK7" s="104" t="n"/>
      <c r="AL7" s="103" t="n"/>
      <c r="AM7" s="104" t="n"/>
      <c r="AN7" s="105" t="n"/>
      <c r="AO7" s="106" t="n"/>
      <c r="AP7" s="107" t="n"/>
      <c r="AQ7" s="106" t="n"/>
      <c r="AR7" s="107" t="n"/>
      <c r="AS7" s="106" t="n"/>
      <c r="AT7" s="107" t="n"/>
      <c r="AU7" s="106" t="n"/>
      <c r="AV7" s="107" t="n"/>
      <c r="AW7" s="106" t="n"/>
      <c r="AX7" s="107" t="n"/>
      <c r="AY7" s="106" t="n"/>
      <c r="AZ7" s="107" t="n"/>
      <c r="BA7" s="106" t="n"/>
      <c r="BB7" s="107" t="n"/>
      <c r="BC7" s="106" t="n"/>
      <c r="BD7" s="107" t="n"/>
      <c r="BE7" s="108" t="n"/>
      <c r="BF7" s="109" t="n"/>
      <c r="BG7" s="110" t="n"/>
      <c r="BH7" s="109" t="n"/>
      <c r="BI7" s="110" t="n"/>
      <c r="BJ7" s="109" t="n"/>
      <c r="BK7" s="110" t="n"/>
      <c r="BL7" s="109" t="n"/>
      <c r="BM7" s="110" t="n"/>
      <c r="BN7" s="109" t="n"/>
      <c r="BO7" s="110" t="n"/>
      <c r="BP7" s="109" t="n"/>
      <c r="BQ7" s="110" t="n"/>
      <c r="BR7" s="109" t="n"/>
      <c r="BS7" s="110" t="n"/>
      <c r="BT7" s="109" t="n"/>
      <c r="BU7" s="110" t="n"/>
      <c r="BV7" s="111" t="n"/>
      <c r="BW7" s="112" t="n"/>
      <c r="BX7" s="113" t="n"/>
      <c r="BY7" s="112" t="n"/>
      <c r="BZ7" s="113" t="n"/>
      <c r="CA7" s="112" t="n"/>
      <c r="CB7" s="113" t="n"/>
      <c r="CC7" s="112" t="n"/>
      <c r="CD7" s="113" t="n"/>
      <c r="CE7" s="112" t="n"/>
      <c r="CF7" s="113" t="n"/>
      <c r="CG7" s="112" t="n"/>
      <c r="CH7" s="113" t="n"/>
      <c r="CI7" s="112" t="n"/>
      <c r="CJ7" s="113" t="n"/>
      <c r="CK7" s="112" t="n"/>
      <c r="CL7" s="113" t="n"/>
      <c r="CM7" s="114" t="n"/>
      <c r="CN7" s="115" t="n"/>
      <c r="CO7" s="116" t="n"/>
      <c r="CP7" s="115" t="n"/>
      <c r="CQ7" s="116" t="n"/>
      <c r="CR7" s="115" t="n"/>
      <c r="CS7" s="116" t="n"/>
      <c r="CT7" s="115" t="n"/>
      <c r="CU7" s="116" t="n"/>
      <c r="CV7" s="115" t="n"/>
      <c r="CW7" s="116" t="n"/>
      <c r="CX7" s="115" t="n"/>
      <c r="CY7" s="116" t="n"/>
      <c r="CZ7" s="115" t="n"/>
      <c r="DA7" s="116" t="n"/>
      <c r="DB7" s="115" t="n"/>
      <c r="DC7" s="116" t="n"/>
      <c r="DD7" s="117" t="n"/>
      <c r="DE7" s="118" t="n"/>
      <c r="DF7" s="119" t="n"/>
      <c r="DG7" s="118" t="n"/>
      <c r="DH7" s="119" t="n"/>
      <c r="DI7" s="118" t="n"/>
      <c r="DJ7" s="119" t="n"/>
      <c r="DK7" s="118" t="n"/>
      <c r="DL7" s="119" t="n"/>
      <c r="DM7" s="118" t="n"/>
      <c r="DN7" s="119" t="n"/>
      <c r="DO7" s="118" t="n"/>
      <c r="DP7" s="119" t="n"/>
      <c r="DQ7" s="118" t="n"/>
      <c r="DR7" s="119" t="n"/>
      <c r="DS7" s="118" t="n"/>
      <c r="DT7" s="119" t="n"/>
      <c r="DU7" s="120" t="n"/>
      <c r="DV7" s="121" t="n"/>
      <c r="DW7" s="122" t="n"/>
      <c r="DX7" s="121" t="n"/>
      <c r="DY7" s="122" t="n"/>
      <c r="DZ7" s="121" t="n"/>
      <c r="EA7" s="122" t="n"/>
      <c r="EB7" s="121" t="n"/>
      <c r="EC7" s="122" t="n"/>
      <c r="ED7" s="121" t="n"/>
      <c r="EE7" s="122" t="n"/>
      <c r="EF7" s="121" t="n"/>
      <c r="EG7" s="122" t="n"/>
      <c r="EH7" s="121" t="n"/>
      <c r="EI7" s="122" t="n"/>
      <c r="EJ7" s="121" t="n"/>
      <c r="EK7" s="122" t="n"/>
      <c r="EL7" s="123" t="n"/>
      <c r="EM7" s="124" t="n"/>
      <c r="EN7" s="125" t="n"/>
      <c r="EO7" s="124" t="n"/>
      <c r="EP7" s="125" t="n"/>
      <c r="EQ7" s="124" t="n"/>
      <c r="ER7" s="125" t="n"/>
      <c r="ES7" s="124" t="n"/>
      <c r="ET7" s="125" t="n"/>
      <c r="EU7" s="124" t="n"/>
      <c r="EV7" s="125" t="n"/>
      <c r="EW7" s="124" t="n"/>
      <c r="EX7" s="125" t="n"/>
      <c r="EY7" s="124" t="n"/>
      <c r="EZ7" s="125" t="n"/>
      <c r="FA7" s="124" t="n"/>
      <c r="FB7" s="125" t="n"/>
      <c r="FC7" s="126" t="n"/>
      <c r="FD7" s="127" t="n"/>
      <c r="FE7" s="128" t="n"/>
      <c r="FF7" s="127" t="n"/>
      <c r="FG7" s="128" t="n"/>
      <c r="FH7" s="127" t="n"/>
      <c r="FI7" s="128" t="n"/>
      <c r="FJ7" s="127" t="n"/>
      <c r="FK7" s="128" t="n"/>
      <c r="FL7" s="127" t="n"/>
      <c r="FM7" s="128" t="n"/>
      <c r="FN7" s="127" t="n"/>
      <c r="FO7" s="128" t="n"/>
      <c r="FP7" s="127" t="n"/>
      <c r="FQ7" s="128" t="n"/>
      <c r="FR7" s="127" t="n"/>
      <c r="FS7" s="128" t="n"/>
      <c r="FT7" s="129" t="n"/>
      <c r="FU7" s="130" t="n"/>
      <c r="FV7" s="131" t="n"/>
      <c r="FW7" s="130" t="n"/>
      <c r="FX7" s="131" t="n"/>
      <c r="FY7" s="130" t="n"/>
      <c r="FZ7" s="131" t="n"/>
      <c r="GA7" s="130" t="n"/>
      <c r="GB7" s="131" t="n"/>
      <c r="GC7" s="130" t="n"/>
      <c r="GD7" s="131" t="n"/>
      <c r="GE7" s="130" t="n"/>
      <c r="GF7" s="131" t="n"/>
      <c r="GG7" s="130" t="n"/>
      <c r="GH7" s="131" t="n"/>
      <c r="GI7" s="130" t="n"/>
      <c r="GJ7" s="131" t="n"/>
      <c r="GK7" s="132" t="n"/>
      <c r="GL7" s="133" t="n"/>
      <c r="GM7" s="134" t="n"/>
      <c r="GN7" s="133" t="n"/>
      <c r="GO7" s="134" t="n"/>
      <c r="GP7" s="133" t="n"/>
      <c r="GQ7" s="134" t="n"/>
      <c r="GR7" s="133" t="n"/>
      <c r="GS7" s="134" t="n"/>
      <c r="GT7" s="133" t="n"/>
      <c r="GU7" s="134" t="n"/>
      <c r="GV7" s="133" t="n"/>
      <c r="GW7" s="134" t="n"/>
      <c r="GX7" s="133" t="n"/>
      <c r="GY7" s="134" t="n"/>
      <c r="GZ7" s="133" t="n"/>
      <c r="HA7" s="134" t="n"/>
      <c r="HB7" s="135" t="n"/>
      <c r="HC7">
        <f>COUNTIFS($G$3:$HB$3,"ح",$G7:$HB7,TRUE)</f>
        <v>0</v>
      </c>
      <c r="HD7">
        <f>COUNTIFS($G$3:$HB$3,"دفع",$G7:$HB7,TRUE)</f>
        <v>0</v>
      </c>
      <c r="HE7">
        <f>8*$HD7-$HC7</f>
        <v>0</v>
      </c>
    </row>
    <row r="8" ht="22.5" customHeight="1">
      <c r="A8" s="36" t="n">
        <v>5</v>
      </c>
      <c r="B8" s="97" t="n"/>
      <c r="C8" s="28" t="n"/>
      <c r="D8" s="98" t="str">
        <f>IF($B8="","",IF($HC8=0,"-",($HC8-8*INT(($HC8-1)/8))&amp;"/8"))</f>
        <v/>
      </c>
      <c r="E8" s="98" t="str">
        <f>IF($B8="","",IF(AND($HC8=0,$HD8=0),"-",$HE8))</f>
        <v/>
      </c>
      <c r="F8" s="99" t="str">
        <f>IF($B8="","",IF(AND($HC8=0,$HD8=0),"جديد",IF($HE8&gt;1,"تمام",IF($HE8=1,"آخر حصة",IF($HE8=0,"تجديد",IF($HE8=-1,"عليه حصة",IF($HE8=-2,"عليه حصتين","عليه "&amp;(-$HE8)&amp;" حصص")))))))</f>
        <v/>
      </c>
      <c r="G8" s="100" t="n"/>
      <c r="H8" s="101" t="n"/>
      <c r="I8" s="100" t="n"/>
      <c r="J8" s="101" t="n"/>
      <c r="K8" s="100" t="n"/>
      <c r="L8" s="101" t="n"/>
      <c r="M8" s="100" t="n"/>
      <c r="N8" s="101" t="n"/>
      <c r="O8" s="100" t="n"/>
      <c r="P8" s="101" t="n"/>
      <c r="Q8" s="100" t="n"/>
      <c r="R8" s="101" t="n"/>
      <c r="S8" s="100" t="n"/>
      <c r="T8" s="101" t="n"/>
      <c r="U8" s="100" t="n"/>
      <c r="V8" s="101" t="n"/>
      <c r="W8" s="102" t="n"/>
      <c r="X8" s="103" t="n"/>
      <c r="Y8" s="104" t="n"/>
      <c r="Z8" s="103" t="n"/>
      <c r="AA8" s="104" t="n"/>
      <c r="AB8" s="103" t="n"/>
      <c r="AC8" s="104" t="n"/>
      <c r="AD8" s="103" t="n"/>
      <c r="AE8" s="104" t="n"/>
      <c r="AF8" s="103" t="n"/>
      <c r="AG8" s="104" t="n"/>
      <c r="AH8" s="103" t="n"/>
      <c r="AI8" s="104" t="n"/>
      <c r="AJ8" s="103" t="n"/>
      <c r="AK8" s="104" t="n"/>
      <c r="AL8" s="103" t="n"/>
      <c r="AM8" s="104" t="n"/>
      <c r="AN8" s="105" t="n"/>
      <c r="AO8" s="106" t="n"/>
      <c r="AP8" s="107" t="n"/>
      <c r="AQ8" s="106" t="n"/>
      <c r="AR8" s="107" t="n"/>
      <c r="AS8" s="106" t="n"/>
      <c r="AT8" s="107" t="n"/>
      <c r="AU8" s="106" t="n"/>
      <c r="AV8" s="107" t="n"/>
      <c r="AW8" s="106" t="n"/>
      <c r="AX8" s="107" t="n"/>
      <c r="AY8" s="106" t="n"/>
      <c r="AZ8" s="107" t="n"/>
      <c r="BA8" s="106" t="n"/>
      <c r="BB8" s="107" t="n"/>
      <c r="BC8" s="106" t="n"/>
      <c r="BD8" s="107" t="n"/>
      <c r="BE8" s="108" t="n"/>
      <c r="BF8" s="109" t="n"/>
      <c r="BG8" s="110" t="n"/>
      <c r="BH8" s="109" t="n"/>
      <c r="BI8" s="110" t="n"/>
      <c r="BJ8" s="109" t="n"/>
      <c r="BK8" s="110" t="n"/>
      <c r="BL8" s="109" t="n"/>
      <c r="BM8" s="110" t="n"/>
      <c r="BN8" s="109" t="n"/>
      <c r="BO8" s="110" t="n"/>
      <c r="BP8" s="109" t="n"/>
      <c r="BQ8" s="110" t="n"/>
      <c r="BR8" s="109" t="n"/>
      <c r="BS8" s="110" t="n"/>
      <c r="BT8" s="109" t="n"/>
      <c r="BU8" s="110" t="n"/>
      <c r="BV8" s="111" t="n"/>
      <c r="BW8" s="112" t="n"/>
      <c r="BX8" s="113" t="n"/>
      <c r="BY8" s="112" t="n"/>
      <c r="BZ8" s="113" t="n"/>
      <c r="CA8" s="112" t="n"/>
      <c r="CB8" s="113" t="n"/>
      <c r="CC8" s="112" t="n"/>
      <c r="CD8" s="113" t="n"/>
      <c r="CE8" s="112" t="n"/>
      <c r="CF8" s="113" t="n"/>
      <c r="CG8" s="112" t="n"/>
      <c r="CH8" s="113" t="n"/>
      <c r="CI8" s="112" t="n"/>
      <c r="CJ8" s="113" t="n"/>
      <c r="CK8" s="112" t="n"/>
      <c r="CL8" s="113" t="n"/>
      <c r="CM8" s="114" t="n"/>
      <c r="CN8" s="115" t="n"/>
      <c r="CO8" s="116" t="n"/>
      <c r="CP8" s="115" t="n"/>
      <c r="CQ8" s="116" t="n"/>
      <c r="CR8" s="115" t="n"/>
      <c r="CS8" s="116" t="n"/>
      <c r="CT8" s="115" t="n"/>
      <c r="CU8" s="116" t="n"/>
      <c r="CV8" s="115" t="n"/>
      <c r="CW8" s="116" t="n"/>
      <c r="CX8" s="115" t="n"/>
      <c r="CY8" s="116" t="n"/>
      <c r="CZ8" s="115" t="n"/>
      <c r="DA8" s="116" t="n"/>
      <c r="DB8" s="115" t="n"/>
      <c r="DC8" s="116" t="n"/>
      <c r="DD8" s="117" t="n"/>
      <c r="DE8" s="118" t="n"/>
      <c r="DF8" s="119" t="n"/>
      <c r="DG8" s="118" t="n"/>
      <c r="DH8" s="119" t="n"/>
      <c r="DI8" s="118" t="n"/>
      <c r="DJ8" s="119" t="n"/>
      <c r="DK8" s="118" t="n"/>
      <c r="DL8" s="119" t="n"/>
      <c r="DM8" s="118" t="n"/>
      <c r="DN8" s="119" t="n"/>
      <c r="DO8" s="118" t="n"/>
      <c r="DP8" s="119" t="n"/>
      <c r="DQ8" s="118" t="n"/>
      <c r="DR8" s="119" t="n"/>
      <c r="DS8" s="118" t="n"/>
      <c r="DT8" s="119" t="n"/>
      <c r="DU8" s="120" t="n"/>
      <c r="DV8" s="121" t="n"/>
      <c r="DW8" s="122" t="n"/>
      <c r="DX8" s="121" t="n"/>
      <c r="DY8" s="122" t="n"/>
      <c r="DZ8" s="121" t="n"/>
      <c r="EA8" s="122" t="n"/>
      <c r="EB8" s="121" t="n"/>
      <c r="EC8" s="122" t="n"/>
      <c r="ED8" s="121" t="n"/>
      <c r="EE8" s="122" t="n"/>
      <c r="EF8" s="121" t="n"/>
      <c r="EG8" s="122" t="n"/>
      <c r="EH8" s="121" t="n"/>
      <c r="EI8" s="122" t="n"/>
      <c r="EJ8" s="121" t="n"/>
      <c r="EK8" s="122" t="n"/>
      <c r="EL8" s="123" t="n"/>
      <c r="EM8" s="124" t="n"/>
      <c r="EN8" s="125" t="n"/>
      <c r="EO8" s="124" t="n"/>
      <c r="EP8" s="125" t="n"/>
      <c r="EQ8" s="124" t="n"/>
      <c r="ER8" s="125" t="n"/>
      <c r="ES8" s="124" t="n"/>
      <c r="ET8" s="125" t="n"/>
      <c r="EU8" s="124" t="n"/>
      <c r="EV8" s="125" t="n"/>
      <c r="EW8" s="124" t="n"/>
      <c r="EX8" s="125" t="n"/>
      <c r="EY8" s="124" t="n"/>
      <c r="EZ8" s="125" t="n"/>
      <c r="FA8" s="124" t="n"/>
      <c r="FB8" s="125" t="n"/>
      <c r="FC8" s="126" t="n"/>
      <c r="FD8" s="127" t="n"/>
      <c r="FE8" s="128" t="n"/>
      <c r="FF8" s="127" t="n"/>
      <c r="FG8" s="128" t="n"/>
      <c r="FH8" s="127" t="n"/>
      <c r="FI8" s="128" t="n"/>
      <c r="FJ8" s="127" t="n"/>
      <c r="FK8" s="128" t="n"/>
      <c r="FL8" s="127" t="n"/>
      <c r="FM8" s="128" t="n"/>
      <c r="FN8" s="127" t="n"/>
      <c r="FO8" s="128" t="n"/>
      <c r="FP8" s="127" t="n"/>
      <c r="FQ8" s="128" t="n"/>
      <c r="FR8" s="127" t="n"/>
      <c r="FS8" s="128" t="n"/>
      <c r="FT8" s="129" t="n"/>
      <c r="FU8" s="130" t="n"/>
      <c r="FV8" s="131" t="n"/>
      <c r="FW8" s="130" t="n"/>
      <c r="FX8" s="131" t="n"/>
      <c r="FY8" s="130" t="n"/>
      <c r="FZ8" s="131" t="n"/>
      <c r="GA8" s="130" t="n"/>
      <c r="GB8" s="131" t="n"/>
      <c r="GC8" s="130" t="n"/>
      <c r="GD8" s="131" t="n"/>
      <c r="GE8" s="130" t="n"/>
      <c r="GF8" s="131" t="n"/>
      <c r="GG8" s="130" t="n"/>
      <c r="GH8" s="131" t="n"/>
      <c r="GI8" s="130" t="n"/>
      <c r="GJ8" s="131" t="n"/>
      <c r="GK8" s="132" t="n"/>
      <c r="GL8" s="133" t="n"/>
      <c r="GM8" s="134" t="n"/>
      <c r="GN8" s="133" t="n"/>
      <c r="GO8" s="134" t="n"/>
      <c r="GP8" s="133" t="n"/>
      <c r="GQ8" s="134" t="n"/>
      <c r="GR8" s="133" t="n"/>
      <c r="GS8" s="134" t="n"/>
      <c r="GT8" s="133" t="n"/>
      <c r="GU8" s="134" t="n"/>
      <c r="GV8" s="133" t="n"/>
      <c r="GW8" s="134" t="n"/>
      <c r="GX8" s="133" t="n"/>
      <c r="GY8" s="134" t="n"/>
      <c r="GZ8" s="133" t="n"/>
      <c r="HA8" s="134" t="n"/>
      <c r="HB8" s="135" t="n"/>
      <c r="HC8">
        <f>COUNTIFS($G$3:$HB$3,"ح",$G8:$HB8,TRUE)</f>
        <v>0</v>
      </c>
      <c r="HD8">
        <f>COUNTIFS($G$3:$HB$3,"دفع",$G8:$HB8,TRUE)</f>
        <v>0</v>
      </c>
      <c r="HE8">
        <f>8*$HD8-$HC8</f>
        <v>0</v>
      </c>
    </row>
    <row r="9" ht="22.5" customHeight="1">
      <c r="A9" s="36" t="n">
        <v>6</v>
      </c>
      <c r="B9" s="97" t="n"/>
      <c r="C9" s="28" t="n"/>
      <c r="D9" s="98" t="str">
        <f>IF($B9="","",IF($HC9=0,"-",($HC9-8*INT(($HC9-1)/8))&amp;"/8"))</f>
        <v/>
      </c>
      <c r="E9" s="98" t="str">
        <f>IF($B9="","",IF(AND($HC9=0,$HD9=0),"-",$HE9))</f>
        <v/>
      </c>
      <c r="F9" s="99" t="str">
        <f>IF($B9="","",IF(AND($HC9=0,$HD9=0),"جديد",IF($HE9&gt;1,"تمام",IF($HE9=1,"آخر حصة",IF($HE9=0,"تجديد",IF($HE9=-1,"عليه حصة",IF($HE9=-2,"عليه حصتين","عليه "&amp;(-$HE9)&amp;" حصص")))))))</f>
        <v/>
      </c>
      <c r="G9" s="100" t="n"/>
      <c r="H9" s="101" t="n"/>
      <c r="I9" s="100" t="n"/>
      <c r="J9" s="101" t="n"/>
      <c r="K9" s="100" t="n"/>
      <c r="L9" s="101" t="n"/>
      <c r="M9" s="100" t="n"/>
      <c r="N9" s="101" t="n"/>
      <c r="O9" s="100" t="n"/>
      <c r="P9" s="101" t="n"/>
      <c r="Q9" s="100" t="n"/>
      <c r="R9" s="101" t="n"/>
      <c r="S9" s="100" t="n"/>
      <c r="T9" s="101" t="n"/>
      <c r="U9" s="100" t="n"/>
      <c r="V9" s="101" t="n"/>
      <c r="W9" s="102" t="n"/>
      <c r="X9" s="103" t="n"/>
      <c r="Y9" s="104" t="n"/>
      <c r="Z9" s="103" t="n"/>
      <c r="AA9" s="104" t="n"/>
      <c r="AB9" s="103" t="n"/>
      <c r="AC9" s="104" t="n"/>
      <c r="AD9" s="103" t="n"/>
      <c r="AE9" s="104" t="n"/>
      <c r="AF9" s="103" t="n"/>
      <c r="AG9" s="104" t="n"/>
      <c r="AH9" s="103" t="n"/>
      <c r="AI9" s="104" t="n"/>
      <c r="AJ9" s="103" t="n"/>
      <c r="AK9" s="104" t="n"/>
      <c r="AL9" s="103" t="n"/>
      <c r="AM9" s="104" t="n"/>
      <c r="AN9" s="105" t="n"/>
      <c r="AO9" s="106" t="n"/>
      <c r="AP9" s="107" t="n"/>
      <c r="AQ9" s="106" t="n"/>
      <c r="AR9" s="107" t="n"/>
      <c r="AS9" s="106" t="n"/>
      <c r="AT9" s="107" t="n"/>
      <c r="AU9" s="106" t="n"/>
      <c r="AV9" s="107" t="n"/>
      <c r="AW9" s="106" t="n"/>
      <c r="AX9" s="107" t="n"/>
      <c r="AY9" s="106" t="n"/>
      <c r="AZ9" s="107" t="n"/>
      <c r="BA9" s="106" t="n"/>
      <c r="BB9" s="107" t="n"/>
      <c r="BC9" s="106" t="n"/>
      <c r="BD9" s="107" t="n"/>
      <c r="BE9" s="108" t="n"/>
      <c r="BF9" s="109" t="n"/>
      <c r="BG9" s="110" t="n"/>
      <c r="BH9" s="109" t="n"/>
      <c r="BI9" s="110" t="n"/>
      <c r="BJ9" s="109" t="n"/>
      <c r="BK9" s="110" t="n"/>
      <c r="BL9" s="109" t="n"/>
      <c r="BM9" s="110" t="n"/>
      <c r="BN9" s="109" t="n"/>
      <c r="BO9" s="110" t="n"/>
      <c r="BP9" s="109" t="n"/>
      <c r="BQ9" s="110" t="n"/>
      <c r="BR9" s="109" t="n"/>
      <c r="BS9" s="110" t="n"/>
      <c r="BT9" s="109" t="n"/>
      <c r="BU9" s="110" t="n"/>
      <c r="BV9" s="111" t="n"/>
      <c r="BW9" s="112" t="n"/>
      <c r="BX9" s="113" t="n"/>
      <c r="BY9" s="112" t="n"/>
      <c r="BZ9" s="113" t="n"/>
      <c r="CA9" s="112" t="n"/>
      <c r="CB9" s="113" t="n"/>
      <c r="CC9" s="112" t="n"/>
      <c r="CD9" s="113" t="n"/>
      <c r="CE9" s="112" t="n"/>
      <c r="CF9" s="113" t="n"/>
      <c r="CG9" s="112" t="n"/>
      <c r="CH9" s="113" t="n"/>
      <c r="CI9" s="112" t="n"/>
      <c r="CJ9" s="113" t="n"/>
      <c r="CK9" s="112" t="n"/>
      <c r="CL9" s="113" t="n"/>
      <c r="CM9" s="114" t="n"/>
      <c r="CN9" s="115" t="n"/>
      <c r="CO9" s="116" t="n"/>
      <c r="CP9" s="115" t="n"/>
      <c r="CQ9" s="116" t="n"/>
      <c r="CR9" s="115" t="n"/>
      <c r="CS9" s="116" t="n"/>
      <c r="CT9" s="115" t="n"/>
      <c r="CU9" s="116" t="n"/>
      <c r="CV9" s="115" t="n"/>
      <c r="CW9" s="116" t="n"/>
      <c r="CX9" s="115" t="n"/>
      <c r="CY9" s="116" t="n"/>
      <c r="CZ9" s="115" t="n"/>
      <c r="DA9" s="116" t="n"/>
      <c r="DB9" s="115" t="n"/>
      <c r="DC9" s="116" t="n"/>
      <c r="DD9" s="117" t="n"/>
      <c r="DE9" s="118" t="n"/>
      <c r="DF9" s="119" t="n"/>
      <c r="DG9" s="118" t="n"/>
      <c r="DH9" s="119" t="n"/>
      <c r="DI9" s="118" t="n"/>
      <c r="DJ9" s="119" t="n"/>
      <c r="DK9" s="118" t="n"/>
      <c r="DL9" s="119" t="n"/>
      <c r="DM9" s="118" t="n"/>
      <c r="DN9" s="119" t="n"/>
      <c r="DO9" s="118" t="n"/>
      <c r="DP9" s="119" t="n"/>
      <c r="DQ9" s="118" t="n"/>
      <c r="DR9" s="119" t="n"/>
      <c r="DS9" s="118" t="n"/>
      <c r="DT9" s="119" t="n"/>
      <c r="DU9" s="120" t="n"/>
      <c r="DV9" s="121" t="n"/>
      <c r="DW9" s="122" t="n"/>
      <c r="DX9" s="121" t="n"/>
      <c r="DY9" s="122" t="n"/>
      <c r="DZ9" s="121" t="n"/>
      <c r="EA9" s="122" t="n"/>
      <c r="EB9" s="121" t="n"/>
      <c r="EC9" s="122" t="n"/>
      <c r="ED9" s="121" t="n"/>
      <c r="EE9" s="122" t="n"/>
      <c r="EF9" s="121" t="n"/>
      <c r="EG9" s="122" t="n"/>
      <c r="EH9" s="121" t="n"/>
      <c r="EI9" s="122" t="n"/>
      <c r="EJ9" s="121" t="n"/>
      <c r="EK9" s="122" t="n"/>
      <c r="EL9" s="123" t="n"/>
      <c r="EM9" s="124" t="n"/>
      <c r="EN9" s="125" t="n"/>
      <c r="EO9" s="124" t="n"/>
      <c r="EP9" s="125" t="n"/>
      <c r="EQ9" s="124" t="n"/>
      <c r="ER9" s="125" t="n"/>
      <c r="ES9" s="124" t="n"/>
      <c r="ET9" s="125" t="n"/>
      <c r="EU9" s="124" t="n"/>
      <c r="EV9" s="125" t="n"/>
      <c r="EW9" s="124" t="n"/>
      <c r="EX9" s="125" t="n"/>
      <c r="EY9" s="124" t="n"/>
      <c r="EZ9" s="125" t="n"/>
      <c r="FA9" s="124" t="n"/>
      <c r="FB9" s="125" t="n"/>
      <c r="FC9" s="126" t="n"/>
      <c r="FD9" s="127" t="n"/>
      <c r="FE9" s="128" t="n"/>
      <c r="FF9" s="127" t="n"/>
      <c r="FG9" s="128" t="n"/>
      <c r="FH9" s="127" t="n"/>
      <c r="FI9" s="128" t="n"/>
      <c r="FJ9" s="127" t="n"/>
      <c r="FK9" s="128" t="n"/>
      <c r="FL9" s="127" t="n"/>
      <c r="FM9" s="128" t="n"/>
      <c r="FN9" s="127" t="n"/>
      <c r="FO9" s="128" t="n"/>
      <c r="FP9" s="127" t="n"/>
      <c r="FQ9" s="128" t="n"/>
      <c r="FR9" s="127" t="n"/>
      <c r="FS9" s="128" t="n"/>
      <c r="FT9" s="129" t="n"/>
      <c r="FU9" s="130" t="n"/>
      <c r="FV9" s="131" t="n"/>
      <c r="FW9" s="130" t="n"/>
      <c r="FX9" s="131" t="n"/>
      <c r="FY9" s="130" t="n"/>
      <c r="FZ9" s="131" t="n"/>
      <c r="GA9" s="130" t="n"/>
      <c r="GB9" s="131" t="n"/>
      <c r="GC9" s="130" t="n"/>
      <c r="GD9" s="131" t="n"/>
      <c r="GE9" s="130" t="n"/>
      <c r="GF9" s="131" t="n"/>
      <c r="GG9" s="130" t="n"/>
      <c r="GH9" s="131" t="n"/>
      <c r="GI9" s="130" t="n"/>
      <c r="GJ9" s="131" t="n"/>
      <c r="GK9" s="132" t="n"/>
      <c r="GL9" s="133" t="n"/>
      <c r="GM9" s="134" t="n"/>
      <c r="GN9" s="133" t="n"/>
      <c r="GO9" s="134" t="n"/>
      <c r="GP9" s="133" t="n"/>
      <c r="GQ9" s="134" t="n"/>
      <c r="GR9" s="133" t="n"/>
      <c r="GS9" s="134" t="n"/>
      <c r="GT9" s="133" t="n"/>
      <c r="GU9" s="134" t="n"/>
      <c r="GV9" s="133" t="n"/>
      <c r="GW9" s="134" t="n"/>
      <c r="GX9" s="133" t="n"/>
      <c r="GY9" s="134" t="n"/>
      <c r="GZ9" s="133" t="n"/>
      <c r="HA9" s="134" t="n"/>
      <c r="HB9" s="135" t="n"/>
      <c r="HC9">
        <f>COUNTIFS($G$3:$HB$3,"ح",$G9:$HB9,TRUE)</f>
        <v>0</v>
      </c>
      <c r="HD9">
        <f>COUNTIFS($G$3:$HB$3,"دفع",$G9:$HB9,TRUE)</f>
        <v>0</v>
      </c>
      <c r="HE9">
        <f>8*$HD9-$HC9</f>
        <v>0</v>
      </c>
    </row>
    <row r="10" ht="22.5" customHeight="1">
      <c r="A10" s="36" t="n">
        <v>7</v>
      </c>
      <c r="B10" s="97" t="n"/>
      <c r="C10" s="28" t="n"/>
      <c r="D10" s="98" t="str">
        <f>IF($B10="","",IF($HC10=0,"-",($HC10-8*INT(($HC10-1)/8))&amp;"/8"))</f>
        <v/>
      </c>
      <c r="E10" s="98" t="str">
        <f>IF($B10="","",IF(AND($HC10=0,$HD10=0),"-",$HE10))</f>
        <v/>
      </c>
      <c r="F10" s="99" t="str">
        <f>IF($B10="","",IF(AND($HC10=0,$HD10=0),"جديد",IF($HE10&gt;1,"تمام",IF($HE10=1,"آخر حصة",IF($HE10=0,"تجديد",IF($HE10=-1,"عليه حصة",IF($HE10=-2,"عليه حصتين","عليه "&amp;(-$HE10)&amp;" حصص")))))))</f>
        <v/>
      </c>
      <c r="G10" s="100" t="n"/>
      <c r="H10" s="101" t="n"/>
      <c r="I10" s="100" t="n"/>
      <c r="J10" s="101" t="n"/>
      <c r="K10" s="100" t="n"/>
      <c r="L10" s="101" t="n"/>
      <c r="M10" s="100" t="n"/>
      <c r="N10" s="101" t="n"/>
      <c r="O10" s="100" t="n"/>
      <c r="P10" s="101" t="n"/>
      <c r="Q10" s="100" t="n"/>
      <c r="R10" s="101" t="n"/>
      <c r="S10" s="100" t="n"/>
      <c r="T10" s="101" t="n"/>
      <c r="U10" s="100" t="n"/>
      <c r="V10" s="101" t="n"/>
      <c r="W10" s="102" t="n"/>
      <c r="X10" s="103" t="n"/>
      <c r="Y10" s="104" t="n"/>
      <c r="Z10" s="103" t="n"/>
      <c r="AA10" s="104" t="n"/>
      <c r="AB10" s="103" t="n"/>
      <c r="AC10" s="104" t="n"/>
      <c r="AD10" s="103" t="n"/>
      <c r="AE10" s="104" t="n"/>
      <c r="AF10" s="103" t="n"/>
      <c r="AG10" s="104" t="n"/>
      <c r="AH10" s="103" t="n"/>
      <c r="AI10" s="104" t="n"/>
      <c r="AJ10" s="103" t="n"/>
      <c r="AK10" s="104" t="n"/>
      <c r="AL10" s="103" t="n"/>
      <c r="AM10" s="104" t="n"/>
      <c r="AN10" s="105" t="n"/>
      <c r="AO10" s="106" t="n"/>
      <c r="AP10" s="107" t="n"/>
      <c r="AQ10" s="106" t="n"/>
      <c r="AR10" s="107" t="n"/>
      <c r="AS10" s="106" t="n"/>
      <c r="AT10" s="107" t="n"/>
      <c r="AU10" s="106" t="n"/>
      <c r="AV10" s="107" t="n"/>
      <c r="AW10" s="106" t="n"/>
      <c r="AX10" s="107" t="n"/>
      <c r="AY10" s="106" t="n"/>
      <c r="AZ10" s="107" t="n"/>
      <c r="BA10" s="106" t="n"/>
      <c r="BB10" s="107" t="n"/>
      <c r="BC10" s="106" t="n"/>
      <c r="BD10" s="107" t="n"/>
      <c r="BE10" s="108" t="n"/>
      <c r="BF10" s="109" t="n"/>
      <c r="BG10" s="110" t="n"/>
      <c r="BH10" s="109" t="n"/>
      <c r="BI10" s="110" t="n"/>
      <c r="BJ10" s="109" t="n"/>
      <c r="BK10" s="110" t="n"/>
      <c r="BL10" s="109" t="n"/>
      <c r="BM10" s="110" t="n"/>
      <c r="BN10" s="109" t="n"/>
      <c r="BO10" s="110" t="n"/>
      <c r="BP10" s="109" t="n"/>
      <c r="BQ10" s="110" t="n"/>
      <c r="BR10" s="109" t="n"/>
      <c r="BS10" s="110" t="n"/>
      <c r="BT10" s="109" t="n"/>
      <c r="BU10" s="110" t="n"/>
      <c r="BV10" s="111" t="n"/>
      <c r="BW10" s="112" t="n"/>
      <c r="BX10" s="113" t="n"/>
      <c r="BY10" s="112" t="n"/>
      <c r="BZ10" s="113" t="n"/>
      <c r="CA10" s="112" t="n"/>
      <c r="CB10" s="113" t="n"/>
      <c r="CC10" s="112" t="n"/>
      <c r="CD10" s="113" t="n"/>
      <c r="CE10" s="112" t="n"/>
      <c r="CF10" s="113" t="n"/>
      <c r="CG10" s="112" t="n"/>
      <c r="CH10" s="113" t="n"/>
      <c r="CI10" s="112" t="n"/>
      <c r="CJ10" s="113" t="n"/>
      <c r="CK10" s="112" t="n"/>
      <c r="CL10" s="113" t="n"/>
      <c r="CM10" s="114" t="n"/>
      <c r="CN10" s="115" t="n"/>
      <c r="CO10" s="116" t="n"/>
      <c r="CP10" s="115" t="n"/>
      <c r="CQ10" s="116" t="n"/>
      <c r="CR10" s="115" t="n"/>
      <c r="CS10" s="116" t="n"/>
      <c r="CT10" s="115" t="n"/>
      <c r="CU10" s="116" t="n"/>
      <c r="CV10" s="115" t="n"/>
      <c r="CW10" s="116" t="n"/>
      <c r="CX10" s="115" t="n"/>
      <c r="CY10" s="116" t="n"/>
      <c r="CZ10" s="115" t="n"/>
      <c r="DA10" s="116" t="n"/>
      <c r="DB10" s="115" t="n"/>
      <c r="DC10" s="116" t="n"/>
      <c r="DD10" s="117" t="n"/>
      <c r="DE10" s="118" t="n"/>
      <c r="DF10" s="119" t="n"/>
      <c r="DG10" s="118" t="n"/>
      <c r="DH10" s="119" t="n"/>
      <c r="DI10" s="118" t="n"/>
      <c r="DJ10" s="119" t="n"/>
      <c r="DK10" s="118" t="n"/>
      <c r="DL10" s="119" t="n"/>
      <c r="DM10" s="118" t="n"/>
      <c r="DN10" s="119" t="n"/>
      <c r="DO10" s="118" t="n"/>
      <c r="DP10" s="119" t="n"/>
      <c r="DQ10" s="118" t="n"/>
      <c r="DR10" s="119" t="n"/>
      <c r="DS10" s="118" t="n"/>
      <c r="DT10" s="119" t="n"/>
      <c r="DU10" s="120" t="n"/>
      <c r="DV10" s="121" t="n"/>
      <c r="DW10" s="122" t="n"/>
      <c r="DX10" s="121" t="n"/>
      <c r="DY10" s="122" t="n"/>
      <c r="DZ10" s="121" t="n"/>
      <c r="EA10" s="122" t="n"/>
      <c r="EB10" s="121" t="n"/>
      <c r="EC10" s="122" t="n"/>
      <c r="ED10" s="121" t="n"/>
      <c r="EE10" s="122" t="n"/>
      <c r="EF10" s="121" t="n"/>
      <c r="EG10" s="122" t="n"/>
      <c r="EH10" s="121" t="n"/>
      <c r="EI10" s="122" t="n"/>
      <c r="EJ10" s="121" t="n"/>
      <c r="EK10" s="122" t="n"/>
      <c r="EL10" s="123" t="n"/>
      <c r="EM10" s="124" t="n"/>
      <c r="EN10" s="125" t="n"/>
      <c r="EO10" s="124" t="n"/>
      <c r="EP10" s="125" t="n"/>
      <c r="EQ10" s="124" t="n"/>
      <c r="ER10" s="125" t="n"/>
      <c r="ES10" s="124" t="n"/>
      <c r="ET10" s="125" t="n"/>
      <c r="EU10" s="124" t="n"/>
      <c r="EV10" s="125" t="n"/>
      <c r="EW10" s="124" t="n"/>
      <c r="EX10" s="125" t="n"/>
      <c r="EY10" s="124" t="n"/>
      <c r="EZ10" s="125" t="n"/>
      <c r="FA10" s="124" t="n"/>
      <c r="FB10" s="125" t="n"/>
      <c r="FC10" s="126" t="n"/>
      <c r="FD10" s="127" t="n"/>
      <c r="FE10" s="128" t="n"/>
      <c r="FF10" s="127" t="n"/>
      <c r="FG10" s="128" t="n"/>
      <c r="FH10" s="127" t="n"/>
      <c r="FI10" s="128" t="n"/>
      <c r="FJ10" s="127" t="n"/>
      <c r="FK10" s="128" t="n"/>
      <c r="FL10" s="127" t="n"/>
      <c r="FM10" s="128" t="n"/>
      <c r="FN10" s="127" t="n"/>
      <c r="FO10" s="128" t="n"/>
      <c r="FP10" s="127" t="n"/>
      <c r="FQ10" s="128" t="n"/>
      <c r="FR10" s="127" t="n"/>
      <c r="FS10" s="128" t="n"/>
      <c r="FT10" s="129" t="n"/>
      <c r="FU10" s="130" t="n"/>
      <c r="FV10" s="131" t="n"/>
      <c r="FW10" s="130" t="n"/>
      <c r="FX10" s="131" t="n"/>
      <c r="FY10" s="130" t="n"/>
      <c r="FZ10" s="131" t="n"/>
      <c r="GA10" s="130" t="n"/>
      <c r="GB10" s="131" t="n"/>
      <c r="GC10" s="130" t="n"/>
      <c r="GD10" s="131" t="n"/>
      <c r="GE10" s="130" t="n"/>
      <c r="GF10" s="131" t="n"/>
      <c r="GG10" s="130" t="n"/>
      <c r="GH10" s="131" t="n"/>
      <c r="GI10" s="130" t="n"/>
      <c r="GJ10" s="131" t="n"/>
      <c r="GK10" s="132" t="n"/>
      <c r="GL10" s="133" t="n"/>
      <c r="GM10" s="134" t="n"/>
      <c r="GN10" s="133" t="n"/>
      <c r="GO10" s="134" t="n"/>
      <c r="GP10" s="133" t="n"/>
      <c r="GQ10" s="134" t="n"/>
      <c r="GR10" s="133" t="n"/>
      <c r="GS10" s="134" t="n"/>
      <c r="GT10" s="133" t="n"/>
      <c r="GU10" s="134" t="n"/>
      <c r="GV10" s="133" t="n"/>
      <c r="GW10" s="134" t="n"/>
      <c r="GX10" s="133" t="n"/>
      <c r="GY10" s="134" t="n"/>
      <c r="GZ10" s="133" t="n"/>
      <c r="HA10" s="134" t="n"/>
      <c r="HB10" s="135" t="n"/>
      <c r="HC10">
        <f>COUNTIFS($G$3:$HB$3,"ح",$G10:$HB10,TRUE)</f>
        <v>0</v>
      </c>
      <c r="HD10">
        <f>COUNTIFS($G$3:$HB$3,"دفع",$G10:$HB10,TRUE)</f>
        <v>0</v>
      </c>
      <c r="HE10">
        <f>8*$HD10-$HC10</f>
        <v>0</v>
      </c>
    </row>
    <row r="11" ht="22.5" customHeight="1">
      <c r="A11" s="36" t="n">
        <v>8</v>
      </c>
      <c r="B11" s="97" t="n"/>
      <c r="C11" s="28" t="n"/>
      <c r="D11" s="98" t="str">
        <f>IF($B11="","",IF($HC11=0,"-",($HC11-8*INT(($HC11-1)/8))&amp;"/8"))</f>
        <v/>
      </c>
      <c r="E11" s="98" t="str">
        <f>IF($B11="","",IF(AND($HC11=0,$HD11=0),"-",$HE11))</f>
        <v/>
      </c>
      <c r="F11" s="99" t="str">
        <f>IF($B11="","",IF(AND($HC11=0,$HD11=0),"جديد",IF($HE11&gt;1,"تمام",IF($HE11=1,"آخر حصة",IF($HE11=0,"تجديد",IF($HE11=-1,"عليه حصة",IF($HE11=-2,"عليه حصتين","عليه "&amp;(-$HE11)&amp;" حصص")))))))</f>
        <v/>
      </c>
      <c r="G11" s="100" t="n"/>
      <c r="H11" s="101" t="n"/>
      <c r="I11" s="100" t="n"/>
      <c r="J11" s="101" t="n"/>
      <c r="K11" s="100" t="n"/>
      <c r="L11" s="101" t="n"/>
      <c r="M11" s="100" t="n"/>
      <c r="N11" s="101" t="n"/>
      <c r="O11" s="100" t="n"/>
      <c r="P11" s="101" t="n"/>
      <c r="Q11" s="100" t="n"/>
      <c r="R11" s="101" t="n"/>
      <c r="S11" s="100" t="n"/>
      <c r="T11" s="101" t="n"/>
      <c r="U11" s="100" t="n"/>
      <c r="V11" s="101" t="n"/>
      <c r="W11" s="102" t="n"/>
      <c r="X11" s="103" t="n"/>
      <c r="Y11" s="104" t="n"/>
      <c r="Z11" s="103" t="n"/>
      <c r="AA11" s="104" t="n"/>
      <c r="AB11" s="103" t="n"/>
      <c r="AC11" s="104" t="n"/>
      <c r="AD11" s="103" t="n"/>
      <c r="AE11" s="104" t="n"/>
      <c r="AF11" s="103" t="n"/>
      <c r="AG11" s="104" t="n"/>
      <c r="AH11" s="103" t="n"/>
      <c r="AI11" s="104" t="n"/>
      <c r="AJ11" s="103" t="n"/>
      <c r="AK11" s="104" t="n"/>
      <c r="AL11" s="103" t="n"/>
      <c r="AM11" s="104" t="n"/>
      <c r="AN11" s="105" t="n"/>
      <c r="AO11" s="106" t="n"/>
      <c r="AP11" s="107" t="n"/>
      <c r="AQ11" s="106" t="n"/>
      <c r="AR11" s="107" t="n"/>
      <c r="AS11" s="106" t="n"/>
      <c r="AT11" s="107" t="n"/>
      <c r="AU11" s="106" t="n"/>
      <c r="AV11" s="107" t="n"/>
      <c r="AW11" s="106" t="n"/>
      <c r="AX11" s="107" t="n"/>
      <c r="AY11" s="106" t="n"/>
      <c r="AZ11" s="107" t="n"/>
      <c r="BA11" s="106" t="n"/>
      <c r="BB11" s="107" t="n"/>
      <c r="BC11" s="106" t="n"/>
      <c r="BD11" s="107" t="n"/>
      <c r="BE11" s="108" t="n"/>
      <c r="BF11" s="109" t="n"/>
      <c r="BG11" s="110" t="n"/>
      <c r="BH11" s="109" t="n"/>
      <c r="BI11" s="110" t="n"/>
      <c r="BJ11" s="109" t="n"/>
      <c r="BK11" s="110" t="n"/>
      <c r="BL11" s="109" t="n"/>
      <c r="BM11" s="110" t="n"/>
      <c r="BN11" s="109" t="n"/>
      <c r="BO11" s="110" t="n"/>
      <c r="BP11" s="109" t="n"/>
      <c r="BQ11" s="110" t="n"/>
      <c r="BR11" s="109" t="n"/>
      <c r="BS11" s="110" t="n"/>
      <c r="BT11" s="109" t="n"/>
      <c r="BU11" s="110" t="n"/>
      <c r="BV11" s="111" t="n"/>
      <c r="BW11" s="112" t="n"/>
      <c r="BX11" s="113" t="n"/>
      <c r="BY11" s="112" t="n"/>
      <c r="BZ11" s="113" t="n"/>
      <c r="CA11" s="112" t="n"/>
      <c r="CB11" s="113" t="n"/>
      <c r="CC11" s="112" t="n"/>
      <c r="CD11" s="113" t="n"/>
      <c r="CE11" s="112" t="n"/>
      <c r="CF11" s="113" t="n"/>
      <c r="CG11" s="112" t="n"/>
      <c r="CH11" s="113" t="n"/>
      <c r="CI11" s="112" t="n"/>
      <c r="CJ11" s="113" t="n"/>
      <c r="CK11" s="112" t="n"/>
      <c r="CL11" s="113" t="n"/>
      <c r="CM11" s="114" t="n"/>
      <c r="CN11" s="115" t="n"/>
      <c r="CO11" s="116" t="n"/>
      <c r="CP11" s="115" t="n"/>
      <c r="CQ11" s="116" t="n"/>
      <c r="CR11" s="115" t="n"/>
      <c r="CS11" s="116" t="n"/>
      <c r="CT11" s="115" t="n"/>
      <c r="CU11" s="116" t="n"/>
      <c r="CV11" s="115" t="n"/>
      <c r="CW11" s="116" t="n"/>
      <c r="CX11" s="115" t="n"/>
      <c r="CY11" s="116" t="n"/>
      <c r="CZ11" s="115" t="n"/>
      <c r="DA11" s="116" t="n"/>
      <c r="DB11" s="115" t="n"/>
      <c r="DC11" s="116" t="n"/>
      <c r="DD11" s="117" t="n"/>
      <c r="DE11" s="118" t="n"/>
      <c r="DF11" s="119" t="n"/>
      <c r="DG11" s="118" t="n"/>
      <c r="DH11" s="119" t="n"/>
      <c r="DI11" s="118" t="n"/>
      <c r="DJ11" s="119" t="n"/>
      <c r="DK11" s="118" t="n"/>
      <c r="DL11" s="119" t="n"/>
      <c r="DM11" s="118" t="n"/>
      <c r="DN11" s="119" t="n"/>
      <c r="DO11" s="118" t="n"/>
      <c r="DP11" s="119" t="n"/>
      <c r="DQ11" s="118" t="n"/>
      <c r="DR11" s="119" t="n"/>
      <c r="DS11" s="118" t="n"/>
      <c r="DT11" s="119" t="n"/>
      <c r="DU11" s="120" t="n"/>
      <c r="DV11" s="121" t="n"/>
      <c r="DW11" s="122" t="n"/>
      <c r="DX11" s="121" t="n"/>
      <c r="DY11" s="122" t="n"/>
      <c r="DZ11" s="121" t="n"/>
      <c r="EA11" s="122" t="n"/>
      <c r="EB11" s="121" t="n"/>
      <c r="EC11" s="122" t="n"/>
      <c r="ED11" s="121" t="n"/>
      <c r="EE11" s="122" t="n"/>
      <c r="EF11" s="121" t="n"/>
      <c r="EG11" s="122" t="n"/>
      <c r="EH11" s="121" t="n"/>
      <c r="EI11" s="122" t="n"/>
      <c r="EJ11" s="121" t="n"/>
      <c r="EK11" s="122" t="n"/>
      <c r="EL11" s="123" t="n"/>
      <c r="EM11" s="124" t="n"/>
      <c r="EN11" s="125" t="n"/>
      <c r="EO11" s="124" t="n"/>
      <c r="EP11" s="125" t="n"/>
      <c r="EQ11" s="124" t="n"/>
      <c r="ER11" s="125" t="n"/>
      <c r="ES11" s="124" t="n"/>
      <c r="ET11" s="125" t="n"/>
      <c r="EU11" s="124" t="n"/>
      <c r="EV11" s="125" t="n"/>
      <c r="EW11" s="124" t="n"/>
      <c r="EX11" s="125" t="n"/>
      <c r="EY11" s="124" t="n"/>
      <c r="EZ11" s="125" t="n"/>
      <c r="FA11" s="124" t="n"/>
      <c r="FB11" s="125" t="n"/>
      <c r="FC11" s="126" t="n"/>
      <c r="FD11" s="127" t="n"/>
      <c r="FE11" s="128" t="n"/>
      <c r="FF11" s="127" t="n"/>
      <c r="FG11" s="128" t="n"/>
      <c r="FH11" s="127" t="n"/>
      <c r="FI11" s="128" t="n"/>
      <c r="FJ11" s="127" t="n"/>
      <c r="FK11" s="128" t="n"/>
      <c r="FL11" s="127" t="n"/>
      <c r="FM11" s="128" t="n"/>
      <c r="FN11" s="127" t="n"/>
      <c r="FO11" s="128" t="n"/>
      <c r="FP11" s="127" t="n"/>
      <c r="FQ11" s="128" t="n"/>
      <c r="FR11" s="127" t="n"/>
      <c r="FS11" s="128" t="n"/>
      <c r="FT11" s="129" t="n"/>
      <c r="FU11" s="130" t="n"/>
      <c r="FV11" s="131" t="n"/>
      <c r="FW11" s="130" t="n"/>
      <c r="FX11" s="131" t="n"/>
      <c r="FY11" s="130" t="n"/>
      <c r="FZ11" s="131" t="n"/>
      <c r="GA11" s="130" t="n"/>
      <c r="GB11" s="131" t="n"/>
      <c r="GC11" s="130" t="n"/>
      <c r="GD11" s="131" t="n"/>
      <c r="GE11" s="130" t="n"/>
      <c r="GF11" s="131" t="n"/>
      <c r="GG11" s="130" t="n"/>
      <c r="GH11" s="131" t="n"/>
      <c r="GI11" s="130" t="n"/>
      <c r="GJ11" s="131" t="n"/>
      <c r="GK11" s="132" t="n"/>
      <c r="GL11" s="133" t="n"/>
      <c r="GM11" s="134" t="n"/>
      <c r="GN11" s="133" t="n"/>
      <c r="GO11" s="134" t="n"/>
      <c r="GP11" s="133" t="n"/>
      <c r="GQ11" s="134" t="n"/>
      <c r="GR11" s="133" t="n"/>
      <c r="GS11" s="134" t="n"/>
      <c r="GT11" s="133" t="n"/>
      <c r="GU11" s="134" t="n"/>
      <c r="GV11" s="133" t="n"/>
      <c r="GW11" s="134" t="n"/>
      <c r="GX11" s="133" t="n"/>
      <c r="GY11" s="134" t="n"/>
      <c r="GZ11" s="133" t="n"/>
      <c r="HA11" s="134" t="n"/>
      <c r="HB11" s="135" t="n"/>
      <c r="HC11">
        <f>COUNTIFS($G$3:$HB$3,"ح",$G11:$HB11,TRUE)</f>
        <v>0</v>
      </c>
      <c r="HD11">
        <f>COUNTIFS($G$3:$HB$3,"دفع",$G11:$HB11,TRUE)</f>
        <v>0</v>
      </c>
      <c r="HE11">
        <f>8*$HD11-$HC11</f>
        <v>0</v>
      </c>
    </row>
    <row r="12" ht="22.5" customHeight="1">
      <c r="A12" s="36" t="n">
        <v>9</v>
      </c>
      <c r="B12" s="97" t="n"/>
      <c r="C12" s="28" t="n"/>
      <c r="D12" s="98" t="str">
        <f>IF($B12="","",IF($HC12=0,"-",($HC12-8*INT(($HC12-1)/8))&amp;"/8"))</f>
        <v/>
      </c>
      <c r="E12" s="98" t="str">
        <f>IF($B12="","",IF(AND($HC12=0,$HD12=0),"-",$HE12))</f>
        <v/>
      </c>
      <c r="F12" s="99" t="str">
        <f>IF($B12="","",IF(AND($HC12=0,$HD12=0),"جديد",IF($HE12&gt;1,"تمام",IF($HE12=1,"آخر حصة",IF($HE12=0,"تجديد",IF($HE12=-1,"عليه حصة",IF($HE12=-2,"عليه حصتين","عليه "&amp;(-$HE12)&amp;" حصص")))))))</f>
        <v/>
      </c>
      <c r="G12" s="100" t="n"/>
      <c r="H12" s="101" t="n"/>
      <c r="I12" s="100" t="n"/>
      <c r="J12" s="101" t="n"/>
      <c r="K12" s="100" t="n"/>
      <c r="L12" s="101" t="n"/>
      <c r="M12" s="100" t="n"/>
      <c r="N12" s="101" t="n"/>
      <c r="O12" s="100" t="n"/>
      <c r="P12" s="101" t="n"/>
      <c r="Q12" s="100" t="n"/>
      <c r="R12" s="101" t="n"/>
      <c r="S12" s="100" t="n"/>
      <c r="T12" s="101" t="n"/>
      <c r="U12" s="100" t="n"/>
      <c r="V12" s="101" t="n"/>
      <c r="W12" s="102" t="n"/>
      <c r="X12" s="103" t="n"/>
      <c r="Y12" s="104" t="n"/>
      <c r="Z12" s="103" t="n"/>
      <c r="AA12" s="104" t="n"/>
      <c r="AB12" s="103" t="n"/>
      <c r="AC12" s="104" t="n"/>
      <c r="AD12" s="103" t="n"/>
      <c r="AE12" s="104" t="n"/>
      <c r="AF12" s="103" t="n"/>
      <c r="AG12" s="104" t="n"/>
      <c r="AH12" s="103" t="n"/>
      <c r="AI12" s="104" t="n"/>
      <c r="AJ12" s="103" t="n"/>
      <c r="AK12" s="104" t="n"/>
      <c r="AL12" s="103" t="n"/>
      <c r="AM12" s="104" t="n"/>
      <c r="AN12" s="105" t="n"/>
      <c r="AO12" s="106" t="n"/>
      <c r="AP12" s="107" t="n"/>
      <c r="AQ12" s="106" t="n"/>
      <c r="AR12" s="107" t="n"/>
      <c r="AS12" s="106" t="n"/>
      <c r="AT12" s="107" t="n"/>
      <c r="AU12" s="106" t="n"/>
      <c r="AV12" s="107" t="n"/>
      <c r="AW12" s="106" t="n"/>
      <c r="AX12" s="107" t="n"/>
      <c r="AY12" s="106" t="n"/>
      <c r="AZ12" s="107" t="n"/>
      <c r="BA12" s="106" t="n"/>
      <c r="BB12" s="107" t="n"/>
      <c r="BC12" s="106" t="n"/>
      <c r="BD12" s="107" t="n"/>
      <c r="BE12" s="108" t="n"/>
      <c r="BF12" s="109" t="n"/>
      <c r="BG12" s="110" t="n"/>
      <c r="BH12" s="109" t="n"/>
      <c r="BI12" s="110" t="n"/>
      <c r="BJ12" s="109" t="n"/>
      <c r="BK12" s="110" t="n"/>
      <c r="BL12" s="109" t="n"/>
      <c r="BM12" s="110" t="n"/>
      <c r="BN12" s="109" t="n"/>
      <c r="BO12" s="110" t="n"/>
      <c r="BP12" s="109" t="n"/>
      <c r="BQ12" s="110" t="n"/>
      <c r="BR12" s="109" t="n"/>
      <c r="BS12" s="110" t="n"/>
      <c r="BT12" s="109" t="n"/>
      <c r="BU12" s="110" t="n"/>
      <c r="BV12" s="111" t="n"/>
      <c r="BW12" s="112" t="n"/>
      <c r="BX12" s="113" t="n"/>
      <c r="BY12" s="112" t="n"/>
      <c r="BZ12" s="113" t="n"/>
      <c r="CA12" s="112" t="n"/>
      <c r="CB12" s="113" t="n"/>
      <c r="CC12" s="112" t="n"/>
      <c r="CD12" s="113" t="n"/>
      <c r="CE12" s="112" t="n"/>
      <c r="CF12" s="113" t="n"/>
      <c r="CG12" s="112" t="n"/>
      <c r="CH12" s="113" t="n"/>
      <c r="CI12" s="112" t="n"/>
      <c r="CJ12" s="113" t="n"/>
      <c r="CK12" s="112" t="n"/>
      <c r="CL12" s="113" t="n"/>
      <c r="CM12" s="114" t="n"/>
      <c r="CN12" s="115" t="n"/>
      <c r="CO12" s="116" t="n"/>
      <c r="CP12" s="115" t="n"/>
      <c r="CQ12" s="116" t="n"/>
      <c r="CR12" s="115" t="n"/>
      <c r="CS12" s="116" t="n"/>
      <c r="CT12" s="115" t="n"/>
      <c r="CU12" s="116" t="n"/>
      <c r="CV12" s="115" t="n"/>
      <c r="CW12" s="116" t="n"/>
      <c r="CX12" s="115" t="n"/>
      <c r="CY12" s="116" t="n"/>
      <c r="CZ12" s="115" t="n"/>
      <c r="DA12" s="116" t="n"/>
      <c r="DB12" s="115" t="n"/>
      <c r="DC12" s="116" t="n"/>
      <c r="DD12" s="117" t="n"/>
      <c r="DE12" s="118" t="n"/>
      <c r="DF12" s="119" t="n"/>
      <c r="DG12" s="118" t="n"/>
      <c r="DH12" s="119" t="n"/>
      <c r="DI12" s="118" t="n"/>
      <c r="DJ12" s="119" t="n"/>
      <c r="DK12" s="118" t="n"/>
      <c r="DL12" s="119" t="n"/>
      <c r="DM12" s="118" t="n"/>
      <c r="DN12" s="119" t="n"/>
      <c r="DO12" s="118" t="n"/>
      <c r="DP12" s="119" t="n"/>
      <c r="DQ12" s="118" t="n"/>
      <c r="DR12" s="119" t="n"/>
      <c r="DS12" s="118" t="n"/>
      <c r="DT12" s="119" t="n"/>
      <c r="DU12" s="120" t="n"/>
      <c r="DV12" s="121" t="n"/>
      <c r="DW12" s="122" t="n"/>
      <c r="DX12" s="121" t="n"/>
      <c r="DY12" s="122" t="n"/>
      <c r="DZ12" s="121" t="n"/>
      <c r="EA12" s="122" t="n"/>
      <c r="EB12" s="121" t="n"/>
      <c r="EC12" s="122" t="n"/>
      <c r="ED12" s="121" t="n"/>
      <c r="EE12" s="122" t="n"/>
      <c r="EF12" s="121" t="n"/>
      <c r="EG12" s="122" t="n"/>
      <c r="EH12" s="121" t="n"/>
      <c r="EI12" s="122" t="n"/>
      <c r="EJ12" s="121" t="n"/>
      <c r="EK12" s="122" t="n"/>
      <c r="EL12" s="123" t="n"/>
      <c r="EM12" s="124" t="n"/>
      <c r="EN12" s="125" t="n"/>
      <c r="EO12" s="124" t="n"/>
      <c r="EP12" s="125" t="n"/>
      <c r="EQ12" s="124" t="n"/>
      <c r="ER12" s="125" t="n"/>
      <c r="ES12" s="124" t="n"/>
      <c r="ET12" s="125" t="n"/>
      <c r="EU12" s="124" t="n"/>
      <c r="EV12" s="125" t="n"/>
      <c r="EW12" s="124" t="n"/>
      <c r="EX12" s="125" t="n"/>
      <c r="EY12" s="124" t="n"/>
      <c r="EZ12" s="125" t="n"/>
      <c r="FA12" s="124" t="n"/>
      <c r="FB12" s="125" t="n"/>
      <c r="FC12" s="126" t="n"/>
      <c r="FD12" s="127" t="n"/>
      <c r="FE12" s="128" t="n"/>
      <c r="FF12" s="127" t="n"/>
      <c r="FG12" s="128" t="n"/>
      <c r="FH12" s="127" t="n"/>
      <c r="FI12" s="128" t="n"/>
      <c r="FJ12" s="127" t="n"/>
      <c r="FK12" s="128" t="n"/>
      <c r="FL12" s="127" t="n"/>
      <c r="FM12" s="128" t="n"/>
      <c r="FN12" s="127" t="n"/>
      <c r="FO12" s="128" t="n"/>
      <c r="FP12" s="127" t="n"/>
      <c r="FQ12" s="128" t="n"/>
      <c r="FR12" s="127" t="n"/>
      <c r="FS12" s="128" t="n"/>
      <c r="FT12" s="129" t="n"/>
      <c r="FU12" s="130" t="n"/>
      <c r="FV12" s="131" t="n"/>
      <c r="FW12" s="130" t="n"/>
      <c r="FX12" s="131" t="n"/>
      <c r="FY12" s="130" t="n"/>
      <c r="FZ12" s="131" t="n"/>
      <c r="GA12" s="130" t="n"/>
      <c r="GB12" s="131" t="n"/>
      <c r="GC12" s="130" t="n"/>
      <c r="GD12" s="131" t="n"/>
      <c r="GE12" s="130" t="n"/>
      <c r="GF12" s="131" t="n"/>
      <c r="GG12" s="130" t="n"/>
      <c r="GH12" s="131" t="n"/>
      <c r="GI12" s="130" t="n"/>
      <c r="GJ12" s="131" t="n"/>
      <c r="GK12" s="132" t="n"/>
      <c r="GL12" s="133" t="n"/>
      <c r="GM12" s="134" t="n"/>
      <c r="GN12" s="133" t="n"/>
      <c r="GO12" s="134" t="n"/>
      <c r="GP12" s="133" t="n"/>
      <c r="GQ12" s="134" t="n"/>
      <c r="GR12" s="133" t="n"/>
      <c r="GS12" s="134" t="n"/>
      <c r="GT12" s="133" t="n"/>
      <c r="GU12" s="134" t="n"/>
      <c r="GV12" s="133" t="n"/>
      <c r="GW12" s="134" t="n"/>
      <c r="GX12" s="133" t="n"/>
      <c r="GY12" s="134" t="n"/>
      <c r="GZ12" s="133" t="n"/>
      <c r="HA12" s="134" t="n"/>
      <c r="HB12" s="135" t="n"/>
      <c r="HC12">
        <f>COUNTIFS($G$3:$HB$3,"ح",$G12:$HB12,TRUE)</f>
        <v>0</v>
      </c>
      <c r="HD12">
        <f>COUNTIFS($G$3:$HB$3,"دفع",$G12:$HB12,TRUE)</f>
        <v>0</v>
      </c>
      <c r="HE12">
        <f>8*$HD12-$HC12</f>
        <v>0</v>
      </c>
    </row>
    <row r="13" ht="22.5" customHeight="1">
      <c r="A13" s="36" t="n">
        <v>10</v>
      </c>
      <c r="B13" s="97" t="n"/>
      <c r="C13" s="28" t="n"/>
      <c r="D13" s="98" t="str">
        <f>IF($B13="","",IF($HC13=0,"-",($HC13-8*INT(($HC13-1)/8))&amp;"/8"))</f>
        <v/>
      </c>
      <c r="E13" s="98" t="str">
        <f>IF($B13="","",IF(AND($HC13=0,$HD13=0),"-",$HE13))</f>
        <v/>
      </c>
      <c r="F13" s="99" t="str">
        <f>IF($B13="","",IF(AND($HC13=0,$HD13=0),"جديد",IF($HE13&gt;1,"تمام",IF($HE13=1,"آخر حصة",IF($HE13=0,"تجديد",IF($HE13=-1,"عليه حصة",IF($HE13=-2,"عليه حصتين","عليه "&amp;(-$HE13)&amp;" حصص")))))))</f>
        <v/>
      </c>
      <c r="G13" s="100" t="n"/>
      <c r="H13" s="101" t="n"/>
      <c r="I13" s="100" t="n"/>
      <c r="J13" s="101" t="n"/>
      <c r="K13" s="100" t="n"/>
      <c r="L13" s="101" t="n"/>
      <c r="M13" s="100" t="n"/>
      <c r="N13" s="101" t="n"/>
      <c r="O13" s="100" t="n"/>
      <c r="P13" s="101" t="n"/>
      <c r="Q13" s="100" t="n"/>
      <c r="R13" s="101" t="n"/>
      <c r="S13" s="100" t="n"/>
      <c r="T13" s="101" t="n"/>
      <c r="U13" s="100" t="n"/>
      <c r="V13" s="101" t="n"/>
      <c r="W13" s="102" t="n"/>
      <c r="X13" s="103" t="n"/>
      <c r="Y13" s="104" t="n"/>
      <c r="Z13" s="103" t="n"/>
      <c r="AA13" s="104" t="n"/>
      <c r="AB13" s="103" t="n"/>
      <c r="AC13" s="104" t="n"/>
      <c r="AD13" s="103" t="n"/>
      <c r="AE13" s="104" t="n"/>
      <c r="AF13" s="103" t="n"/>
      <c r="AG13" s="104" t="n"/>
      <c r="AH13" s="103" t="n"/>
      <c r="AI13" s="104" t="n"/>
      <c r="AJ13" s="103" t="n"/>
      <c r="AK13" s="104" t="n"/>
      <c r="AL13" s="103" t="n"/>
      <c r="AM13" s="104" t="n"/>
      <c r="AN13" s="105" t="n"/>
      <c r="AO13" s="106" t="n"/>
      <c r="AP13" s="107" t="n"/>
      <c r="AQ13" s="106" t="n"/>
      <c r="AR13" s="107" t="n"/>
      <c r="AS13" s="106" t="n"/>
      <c r="AT13" s="107" t="n"/>
      <c r="AU13" s="106" t="n"/>
      <c r="AV13" s="107" t="n"/>
      <c r="AW13" s="106" t="n"/>
      <c r="AX13" s="107" t="n"/>
      <c r="AY13" s="106" t="n"/>
      <c r="AZ13" s="107" t="n"/>
      <c r="BA13" s="106" t="n"/>
      <c r="BB13" s="107" t="n"/>
      <c r="BC13" s="106" t="n"/>
      <c r="BD13" s="107" t="n"/>
      <c r="BE13" s="108" t="n"/>
      <c r="BF13" s="109" t="n"/>
      <c r="BG13" s="110" t="n"/>
      <c r="BH13" s="109" t="n"/>
      <c r="BI13" s="110" t="n"/>
      <c r="BJ13" s="109" t="n"/>
      <c r="BK13" s="110" t="n"/>
      <c r="BL13" s="109" t="n"/>
      <c r="BM13" s="110" t="n"/>
      <c r="BN13" s="109" t="n"/>
      <c r="BO13" s="110" t="n"/>
      <c r="BP13" s="109" t="n"/>
      <c r="BQ13" s="110" t="n"/>
      <c r="BR13" s="109" t="n"/>
      <c r="BS13" s="110" t="n"/>
      <c r="BT13" s="109" t="n"/>
      <c r="BU13" s="110" t="n"/>
      <c r="BV13" s="111" t="n"/>
      <c r="BW13" s="112" t="n"/>
      <c r="BX13" s="113" t="n"/>
      <c r="BY13" s="112" t="n"/>
      <c r="BZ13" s="113" t="n"/>
      <c r="CA13" s="112" t="n"/>
      <c r="CB13" s="113" t="n"/>
      <c r="CC13" s="112" t="n"/>
      <c r="CD13" s="113" t="n"/>
      <c r="CE13" s="112" t="n"/>
      <c r="CF13" s="113" t="n"/>
      <c r="CG13" s="112" t="n"/>
      <c r="CH13" s="113" t="n"/>
      <c r="CI13" s="112" t="n"/>
      <c r="CJ13" s="113" t="n"/>
      <c r="CK13" s="112" t="n"/>
      <c r="CL13" s="113" t="n"/>
      <c r="CM13" s="114" t="n"/>
      <c r="CN13" s="115" t="n"/>
      <c r="CO13" s="116" t="n"/>
      <c r="CP13" s="115" t="n"/>
      <c r="CQ13" s="116" t="n"/>
      <c r="CR13" s="115" t="n"/>
      <c r="CS13" s="116" t="n"/>
      <c r="CT13" s="115" t="n"/>
      <c r="CU13" s="116" t="n"/>
      <c r="CV13" s="115" t="n"/>
      <c r="CW13" s="116" t="n"/>
      <c r="CX13" s="115" t="n"/>
      <c r="CY13" s="116" t="n"/>
      <c r="CZ13" s="115" t="n"/>
      <c r="DA13" s="116" t="n"/>
      <c r="DB13" s="115" t="n"/>
      <c r="DC13" s="116" t="n"/>
      <c r="DD13" s="117" t="n"/>
      <c r="DE13" s="118" t="n"/>
      <c r="DF13" s="119" t="n"/>
      <c r="DG13" s="118" t="n"/>
      <c r="DH13" s="119" t="n"/>
      <c r="DI13" s="118" t="n"/>
      <c r="DJ13" s="119" t="n"/>
      <c r="DK13" s="118" t="n"/>
      <c r="DL13" s="119" t="n"/>
      <c r="DM13" s="118" t="n"/>
      <c r="DN13" s="119" t="n"/>
      <c r="DO13" s="118" t="n"/>
      <c r="DP13" s="119" t="n"/>
      <c r="DQ13" s="118" t="n"/>
      <c r="DR13" s="119" t="n"/>
      <c r="DS13" s="118" t="n"/>
      <c r="DT13" s="119" t="n"/>
      <c r="DU13" s="120" t="n"/>
      <c r="DV13" s="121" t="n"/>
      <c r="DW13" s="122" t="n"/>
      <c r="DX13" s="121" t="n"/>
      <c r="DY13" s="122" t="n"/>
      <c r="DZ13" s="121" t="n"/>
      <c r="EA13" s="122" t="n"/>
      <c r="EB13" s="121" t="n"/>
      <c r="EC13" s="122" t="n"/>
      <c r="ED13" s="121" t="n"/>
      <c r="EE13" s="122" t="n"/>
      <c r="EF13" s="121" t="n"/>
      <c r="EG13" s="122" t="n"/>
      <c r="EH13" s="121" t="n"/>
      <c r="EI13" s="122" t="n"/>
      <c r="EJ13" s="121" t="n"/>
      <c r="EK13" s="122" t="n"/>
      <c r="EL13" s="123" t="n"/>
      <c r="EM13" s="124" t="n"/>
      <c r="EN13" s="125" t="n"/>
      <c r="EO13" s="124" t="n"/>
      <c r="EP13" s="125" t="n"/>
      <c r="EQ13" s="124" t="n"/>
      <c r="ER13" s="125" t="n"/>
      <c r="ES13" s="124" t="n"/>
      <c r="ET13" s="125" t="n"/>
      <c r="EU13" s="124" t="n"/>
      <c r="EV13" s="125" t="n"/>
      <c r="EW13" s="124" t="n"/>
      <c r="EX13" s="125" t="n"/>
      <c r="EY13" s="124" t="n"/>
      <c r="EZ13" s="125" t="n"/>
      <c r="FA13" s="124" t="n"/>
      <c r="FB13" s="125" t="n"/>
      <c r="FC13" s="126" t="n"/>
      <c r="FD13" s="127" t="n"/>
      <c r="FE13" s="128" t="n"/>
      <c r="FF13" s="127" t="n"/>
      <c r="FG13" s="128" t="n"/>
      <c r="FH13" s="127" t="n"/>
      <c r="FI13" s="128" t="n"/>
      <c r="FJ13" s="127" t="n"/>
      <c r="FK13" s="128" t="n"/>
      <c r="FL13" s="127" t="n"/>
      <c r="FM13" s="128" t="n"/>
      <c r="FN13" s="127" t="n"/>
      <c r="FO13" s="128" t="n"/>
      <c r="FP13" s="127" t="n"/>
      <c r="FQ13" s="128" t="n"/>
      <c r="FR13" s="127" t="n"/>
      <c r="FS13" s="128" t="n"/>
      <c r="FT13" s="129" t="n"/>
      <c r="FU13" s="130" t="n"/>
      <c r="FV13" s="131" t="n"/>
      <c r="FW13" s="130" t="n"/>
      <c r="FX13" s="131" t="n"/>
      <c r="FY13" s="130" t="n"/>
      <c r="FZ13" s="131" t="n"/>
      <c r="GA13" s="130" t="n"/>
      <c r="GB13" s="131" t="n"/>
      <c r="GC13" s="130" t="n"/>
      <c r="GD13" s="131" t="n"/>
      <c r="GE13" s="130" t="n"/>
      <c r="GF13" s="131" t="n"/>
      <c r="GG13" s="130" t="n"/>
      <c r="GH13" s="131" t="n"/>
      <c r="GI13" s="130" t="n"/>
      <c r="GJ13" s="131" t="n"/>
      <c r="GK13" s="132" t="n"/>
      <c r="GL13" s="133" t="n"/>
      <c r="GM13" s="134" t="n"/>
      <c r="GN13" s="133" t="n"/>
      <c r="GO13" s="134" t="n"/>
      <c r="GP13" s="133" t="n"/>
      <c r="GQ13" s="134" t="n"/>
      <c r="GR13" s="133" t="n"/>
      <c r="GS13" s="134" t="n"/>
      <c r="GT13" s="133" t="n"/>
      <c r="GU13" s="134" t="n"/>
      <c r="GV13" s="133" t="n"/>
      <c r="GW13" s="134" t="n"/>
      <c r="GX13" s="133" t="n"/>
      <c r="GY13" s="134" t="n"/>
      <c r="GZ13" s="133" t="n"/>
      <c r="HA13" s="134" t="n"/>
      <c r="HB13" s="135" t="n"/>
      <c r="HC13">
        <f>COUNTIFS($G$3:$HB$3,"ح",$G13:$HB13,TRUE)</f>
        <v>0</v>
      </c>
      <c r="HD13">
        <f>COUNTIFS($G$3:$HB$3,"دفع",$G13:$HB13,TRUE)</f>
        <v>0</v>
      </c>
      <c r="HE13">
        <f>8*$HD13-$HC13</f>
        <v>0</v>
      </c>
    </row>
    <row r="14" ht="22.5" customHeight="1">
      <c r="A14" s="36" t="n">
        <v>11</v>
      </c>
      <c r="B14" s="97" t="n"/>
      <c r="C14" s="28" t="n"/>
      <c r="D14" s="98" t="str">
        <f>IF($B14="","",IF($HC14=0,"-",($HC14-8*INT(($HC14-1)/8))&amp;"/8"))</f>
        <v/>
      </c>
      <c r="E14" s="98" t="str">
        <f>IF($B14="","",IF(AND($HC14=0,$HD14=0),"-",$HE14))</f>
        <v/>
      </c>
      <c r="F14" s="99" t="str">
        <f>IF($B14="","",IF(AND($HC14=0,$HD14=0),"جديد",IF($HE14&gt;1,"تمام",IF($HE14=1,"آخر حصة",IF($HE14=0,"تجديد",IF($HE14=-1,"عليه حصة",IF($HE14=-2,"عليه حصتين","عليه "&amp;(-$HE14)&amp;" حصص")))))))</f>
        <v/>
      </c>
      <c r="G14" s="100" t="n"/>
      <c r="H14" s="101" t="n"/>
      <c r="I14" s="100" t="n"/>
      <c r="J14" s="101" t="n"/>
      <c r="K14" s="100" t="n"/>
      <c r="L14" s="101" t="n"/>
      <c r="M14" s="100" t="n"/>
      <c r="N14" s="101" t="n"/>
      <c r="O14" s="100" t="n"/>
      <c r="P14" s="101" t="n"/>
      <c r="Q14" s="100" t="n"/>
      <c r="R14" s="101" t="n"/>
      <c r="S14" s="100" t="n"/>
      <c r="T14" s="101" t="n"/>
      <c r="U14" s="100" t="n"/>
      <c r="V14" s="101" t="n"/>
      <c r="W14" s="102" t="n"/>
      <c r="X14" s="103" t="n"/>
      <c r="Y14" s="104" t="n"/>
      <c r="Z14" s="103" t="n"/>
      <c r="AA14" s="104" t="n"/>
      <c r="AB14" s="103" t="n"/>
      <c r="AC14" s="104" t="n"/>
      <c r="AD14" s="103" t="n"/>
      <c r="AE14" s="104" t="n"/>
      <c r="AF14" s="103" t="n"/>
      <c r="AG14" s="104" t="n"/>
      <c r="AH14" s="103" t="n"/>
      <c r="AI14" s="104" t="n"/>
      <c r="AJ14" s="103" t="n"/>
      <c r="AK14" s="104" t="n"/>
      <c r="AL14" s="103" t="n"/>
      <c r="AM14" s="104" t="n"/>
      <c r="AN14" s="105" t="n"/>
      <c r="AO14" s="106" t="n"/>
      <c r="AP14" s="107" t="n"/>
      <c r="AQ14" s="106" t="n"/>
      <c r="AR14" s="107" t="n"/>
      <c r="AS14" s="106" t="n"/>
      <c r="AT14" s="107" t="n"/>
      <c r="AU14" s="106" t="n"/>
      <c r="AV14" s="107" t="n"/>
      <c r="AW14" s="106" t="n"/>
      <c r="AX14" s="107" t="n"/>
      <c r="AY14" s="106" t="n"/>
      <c r="AZ14" s="107" t="n"/>
      <c r="BA14" s="106" t="n"/>
      <c r="BB14" s="107" t="n"/>
      <c r="BC14" s="106" t="n"/>
      <c r="BD14" s="107" t="n"/>
      <c r="BE14" s="108" t="n"/>
      <c r="BF14" s="109" t="n"/>
      <c r="BG14" s="110" t="n"/>
      <c r="BH14" s="109" t="n"/>
      <c r="BI14" s="110" t="n"/>
      <c r="BJ14" s="109" t="n"/>
      <c r="BK14" s="110" t="n"/>
      <c r="BL14" s="109" t="n"/>
      <c r="BM14" s="110" t="n"/>
      <c r="BN14" s="109" t="n"/>
      <c r="BO14" s="110" t="n"/>
      <c r="BP14" s="109" t="n"/>
      <c r="BQ14" s="110" t="n"/>
      <c r="BR14" s="109" t="n"/>
      <c r="BS14" s="110" t="n"/>
      <c r="BT14" s="109" t="n"/>
      <c r="BU14" s="110" t="n"/>
      <c r="BV14" s="111" t="n"/>
      <c r="BW14" s="112" t="n"/>
      <c r="BX14" s="113" t="n"/>
      <c r="BY14" s="112" t="n"/>
      <c r="BZ14" s="113" t="n"/>
      <c r="CA14" s="112" t="n"/>
      <c r="CB14" s="113" t="n"/>
      <c r="CC14" s="112" t="n"/>
      <c r="CD14" s="113" t="n"/>
      <c r="CE14" s="112" t="n"/>
      <c r="CF14" s="113" t="n"/>
      <c r="CG14" s="112" t="n"/>
      <c r="CH14" s="113" t="n"/>
      <c r="CI14" s="112" t="n"/>
      <c r="CJ14" s="113" t="n"/>
      <c r="CK14" s="112" t="n"/>
      <c r="CL14" s="113" t="n"/>
      <c r="CM14" s="114" t="n"/>
      <c r="CN14" s="115" t="n"/>
      <c r="CO14" s="116" t="n"/>
      <c r="CP14" s="115" t="n"/>
      <c r="CQ14" s="116" t="n"/>
      <c r="CR14" s="115" t="n"/>
      <c r="CS14" s="116" t="n"/>
      <c r="CT14" s="115" t="n"/>
      <c r="CU14" s="116" t="n"/>
      <c r="CV14" s="115" t="n"/>
      <c r="CW14" s="116" t="n"/>
      <c r="CX14" s="115" t="n"/>
      <c r="CY14" s="116" t="n"/>
      <c r="CZ14" s="115" t="n"/>
      <c r="DA14" s="116" t="n"/>
      <c r="DB14" s="115" t="n"/>
      <c r="DC14" s="116" t="n"/>
      <c r="DD14" s="117" t="n"/>
      <c r="DE14" s="118" t="n"/>
      <c r="DF14" s="119" t="n"/>
      <c r="DG14" s="118" t="n"/>
      <c r="DH14" s="119" t="n"/>
      <c r="DI14" s="118" t="n"/>
      <c r="DJ14" s="119" t="n"/>
      <c r="DK14" s="118" t="n"/>
      <c r="DL14" s="119" t="n"/>
      <c r="DM14" s="118" t="n"/>
      <c r="DN14" s="119" t="n"/>
      <c r="DO14" s="118" t="n"/>
      <c r="DP14" s="119" t="n"/>
      <c r="DQ14" s="118" t="n"/>
      <c r="DR14" s="119" t="n"/>
      <c r="DS14" s="118" t="n"/>
      <c r="DT14" s="119" t="n"/>
      <c r="DU14" s="120" t="n"/>
      <c r="DV14" s="121" t="n"/>
      <c r="DW14" s="122" t="n"/>
      <c r="DX14" s="121" t="n"/>
      <c r="DY14" s="122" t="n"/>
      <c r="DZ14" s="121" t="n"/>
      <c r="EA14" s="122" t="n"/>
      <c r="EB14" s="121" t="n"/>
      <c r="EC14" s="122" t="n"/>
      <c r="ED14" s="121" t="n"/>
      <c r="EE14" s="122" t="n"/>
      <c r="EF14" s="121" t="n"/>
      <c r="EG14" s="122" t="n"/>
      <c r="EH14" s="121" t="n"/>
      <c r="EI14" s="122" t="n"/>
      <c r="EJ14" s="121" t="n"/>
      <c r="EK14" s="122" t="n"/>
      <c r="EL14" s="123" t="n"/>
      <c r="EM14" s="124" t="n"/>
      <c r="EN14" s="125" t="n"/>
      <c r="EO14" s="124" t="n"/>
      <c r="EP14" s="125" t="n"/>
      <c r="EQ14" s="124" t="n"/>
      <c r="ER14" s="125" t="n"/>
      <c r="ES14" s="124" t="n"/>
      <c r="ET14" s="125" t="n"/>
      <c r="EU14" s="124" t="n"/>
      <c r="EV14" s="125" t="n"/>
      <c r="EW14" s="124" t="n"/>
      <c r="EX14" s="125" t="n"/>
      <c r="EY14" s="124" t="n"/>
      <c r="EZ14" s="125" t="n"/>
      <c r="FA14" s="124" t="n"/>
      <c r="FB14" s="125" t="n"/>
      <c r="FC14" s="126" t="n"/>
      <c r="FD14" s="127" t="n"/>
      <c r="FE14" s="128" t="n"/>
      <c r="FF14" s="127" t="n"/>
      <c r="FG14" s="128" t="n"/>
      <c r="FH14" s="127" t="n"/>
      <c r="FI14" s="128" t="n"/>
      <c r="FJ14" s="127" t="n"/>
      <c r="FK14" s="128" t="n"/>
      <c r="FL14" s="127" t="n"/>
      <c r="FM14" s="128" t="n"/>
      <c r="FN14" s="127" t="n"/>
      <c r="FO14" s="128" t="n"/>
      <c r="FP14" s="127" t="n"/>
      <c r="FQ14" s="128" t="n"/>
      <c r="FR14" s="127" t="n"/>
      <c r="FS14" s="128" t="n"/>
      <c r="FT14" s="129" t="n"/>
      <c r="FU14" s="130" t="n"/>
      <c r="FV14" s="131" t="n"/>
      <c r="FW14" s="130" t="n"/>
      <c r="FX14" s="131" t="n"/>
      <c r="FY14" s="130" t="n"/>
      <c r="FZ14" s="131" t="n"/>
      <c r="GA14" s="130" t="n"/>
      <c r="GB14" s="131" t="n"/>
      <c r="GC14" s="130" t="n"/>
      <c r="GD14" s="131" t="n"/>
      <c r="GE14" s="130" t="n"/>
      <c r="GF14" s="131" t="n"/>
      <c r="GG14" s="130" t="n"/>
      <c r="GH14" s="131" t="n"/>
      <c r="GI14" s="130" t="n"/>
      <c r="GJ14" s="131" t="n"/>
      <c r="GK14" s="132" t="n"/>
      <c r="GL14" s="133" t="n"/>
      <c r="GM14" s="134" t="n"/>
      <c r="GN14" s="133" t="n"/>
      <c r="GO14" s="134" t="n"/>
      <c r="GP14" s="133" t="n"/>
      <c r="GQ14" s="134" t="n"/>
      <c r="GR14" s="133" t="n"/>
      <c r="GS14" s="134" t="n"/>
      <c r="GT14" s="133" t="n"/>
      <c r="GU14" s="134" t="n"/>
      <c r="GV14" s="133" t="n"/>
      <c r="GW14" s="134" t="n"/>
      <c r="GX14" s="133" t="n"/>
      <c r="GY14" s="134" t="n"/>
      <c r="GZ14" s="133" t="n"/>
      <c r="HA14" s="134" t="n"/>
      <c r="HB14" s="135" t="n"/>
      <c r="HC14">
        <f>COUNTIFS($G$3:$HB$3,"ح",$G14:$HB14,TRUE)</f>
        <v>0</v>
      </c>
      <c r="HD14">
        <f>COUNTIFS($G$3:$HB$3,"دفع",$G14:$HB14,TRUE)</f>
        <v>0</v>
      </c>
      <c r="HE14">
        <f>8*$HD14-$HC14</f>
        <v>0</v>
      </c>
    </row>
    <row r="15" ht="22.5" customHeight="1">
      <c r="A15" s="36" t="n">
        <v>12</v>
      </c>
      <c r="B15" s="97" t="n"/>
      <c r="C15" s="28" t="n"/>
      <c r="D15" s="98" t="str">
        <f>IF($B15="","",IF($HC15=0,"-",($HC15-8*INT(($HC15-1)/8))&amp;"/8"))</f>
        <v/>
      </c>
      <c r="E15" s="98" t="str">
        <f>IF($B15="","",IF(AND($HC15=0,$HD15=0),"-",$HE15))</f>
        <v/>
      </c>
      <c r="F15" s="99" t="str">
        <f>IF($B15="","",IF(AND($HC15=0,$HD15=0),"جديد",IF($HE15&gt;1,"تمام",IF($HE15=1,"آخر حصة",IF($HE15=0,"تجديد",IF($HE15=-1,"عليه حصة",IF($HE15=-2,"عليه حصتين","عليه "&amp;(-$HE15)&amp;" حصص")))))))</f>
        <v/>
      </c>
      <c r="G15" s="100" t="n"/>
      <c r="H15" s="101" t="n"/>
      <c r="I15" s="100" t="n"/>
      <c r="J15" s="101" t="n"/>
      <c r="K15" s="100" t="n"/>
      <c r="L15" s="101" t="n"/>
      <c r="M15" s="100" t="n"/>
      <c r="N15" s="101" t="n"/>
      <c r="O15" s="100" t="n"/>
      <c r="P15" s="101" t="n"/>
      <c r="Q15" s="100" t="n"/>
      <c r="R15" s="101" t="n"/>
      <c r="S15" s="100" t="n"/>
      <c r="T15" s="101" t="n"/>
      <c r="U15" s="100" t="n"/>
      <c r="V15" s="101" t="n"/>
      <c r="W15" s="102" t="n"/>
      <c r="X15" s="103" t="n"/>
      <c r="Y15" s="104" t="n"/>
      <c r="Z15" s="103" t="n"/>
      <c r="AA15" s="104" t="n"/>
      <c r="AB15" s="103" t="n"/>
      <c r="AC15" s="104" t="n"/>
      <c r="AD15" s="103" t="n"/>
      <c r="AE15" s="104" t="n"/>
      <c r="AF15" s="103" t="n"/>
      <c r="AG15" s="104" t="n"/>
      <c r="AH15" s="103" t="n"/>
      <c r="AI15" s="104" t="n"/>
      <c r="AJ15" s="103" t="n"/>
      <c r="AK15" s="104" t="n"/>
      <c r="AL15" s="103" t="n"/>
      <c r="AM15" s="104" t="n"/>
      <c r="AN15" s="105" t="n"/>
      <c r="AO15" s="106" t="n"/>
      <c r="AP15" s="107" t="n"/>
      <c r="AQ15" s="106" t="n"/>
      <c r="AR15" s="107" t="n"/>
      <c r="AS15" s="106" t="n"/>
      <c r="AT15" s="107" t="n"/>
      <c r="AU15" s="106" t="n"/>
      <c r="AV15" s="107" t="n"/>
      <c r="AW15" s="106" t="n"/>
      <c r="AX15" s="107" t="n"/>
      <c r="AY15" s="106" t="n"/>
      <c r="AZ15" s="107" t="n"/>
      <c r="BA15" s="106" t="n"/>
      <c r="BB15" s="107" t="n"/>
      <c r="BC15" s="106" t="n"/>
      <c r="BD15" s="107" t="n"/>
      <c r="BE15" s="108" t="n"/>
      <c r="BF15" s="109" t="n"/>
      <c r="BG15" s="110" t="n"/>
      <c r="BH15" s="109" t="n"/>
      <c r="BI15" s="110" t="n"/>
      <c r="BJ15" s="109" t="n"/>
      <c r="BK15" s="110" t="n"/>
      <c r="BL15" s="109" t="n"/>
      <c r="BM15" s="110" t="n"/>
      <c r="BN15" s="109" t="n"/>
      <c r="BO15" s="110" t="n"/>
      <c r="BP15" s="109" t="n"/>
      <c r="BQ15" s="110" t="n"/>
      <c r="BR15" s="109" t="n"/>
      <c r="BS15" s="110" t="n"/>
      <c r="BT15" s="109" t="n"/>
      <c r="BU15" s="110" t="n"/>
      <c r="BV15" s="111" t="n"/>
      <c r="BW15" s="112" t="n"/>
      <c r="BX15" s="113" t="n"/>
      <c r="BY15" s="112" t="n"/>
      <c r="BZ15" s="113" t="n"/>
      <c r="CA15" s="112" t="n"/>
      <c r="CB15" s="113" t="n"/>
      <c r="CC15" s="112" t="n"/>
      <c r="CD15" s="113" t="n"/>
      <c r="CE15" s="112" t="n"/>
      <c r="CF15" s="113" t="n"/>
      <c r="CG15" s="112" t="n"/>
      <c r="CH15" s="113" t="n"/>
      <c r="CI15" s="112" t="n"/>
      <c r="CJ15" s="113" t="n"/>
      <c r="CK15" s="112" t="n"/>
      <c r="CL15" s="113" t="n"/>
      <c r="CM15" s="114" t="n"/>
      <c r="CN15" s="115" t="n"/>
      <c r="CO15" s="116" t="n"/>
      <c r="CP15" s="115" t="n"/>
      <c r="CQ15" s="116" t="n"/>
      <c r="CR15" s="115" t="n"/>
      <c r="CS15" s="116" t="n"/>
      <c r="CT15" s="115" t="n"/>
      <c r="CU15" s="116" t="n"/>
      <c r="CV15" s="115" t="n"/>
      <c r="CW15" s="116" t="n"/>
      <c r="CX15" s="115" t="n"/>
      <c r="CY15" s="116" t="n"/>
      <c r="CZ15" s="115" t="n"/>
      <c r="DA15" s="116" t="n"/>
      <c r="DB15" s="115" t="n"/>
      <c r="DC15" s="116" t="n"/>
      <c r="DD15" s="117" t="n"/>
      <c r="DE15" s="118" t="n"/>
      <c r="DF15" s="119" t="n"/>
      <c r="DG15" s="118" t="n"/>
      <c r="DH15" s="119" t="n"/>
      <c r="DI15" s="118" t="n"/>
      <c r="DJ15" s="119" t="n"/>
      <c r="DK15" s="118" t="n"/>
      <c r="DL15" s="119" t="n"/>
      <c r="DM15" s="118" t="n"/>
      <c r="DN15" s="119" t="n"/>
      <c r="DO15" s="118" t="n"/>
      <c r="DP15" s="119" t="n"/>
      <c r="DQ15" s="118" t="n"/>
      <c r="DR15" s="119" t="n"/>
      <c r="DS15" s="118" t="n"/>
      <c r="DT15" s="119" t="n"/>
      <c r="DU15" s="120" t="n"/>
      <c r="DV15" s="121" t="n"/>
      <c r="DW15" s="122" t="n"/>
      <c r="DX15" s="121" t="n"/>
      <c r="DY15" s="122" t="n"/>
      <c r="DZ15" s="121" t="n"/>
      <c r="EA15" s="122" t="n"/>
      <c r="EB15" s="121" t="n"/>
      <c r="EC15" s="122" t="n"/>
      <c r="ED15" s="121" t="n"/>
      <c r="EE15" s="122" t="n"/>
      <c r="EF15" s="121" t="n"/>
      <c r="EG15" s="122" t="n"/>
      <c r="EH15" s="121" t="n"/>
      <c r="EI15" s="122" t="n"/>
      <c r="EJ15" s="121" t="n"/>
      <c r="EK15" s="122" t="n"/>
      <c r="EL15" s="123" t="n"/>
      <c r="EM15" s="124" t="n"/>
      <c r="EN15" s="125" t="n"/>
      <c r="EO15" s="124" t="n"/>
      <c r="EP15" s="125" t="n"/>
      <c r="EQ15" s="124" t="n"/>
      <c r="ER15" s="125" t="n"/>
      <c r="ES15" s="124" t="n"/>
      <c r="ET15" s="125" t="n"/>
      <c r="EU15" s="124" t="n"/>
      <c r="EV15" s="125" t="n"/>
      <c r="EW15" s="124" t="n"/>
      <c r="EX15" s="125" t="n"/>
      <c r="EY15" s="124" t="n"/>
      <c r="EZ15" s="125" t="n"/>
      <c r="FA15" s="124" t="n"/>
      <c r="FB15" s="125" t="n"/>
      <c r="FC15" s="126" t="n"/>
      <c r="FD15" s="127" t="n"/>
      <c r="FE15" s="128" t="n"/>
      <c r="FF15" s="127" t="n"/>
      <c r="FG15" s="128" t="n"/>
      <c r="FH15" s="127" t="n"/>
      <c r="FI15" s="128" t="n"/>
      <c r="FJ15" s="127" t="n"/>
      <c r="FK15" s="128" t="n"/>
      <c r="FL15" s="127" t="n"/>
      <c r="FM15" s="128" t="n"/>
      <c r="FN15" s="127" t="n"/>
      <c r="FO15" s="128" t="n"/>
      <c r="FP15" s="127" t="n"/>
      <c r="FQ15" s="128" t="n"/>
      <c r="FR15" s="127" t="n"/>
      <c r="FS15" s="128" t="n"/>
      <c r="FT15" s="129" t="n"/>
      <c r="FU15" s="130" t="n"/>
      <c r="FV15" s="131" t="n"/>
      <c r="FW15" s="130" t="n"/>
      <c r="FX15" s="131" t="n"/>
      <c r="FY15" s="130" t="n"/>
      <c r="FZ15" s="131" t="n"/>
      <c r="GA15" s="130" t="n"/>
      <c r="GB15" s="131" t="n"/>
      <c r="GC15" s="130" t="n"/>
      <c r="GD15" s="131" t="n"/>
      <c r="GE15" s="130" t="n"/>
      <c r="GF15" s="131" t="n"/>
      <c r="GG15" s="130" t="n"/>
      <c r="GH15" s="131" t="n"/>
      <c r="GI15" s="130" t="n"/>
      <c r="GJ15" s="131" t="n"/>
      <c r="GK15" s="132" t="n"/>
      <c r="GL15" s="133" t="n"/>
      <c r="GM15" s="134" t="n"/>
      <c r="GN15" s="133" t="n"/>
      <c r="GO15" s="134" t="n"/>
      <c r="GP15" s="133" t="n"/>
      <c r="GQ15" s="134" t="n"/>
      <c r="GR15" s="133" t="n"/>
      <c r="GS15" s="134" t="n"/>
      <c r="GT15" s="133" t="n"/>
      <c r="GU15" s="134" t="n"/>
      <c r="GV15" s="133" t="n"/>
      <c r="GW15" s="134" t="n"/>
      <c r="GX15" s="133" t="n"/>
      <c r="GY15" s="134" t="n"/>
      <c r="GZ15" s="133" t="n"/>
      <c r="HA15" s="134" t="n"/>
      <c r="HB15" s="135" t="n"/>
      <c r="HC15">
        <f>COUNTIFS($G$3:$HB$3,"ح",$G15:$HB15,TRUE)</f>
        <v>0</v>
      </c>
      <c r="HD15">
        <f>COUNTIFS($G$3:$HB$3,"دفع",$G15:$HB15,TRUE)</f>
        <v>0</v>
      </c>
      <c r="HE15">
        <f>8*$HD15-$HC15</f>
        <v>0</v>
      </c>
    </row>
    <row r="16" ht="22.5" customHeight="1">
      <c r="A16" s="36" t="n">
        <v>13</v>
      </c>
      <c r="B16" s="97" t="n"/>
      <c r="C16" s="28" t="n"/>
      <c r="D16" s="98" t="str">
        <f>IF($B16="","",IF($HC16=0,"-",($HC16-8*INT(($HC16-1)/8))&amp;"/8"))</f>
        <v/>
      </c>
      <c r="E16" s="98" t="str">
        <f>IF($B16="","",IF(AND($HC16=0,$HD16=0),"-",$HE16))</f>
        <v/>
      </c>
      <c r="F16" s="99" t="str">
        <f>IF($B16="","",IF(AND($HC16=0,$HD16=0),"جديد",IF($HE16&gt;1,"تمام",IF($HE16=1,"آخر حصة",IF($HE16=0,"تجديد",IF($HE16=-1,"عليه حصة",IF($HE16=-2,"عليه حصتين","عليه "&amp;(-$HE16)&amp;" حصص")))))))</f>
        <v/>
      </c>
      <c r="G16" s="100" t="n"/>
      <c r="H16" s="101" t="n"/>
      <c r="I16" s="100" t="n"/>
      <c r="J16" s="101" t="n"/>
      <c r="K16" s="100" t="n"/>
      <c r="L16" s="101" t="n"/>
      <c r="M16" s="100" t="n"/>
      <c r="N16" s="101" t="n"/>
      <c r="O16" s="100" t="n"/>
      <c r="P16" s="101" t="n"/>
      <c r="Q16" s="100" t="n"/>
      <c r="R16" s="101" t="n"/>
      <c r="S16" s="100" t="n"/>
      <c r="T16" s="101" t="n"/>
      <c r="U16" s="100" t="n"/>
      <c r="V16" s="101" t="n"/>
      <c r="W16" s="102" t="n"/>
      <c r="X16" s="103" t="n"/>
      <c r="Y16" s="104" t="n"/>
      <c r="Z16" s="103" t="n"/>
      <c r="AA16" s="104" t="n"/>
      <c r="AB16" s="103" t="n"/>
      <c r="AC16" s="104" t="n"/>
      <c r="AD16" s="103" t="n"/>
      <c r="AE16" s="104" t="n"/>
      <c r="AF16" s="103" t="n"/>
      <c r="AG16" s="104" t="n"/>
      <c r="AH16" s="103" t="n"/>
      <c r="AI16" s="104" t="n"/>
      <c r="AJ16" s="103" t="n"/>
      <c r="AK16" s="104" t="n"/>
      <c r="AL16" s="103" t="n"/>
      <c r="AM16" s="104" t="n"/>
      <c r="AN16" s="105" t="n"/>
      <c r="AO16" s="106" t="n"/>
      <c r="AP16" s="107" t="n"/>
      <c r="AQ16" s="106" t="n"/>
      <c r="AR16" s="107" t="n"/>
      <c r="AS16" s="106" t="n"/>
      <c r="AT16" s="107" t="n"/>
      <c r="AU16" s="106" t="n"/>
      <c r="AV16" s="107" t="n"/>
      <c r="AW16" s="106" t="n"/>
      <c r="AX16" s="107" t="n"/>
      <c r="AY16" s="106" t="n"/>
      <c r="AZ16" s="107" t="n"/>
      <c r="BA16" s="106" t="n"/>
      <c r="BB16" s="107" t="n"/>
      <c r="BC16" s="106" t="n"/>
      <c r="BD16" s="107" t="n"/>
      <c r="BE16" s="108" t="n"/>
      <c r="BF16" s="109" t="n"/>
      <c r="BG16" s="110" t="n"/>
      <c r="BH16" s="109" t="n"/>
      <c r="BI16" s="110" t="n"/>
      <c r="BJ16" s="109" t="n"/>
      <c r="BK16" s="110" t="n"/>
      <c r="BL16" s="109" t="n"/>
      <c r="BM16" s="110" t="n"/>
      <c r="BN16" s="109" t="n"/>
      <c r="BO16" s="110" t="n"/>
      <c r="BP16" s="109" t="n"/>
      <c r="BQ16" s="110" t="n"/>
      <c r="BR16" s="109" t="n"/>
      <c r="BS16" s="110" t="n"/>
      <c r="BT16" s="109" t="n"/>
      <c r="BU16" s="110" t="n"/>
      <c r="BV16" s="111" t="n"/>
      <c r="BW16" s="112" t="n"/>
      <c r="BX16" s="113" t="n"/>
      <c r="BY16" s="112" t="n"/>
      <c r="BZ16" s="113" t="n"/>
      <c r="CA16" s="112" t="n"/>
      <c r="CB16" s="113" t="n"/>
      <c r="CC16" s="112" t="n"/>
      <c r="CD16" s="113" t="n"/>
      <c r="CE16" s="112" t="n"/>
      <c r="CF16" s="113" t="n"/>
      <c r="CG16" s="112" t="n"/>
      <c r="CH16" s="113" t="n"/>
      <c r="CI16" s="112" t="n"/>
      <c r="CJ16" s="113" t="n"/>
      <c r="CK16" s="112" t="n"/>
      <c r="CL16" s="113" t="n"/>
      <c r="CM16" s="114" t="n"/>
      <c r="CN16" s="115" t="n"/>
      <c r="CO16" s="116" t="n"/>
      <c r="CP16" s="115" t="n"/>
      <c r="CQ16" s="116" t="n"/>
      <c r="CR16" s="115" t="n"/>
      <c r="CS16" s="116" t="n"/>
      <c r="CT16" s="115" t="n"/>
      <c r="CU16" s="116" t="n"/>
      <c r="CV16" s="115" t="n"/>
      <c r="CW16" s="116" t="n"/>
      <c r="CX16" s="115" t="n"/>
      <c r="CY16" s="116" t="n"/>
      <c r="CZ16" s="115" t="n"/>
      <c r="DA16" s="116" t="n"/>
      <c r="DB16" s="115" t="n"/>
      <c r="DC16" s="116" t="n"/>
      <c r="DD16" s="117" t="n"/>
      <c r="DE16" s="118" t="n"/>
      <c r="DF16" s="119" t="n"/>
      <c r="DG16" s="118" t="n"/>
      <c r="DH16" s="119" t="n"/>
      <c r="DI16" s="118" t="n"/>
      <c r="DJ16" s="119" t="n"/>
      <c r="DK16" s="118" t="n"/>
      <c r="DL16" s="119" t="n"/>
      <c r="DM16" s="118" t="n"/>
      <c r="DN16" s="119" t="n"/>
      <c r="DO16" s="118" t="n"/>
      <c r="DP16" s="119" t="n"/>
      <c r="DQ16" s="118" t="n"/>
      <c r="DR16" s="119" t="n"/>
      <c r="DS16" s="118" t="n"/>
      <c r="DT16" s="119" t="n"/>
      <c r="DU16" s="120" t="n"/>
      <c r="DV16" s="121" t="n"/>
      <c r="DW16" s="122" t="n"/>
      <c r="DX16" s="121" t="n"/>
      <c r="DY16" s="122" t="n"/>
      <c r="DZ16" s="121" t="n"/>
      <c r="EA16" s="122" t="n"/>
      <c r="EB16" s="121" t="n"/>
      <c r="EC16" s="122" t="n"/>
      <c r="ED16" s="121" t="n"/>
      <c r="EE16" s="122" t="n"/>
      <c r="EF16" s="121" t="n"/>
      <c r="EG16" s="122" t="n"/>
      <c r="EH16" s="121" t="n"/>
      <c r="EI16" s="122" t="n"/>
      <c r="EJ16" s="121" t="n"/>
      <c r="EK16" s="122" t="n"/>
      <c r="EL16" s="123" t="n"/>
      <c r="EM16" s="124" t="n"/>
      <c r="EN16" s="125" t="n"/>
      <c r="EO16" s="124" t="n"/>
      <c r="EP16" s="125" t="n"/>
      <c r="EQ16" s="124" t="n"/>
      <c r="ER16" s="125" t="n"/>
      <c r="ES16" s="124" t="n"/>
      <c r="ET16" s="125" t="n"/>
      <c r="EU16" s="124" t="n"/>
      <c r="EV16" s="125" t="n"/>
      <c r="EW16" s="124" t="n"/>
      <c r="EX16" s="125" t="n"/>
      <c r="EY16" s="124" t="n"/>
      <c r="EZ16" s="125" t="n"/>
      <c r="FA16" s="124" t="n"/>
      <c r="FB16" s="125" t="n"/>
      <c r="FC16" s="126" t="n"/>
      <c r="FD16" s="127" t="n"/>
      <c r="FE16" s="128" t="n"/>
      <c r="FF16" s="127" t="n"/>
      <c r="FG16" s="128" t="n"/>
      <c r="FH16" s="127" t="n"/>
      <c r="FI16" s="128" t="n"/>
      <c r="FJ16" s="127" t="n"/>
      <c r="FK16" s="128" t="n"/>
      <c r="FL16" s="127" t="n"/>
      <c r="FM16" s="128" t="n"/>
      <c r="FN16" s="127" t="n"/>
      <c r="FO16" s="128" t="n"/>
      <c r="FP16" s="127" t="n"/>
      <c r="FQ16" s="128" t="n"/>
      <c r="FR16" s="127" t="n"/>
      <c r="FS16" s="128" t="n"/>
      <c r="FT16" s="129" t="n"/>
      <c r="FU16" s="130" t="n"/>
      <c r="FV16" s="131" t="n"/>
      <c r="FW16" s="130" t="n"/>
      <c r="FX16" s="131" t="n"/>
      <c r="FY16" s="130" t="n"/>
      <c r="FZ16" s="131" t="n"/>
      <c r="GA16" s="130" t="n"/>
      <c r="GB16" s="131" t="n"/>
      <c r="GC16" s="130" t="n"/>
      <c r="GD16" s="131" t="n"/>
      <c r="GE16" s="130" t="n"/>
      <c r="GF16" s="131" t="n"/>
      <c r="GG16" s="130" t="n"/>
      <c r="GH16" s="131" t="n"/>
      <c r="GI16" s="130" t="n"/>
      <c r="GJ16" s="131" t="n"/>
      <c r="GK16" s="132" t="n"/>
      <c r="GL16" s="133" t="n"/>
      <c r="GM16" s="134" t="n"/>
      <c r="GN16" s="133" t="n"/>
      <c r="GO16" s="134" t="n"/>
      <c r="GP16" s="133" t="n"/>
      <c r="GQ16" s="134" t="n"/>
      <c r="GR16" s="133" t="n"/>
      <c r="GS16" s="134" t="n"/>
      <c r="GT16" s="133" t="n"/>
      <c r="GU16" s="134" t="n"/>
      <c r="GV16" s="133" t="n"/>
      <c r="GW16" s="134" t="n"/>
      <c r="GX16" s="133" t="n"/>
      <c r="GY16" s="134" t="n"/>
      <c r="GZ16" s="133" t="n"/>
      <c r="HA16" s="134" t="n"/>
      <c r="HB16" s="135" t="n"/>
      <c r="HC16">
        <f>COUNTIFS($G$3:$HB$3,"ح",$G16:$HB16,TRUE)</f>
        <v>0</v>
      </c>
      <c r="HD16">
        <f>COUNTIFS($G$3:$HB$3,"دفع",$G16:$HB16,TRUE)</f>
        <v>0</v>
      </c>
      <c r="HE16">
        <f>8*$HD16-$HC16</f>
        <v>0</v>
      </c>
    </row>
    <row r="17" ht="22.5" customHeight="1">
      <c r="A17" s="36" t="n">
        <v>14</v>
      </c>
      <c r="B17" s="97" t="n"/>
      <c r="C17" s="28" t="n"/>
      <c r="D17" s="98" t="str">
        <f>IF($B17="","",IF($HC17=0,"-",($HC17-8*INT(($HC17-1)/8))&amp;"/8"))</f>
        <v/>
      </c>
      <c r="E17" s="98" t="str">
        <f>IF($B17="","",IF(AND($HC17=0,$HD17=0),"-",$HE17))</f>
        <v/>
      </c>
      <c r="F17" s="99" t="str">
        <f>IF($B17="","",IF(AND($HC17=0,$HD17=0),"جديد",IF($HE17&gt;1,"تمام",IF($HE17=1,"آخر حصة",IF($HE17=0,"تجديد",IF($HE17=-1,"عليه حصة",IF($HE17=-2,"عليه حصتين","عليه "&amp;(-$HE17)&amp;" حصص")))))))</f>
        <v/>
      </c>
      <c r="G17" s="100" t="n"/>
      <c r="H17" s="101" t="n"/>
      <c r="I17" s="100" t="n"/>
      <c r="J17" s="101" t="n"/>
      <c r="K17" s="100" t="n"/>
      <c r="L17" s="101" t="n"/>
      <c r="M17" s="100" t="n"/>
      <c r="N17" s="101" t="n"/>
      <c r="O17" s="100" t="n"/>
      <c r="P17" s="101" t="n"/>
      <c r="Q17" s="100" t="n"/>
      <c r="R17" s="101" t="n"/>
      <c r="S17" s="100" t="n"/>
      <c r="T17" s="101" t="n"/>
      <c r="U17" s="100" t="n"/>
      <c r="V17" s="101" t="n"/>
      <c r="W17" s="102" t="n"/>
      <c r="X17" s="103" t="n"/>
      <c r="Y17" s="104" t="n"/>
      <c r="Z17" s="103" t="n"/>
      <c r="AA17" s="104" t="n"/>
      <c r="AB17" s="103" t="n"/>
      <c r="AC17" s="104" t="n"/>
      <c r="AD17" s="103" t="n"/>
      <c r="AE17" s="104" t="n"/>
      <c r="AF17" s="103" t="n"/>
      <c r="AG17" s="104" t="n"/>
      <c r="AH17" s="103" t="n"/>
      <c r="AI17" s="104" t="n"/>
      <c r="AJ17" s="103" t="n"/>
      <c r="AK17" s="104" t="n"/>
      <c r="AL17" s="103" t="n"/>
      <c r="AM17" s="104" t="n"/>
      <c r="AN17" s="105" t="n"/>
      <c r="AO17" s="106" t="n"/>
      <c r="AP17" s="107" t="n"/>
      <c r="AQ17" s="106" t="n"/>
      <c r="AR17" s="107" t="n"/>
      <c r="AS17" s="106" t="n"/>
      <c r="AT17" s="107" t="n"/>
      <c r="AU17" s="106" t="n"/>
      <c r="AV17" s="107" t="n"/>
      <c r="AW17" s="106" t="n"/>
      <c r="AX17" s="107" t="n"/>
      <c r="AY17" s="106" t="n"/>
      <c r="AZ17" s="107" t="n"/>
      <c r="BA17" s="106" t="n"/>
      <c r="BB17" s="107" t="n"/>
      <c r="BC17" s="106" t="n"/>
      <c r="BD17" s="107" t="n"/>
      <c r="BE17" s="108" t="n"/>
      <c r="BF17" s="109" t="n"/>
      <c r="BG17" s="110" t="n"/>
      <c r="BH17" s="109" t="n"/>
      <c r="BI17" s="110" t="n"/>
      <c r="BJ17" s="109" t="n"/>
      <c r="BK17" s="110" t="n"/>
      <c r="BL17" s="109" t="n"/>
      <c r="BM17" s="110" t="n"/>
      <c r="BN17" s="109" t="n"/>
      <c r="BO17" s="110" t="n"/>
      <c r="BP17" s="109" t="n"/>
      <c r="BQ17" s="110" t="n"/>
      <c r="BR17" s="109" t="n"/>
      <c r="BS17" s="110" t="n"/>
      <c r="BT17" s="109" t="n"/>
      <c r="BU17" s="110" t="n"/>
      <c r="BV17" s="111" t="n"/>
      <c r="BW17" s="112" t="n"/>
      <c r="BX17" s="113" t="n"/>
      <c r="BY17" s="112" t="n"/>
      <c r="BZ17" s="113" t="n"/>
      <c r="CA17" s="112" t="n"/>
      <c r="CB17" s="113" t="n"/>
      <c r="CC17" s="112" t="n"/>
      <c r="CD17" s="113" t="n"/>
      <c r="CE17" s="112" t="n"/>
      <c r="CF17" s="113" t="n"/>
      <c r="CG17" s="112" t="n"/>
      <c r="CH17" s="113" t="n"/>
      <c r="CI17" s="112" t="n"/>
      <c r="CJ17" s="113" t="n"/>
      <c r="CK17" s="112" t="n"/>
      <c r="CL17" s="113" t="n"/>
      <c r="CM17" s="114" t="n"/>
      <c r="CN17" s="115" t="n"/>
      <c r="CO17" s="116" t="n"/>
      <c r="CP17" s="115" t="n"/>
      <c r="CQ17" s="116" t="n"/>
      <c r="CR17" s="115" t="n"/>
      <c r="CS17" s="116" t="n"/>
      <c r="CT17" s="115" t="n"/>
      <c r="CU17" s="116" t="n"/>
      <c r="CV17" s="115" t="n"/>
      <c r="CW17" s="116" t="n"/>
      <c r="CX17" s="115" t="n"/>
      <c r="CY17" s="116" t="n"/>
      <c r="CZ17" s="115" t="n"/>
      <c r="DA17" s="116" t="n"/>
      <c r="DB17" s="115" t="n"/>
      <c r="DC17" s="116" t="n"/>
      <c r="DD17" s="117" t="n"/>
      <c r="DE17" s="118" t="n"/>
      <c r="DF17" s="119" t="n"/>
      <c r="DG17" s="118" t="n"/>
      <c r="DH17" s="119" t="n"/>
      <c r="DI17" s="118" t="n"/>
      <c r="DJ17" s="119" t="n"/>
      <c r="DK17" s="118" t="n"/>
      <c r="DL17" s="119" t="n"/>
      <c r="DM17" s="118" t="n"/>
      <c r="DN17" s="119" t="n"/>
      <c r="DO17" s="118" t="n"/>
      <c r="DP17" s="119" t="n"/>
      <c r="DQ17" s="118" t="n"/>
      <c r="DR17" s="119" t="n"/>
      <c r="DS17" s="118" t="n"/>
      <c r="DT17" s="119" t="n"/>
      <c r="DU17" s="120" t="n"/>
      <c r="DV17" s="121" t="n"/>
      <c r="DW17" s="122" t="n"/>
      <c r="DX17" s="121" t="n"/>
      <c r="DY17" s="122" t="n"/>
      <c r="DZ17" s="121" t="n"/>
      <c r="EA17" s="122" t="n"/>
      <c r="EB17" s="121" t="n"/>
      <c r="EC17" s="122" t="n"/>
      <c r="ED17" s="121" t="n"/>
      <c r="EE17" s="122" t="n"/>
      <c r="EF17" s="121" t="n"/>
      <c r="EG17" s="122" t="n"/>
      <c r="EH17" s="121" t="n"/>
      <c r="EI17" s="122" t="n"/>
      <c r="EJ17" s="121" t="n"/>
      <c r="EK17" s="122" t="n"/>
      <c r="EL17" s="123" t="n"/>
      <c r="EM17" s="124" t="n"/>
      <c r="EN17" s="125" t="n"/>
      <c r="EO17" s="124" t="n"/>
      <c r="EP17" s="125" t="n"/>
      <c r="EQ17" s="124" t="n"/>
      <c r="ER17" s="125" t="n"/>
      <c r="ES17" s="124" t="n"/>
      <c r="ET17" s="125" t="n"/>
      <c r="EU17" s="124" t="n"/>
      <c r="EV17" s="125" t="n"/>
      <c r="EW17" s="124" t="n"/>
      <c r="EX17" s="125" t="n"/>
      <c r="EY17" s="124" t="n"/>
      <c r="EZ17" s="125" t="n"/>
      <c r="FA17" s="124" t="n"/>
      <c r="FB17" s="125" t="n"/>
      <c r="FC17" s="126" t="n"/>
      <c r="FD17" s="127" t="n"/>
      <c r="FE17" s="128" t="n"/>
      <c r="FF17" s="127" t="n"/>
      <c r="FG17" s="128" t="n"/>
      <c r="FH17" s="127" t="n"/>
      <c r="FI17" s="128" t="n"/>
      <c r="FJ17" s="127" t="n"/>
      <c r="FK17" s="128" t="n"/>
      <c r="FL17" s="127" t="n"/>
      <c r="FM17" s="128" t="n"/>
      <c r="FN17" s="127" t="n"/>
      <c r="FO17" s="128" t="n"/>
      <c r="FP17" s="127" t="n"/>
      <c r="FQ17" s="128" t="n"/>
      <c r="FR17" s="127" t="n"/>
      <c r="FS17" s="128" t="n"/>
      <c r="FT17" s="129" t="n"/>
      <c r="FU17" s="130" t="n"/>
      <c r="FV17" s="131" t="n"/>
      <c r="FW17" s="130" t="n"/>
      <c r="FX17" s="131" t="n"/>
      <c r="FY17" s="130" t="n"/>
      <c r="FZ17" s="131" t="n"/>
      <c r="GA17" s="130" t="n"/>
      <c r="GB17" s="131" t="n"/>
      <c r="GC17" s="130" t="n"/>
      <c r="GD17" s="131" t="n"/>
      <c r="GE17" s="130" t="n"/>
      <c r="GF17" s="131" t="n"/>
      <c r="GG17" s="130" t="n"/>
      <c r="GH17" s="131" t="n"/>
      <c r="GI17" s="130" t="n"/>
      <c r="GJ17" s="131" t="n"/>
      <c r="GK17" s="132" t="n"/>
      <c r="GL17" s="133" t="n"/>
      <c r="GM17" s="134" t="n"/>
      <c r="GN17" s="133" t="n"/>
      <c r="GO17" s="134" t="n"/>
      <c r="GP17" s="133" t="n"/>
      <c r="GQ17" s="134" t="n"/>
      <c r="GR17" s="133" t="n"/>
      <c r="GS17" s="134" t="n"/>
      <c r="GT17" s="133" t="n"/>
      <c r="GU17" s="134" t="n"/>
      <c r="GV17" s="133" t="n"/>
      <c r="GW17" s="134" t="n"/>
      <c r="GX17" s="133" t="n"/>
      <c r="GY17" s="134" t="n"/>
      <c r="GZ17" s="133" t="n"/>
      <c r="HA17" s="134" t="n"/>
      <c r="HB17" s="135" t="n"/>
      <c r="HC17">
        <f>COUNTIFS($G$3:$HB$3,"ح",$G17:$HB17,TRUE)</f>
        <v>0</v>
      </c>
      <c r="HD17">
        <f>COUNTIFS($G$3:$HB$3,"دفع",$G17:$HB17,TRUE)</f>
        <v>0</v>
      </c>
      <c r="HE17">
        <f>8*$HD17-$HC17</f>
        <v>0</v>
      </c>
    </row>
    <row r="18" ht="22.5" customHeight="1">
      <c r="A18" s="36" t="n">
        <v>15</v>
      </c>
      <c r="B18" s="97" t="n"/>
      <c r="C18" s="28" t="n"/>
      <c r="D18" s="98" t="str">
        <f>IF($B18="","",IF($HC18=0,"-",($HC18-8*INT(($HC18-1)/8))&amp;"/8"))</f>
        <v/>
      </c>
      <c r="E18" s="98" t="str">
        <f>IF($B18="","",IF(AND($HC18=0,$HD18=0),"-",$HE18))</f>
        <v/>
      </c>
      <c r="F18" s="99" t="str">
        <f>IF($B18="","",IF(AND($HC18=0,$HD18=0),"جديد",IF($HE18&gt;1,"تمام",IF($HE18=1,"آخر حصة",IF($HE18=0,"تجديد",IF($HE18=-1,"عليه حصة",IF($HE18=-2,"عليه حصتين","عليه "&amp;(-$HE18)&amp;" حصص")))))))</f>
        <v/>
      </c>
      <c r="G18" s="100" t="n"/>
      <c r="H18" s="101" t="n"/>
      <c r="I18" s="100" t="n"/>
      <c r="J18" s="101" t="n"/>
      <c r="K18" s="100" t="n"/>
      <c r="L18" s="101" t="n"/>
      <c r="M18" s="100" t="n"/>
      <c r="N18" s="101" t="n"/>
      <c r="O18" s="100" t="n"/>
      <c r="P18" s="101" t="n"/>
      <c r="Q18" s="100" t="n"/>
      <c r="R18" s="101" t="n"/>
      <c r="S18" s="100" t="n"/>
      <c r="T18" s="101" t="n"/>
      <c r="U18" s="100" t="n"/>
      <c r="V18" s="101" t="n"/>
      <c r="W18" s="102" t="n"/>
      <c r="X18" s="103" t="n"/>
      <c r="Y18" s="104" t="n"/>
      <c r="Z18" s="103" t="n"/>
      <c r="AA18" s="104" t="n"/>
      <c r="AB18" s="103" t="n"/>
      <c r="AC18" s="104" t="n"/>
      <c r="AD18" s="103" t="n"/>
      <c r="AE18" s="104" t="n"/>
      <c r="AF18" s="103" t="n"/>
      <c r="AG18" s="104" t="n"/>
      <c r="AH18" s="103" t="n"/>
      <c r="AI18" s="104" t="n"/>
      <c r="AJ18" s="103" t="n"/>
      <c r="AK18" s="104" t="n"/>
      <c r="AL18" s="103" t="n"/>
      <c r="AM18" s="104" t="n"/>
      <c r="AN18" s="105" t="n"/>
      <c r="AO18" s="106" t="n"/>
      <c r="AP18" s="107" t="n"/>
      <c r="AQ18" s="106" t="n"/>
      <c r="AR18" s="107" t="n"/>
      <c r="AS18" s="106" t="n"/>
      <c r="AT18" s="107" t="n"/>
      <c r="AU18" s="106" t="n"/>
      <c r="AV18" s="107" t="n"/>
      <c r="AW18" s="106" t="n"/>
      <c r="AX18" s="107" t="n"/>
      <c r="AY18" s="106" t="n"/>
      <c r="AZ18" s="107" t="n"/>
      <c r="BA18" s="106" t="n"/>
      <c r="BB18" s="107" t="n"/>
      <c r="BC18" s="106" t="n"/>
      <c r="BD18" s="107" t="n"/>
      <c r="BE18" s="108" t="n"/>
      <c r="BF18" s="109" t="n"/>
      <c r="BG18" s="110" t="n"/>
      <c r="BH18" s="109" t="n"/>
      <c r="BI18" s="110" t="n"/>
      <c r="BJ18" s="109" t="n"/>
      <c r="BK18" s="110" t="n"/>
      <c r="BL18" s="109" t="n"/>
      <c r="BM18" s="110" t="n"/>
      <c r="BN18" s="109" t="n"/>
      <c r="BO18" s="110" t="n"/>
      <c r="BP18" s="109" t="n"/>
      <c r="BQ18" s="110" t="n"/>
      <c r="BR18" s="109" t="n"/>
      <c r="BS18" s="110" t="n"/>
      <c r="BT18" s="109" t="n"/>
      <c r="BU18" s="110" t="n"/>
      <c r="BV18" s="111" t="n"/>
      <c r="BW18" s="112" t="n"/>
      <c r="BX18" s="113" t="n"/>
      <c r="BY18" s="112" t="n"/>
      <c r="BZ18" s="113" t="n"/>
      <c r="CA18" s="112" t="n"/>
      <c r="CB18" s="113" t="n"/>
      <c r="CC18" s="112" t="n"/>
      <c r="CD18" s="113" t="n"/>
      <c r="CE18" s="112" t="n"/>
      <c r="CF18" s="113" t="n"/>
      <c r="CG18" s="112" t="n"/>
      <c r="CH18" s="113" t="n"/>
      <c r="CI18" s="112" t="n"/>
      <c r="CJ18" s="113" t="n"/>
      <c r="CK18" s="112" t="n"/>
      <c r="CL18" s="113" t="n"/>
      <c r="CM18" s="114" t="n"/>
      <c r="CN18" s="115" t="n"/>
      <c r="CO18" s="116" t="n"/>
      <c r="CP18" s="115" t="n"/>
      <c r="CQ18" s="116" t="n"/>
      <c r="CR18" s="115" t="n"/>
      <c r="CS18" s="116" t="n"/>
      <c r="CT18" s="115" t="n"/>
      <c r="CU18" s="116" t="n"/>
      <c r="CV18" s="115" t="n"/>
      <c r="CW18" s="116" t="n"/>
      <c r="CX18" s="115" t="n"/>
      <c r="CY18" s="116" t="n"/>
      <c r="CZ18" s="115" t="n"/>
      <c r="DA18" s="116" t="n"/>
      <c r="DB18" s="115" t="n"/>
      <c r="DC18" s="116" t="n"/>
      <c r="DD18" s="117" t="n"/>
      <c r="DE18" s="118" t="n"/>
      <c r="DF18" s="119" t="n"/>
      <c r="DG18" s="118" t="n"/>
      <c r="DH18" s="119" t="n"/>
      <c r="DI18" s="118" t="n"/>
      <c r="DJ18" s="119" t="n"/>
      <c r="DK18" s="118" t="n"/>
      <c r="DL18" s="119" t="n"/>
      <c r="DM18" s="118" t="n"/>
      <c r="DN18" s="119" t="n"/>
      <c r="DO18" s="118" t="n"/>
      <c r="DP18" s="119" t="n"/>
      <c r="DQ18" s="118" t="n"/>
      <c r="DR18" s="119" t="n"/>
      <c r="DS18" s="118" t="n"/>
      <c r="DT18" s="119" t="n"/>
      <c r="DU18" s="120" t="n"/>
      <c r="DV18" s="121" t="n"/>
      <c r="DW18" s="122" t="n"/>
      <c r="DX18" s="121" t="n"/>
      <c r="DY18" s="122" t="n"/>
      <c r="DZ18" s="121" t="n"/>
      <c r="EA18" s="122" t="n"/>
      <c r="EB18" s="121" t="n"/>
      <c r="EC18" s="122" t="n"/>
      <c r="ED18" s="121" t="n"/>
      <c r="EE18" s="122" t="n"/>
      <c r="EF18" s="121" t="n"/>
      <c r="EG18" s="122" t="n"/>
      <c r="EH18" s="121" t="n"/>
      <c r="EI18" s="122" t="n"/>
      <c r="EJ18" s="121" t="n"/>
      <c r="EK18" s="122" t="n"/>
      <c r="EL18" s="123" t="n"/>
      <c r="EM18" s="124" t="n"/>
      <c r="EN18" s="125" t="n"/>
      <c r="EO18" s="124" t="n"/>
      <c r="EP18" s="125" t="n"/>
      <c r="EQ18" s="124" t="n"/>
      <c r="ER18" s="125" t="n"/>
      <c r="ES18" s="124" t="n"/>
      <c r="ET18" s="125" t="n"/>
      <c r="EU18" s="124" t="n"/>
      <c r="EV18" s="125" t="n"/>
      <c r="EW18" s="124" t="n"/>
      <c r="EX18" s="125" t="n"/>
      <c r="EY18" s="124" t="n"/>
      <c r="EZ18" s="125" t="n"/>
      <c r="FA18" s="124" t="n"/>
      <c r="FB18" s="125" t="n"/>
      <c r="FC18" s="126" t="n"/>
      <c r="FD18" s="127" t="n"/>
      <c r="FE18" s="128" t="n"/>
      <c r="FF18" s="127" t="n"/>
      <c r="FG18" s="128" t="n"/>
      <c r="FH18" s="127" t="n"/>
      <c r="FI18" s="128" t="n"/>
      <c r="FJ18" s="127" t="n"/>
      <c r="FK18" s="128" t="n"/>
      <c r="FL18" s="127" t="n"/>
      <c r="FM18" s="128" t="n"/>
      <c r="FN18" s="127" t="n"/>
      <c r="FO18" s="128" t="n"/>
      <c r="FP18" s="127" t="n"/>
      <c r="FQ18" s="128" t="n"/>
      <c r="FR18" s="127" t="n"/>
      <c r="FS18" s="128" t="n"/>
      <c r="FT18" s="129" t="n"/>
      <c r="FU18" s="130" t="n"/>
      <c r="FV18" s="131" t="n"/>
      <c r="FW18" s="130" t="n"/>
      <c r="FX18" s="131" t="n"/>
      <c r="FY18" s="130" t="n"/>
      <c r="FZ18" s="131" t="n"/>
      <c r="GA18" s="130" t="n"/>
      <c r="GB18" s="131" t="n"/>
      <c r="GC18" s="130" t="n"/>
      <c r="GD18" s="131" t="n"/>
      <c r="GE18" s="130" t="n"/>
      <c r="GF18" s="131" t="n"/>
      <c r="GG18" s="130" t="n"/>
      <c r="GH18" s="131" t="n"/>
      <c r="GI18" s="130" t="n"/>
      <c r="GJ18" s="131" t="n"/>
      <c r="GK18" s="132" t="n"/>
      <c r="GL18" s="133" t="n"/>
      <c r="GM18" s="134" t="n"/>
      <c r="GN18" s="133" t="n"/>
      <c r="GO18" s="134" t="n"/>
      <c r="GP18" s="133" t="n"/>
      <c r="GQ18" s="134" t="n"/>
      <c r="GR18" s="133" t="n"/>
      <c r="GS18" s="134" t="n"/>
      <c r="GT18" s="133" t="n"/>
      <c r="GU18" s="134" t="n"/>
      <c r="GV18" s="133" t="n"/>
      <c r="GW18" s="134" t="n"/>
      <c r="GX18" s="133" t="n"/>
      <c r="GY18" s="134" t="n"/>
      <c r="GZ18" s="133" t="n"/>
      <c r="HA18" s="134" t="n"/>
      <c r="HB18" s="135" t="n"/>
      <c r="HC18">
        <f>COUNTIFS($G$3:$HB$3,"ح",$G18:$HB18,TRUE)</f>
        <v>0</v>
      </c>
      <c r="HD18">
        <f>COUNTIFS($G$3:$HB$3,"دفع",$G18:$HB18,TRUE)</f>
        <v>0</v>
      </c>
      <c r="HE18">
        <f>8*$HD18-$HC18</f>
        <v>0</v>
      </c>
    </row>
    <row r="19" ht="22.5" customHeight="1">
      <c r="A19" s="36" t="n">
        <v>16</v>
      </c>
      <c r="B19" s="97" t="n"/>
      <c r="C19" s="28" t="n"/>
      <c r="D19" s="98" t="str">
        <f>IF($B19="","",IF($HC19=0,"-",($HC19-8*INT(($HC19-1)/8))&amp;"/8"))</f>
        <v/>
      </c>
      <c r="E19" s="98" t="str">
        <f>IF($B19="","",IF(AND($HC19=0,$HD19=0),"-",$HE19))</f>
        <v/>
      </c>
      <c r="F19" s="99" t="str">
        <f>IF($B19="","",IF(AND($HC19=0,$HD19=0),"جديد",IF($HE19&gt;1,"تمام",IF($HE19=1,"آخر حصة",IF($HE19=0,"تجديد",IF($HE19=-1,"عليه حصة",IF($HE19=-2,"عليه حصتين","عليه "&amp;(-$HE19)&amp;" حصص")))))))</f>
        <v/>
      </c>
      <c r="G19" s="100" t="n"/>
      <c r="H19" s="101" t="n"/>
      <c r="I19" s="100" t="n"/>
      <c r="J19" s="101" t="n"/>
      <c r="K19" s="100" t="n"/>
      <c r="L19" s="101" t="n"/>
      <c r="M19" s="100" t="n"/>
      <c r="N19" s="101" t="n"/>
      <c r="O19" s="100" t="n"/>
      <c r="P19" s="101" t="n"/>
      <c r="Q19" s="100" t="n"/>
      <c r="R19" s="101" t="n"/>
      <c r="S19" s="100" t="n"/>
      <c r="T19" s="101" t="n"/>
      <c r="U19" s="100" t="n"/>
      <c r="V19" s="101" t="n"/>
      <c r="W19" s="102" t="n"/>
      <c r="X19" s="103" t="n"/>
      <c r="Y19" s="104" t="n"/>
      <c r="Z19" s="103" t="n"/>
      <c r="AA19" s="104" t="n"/>
      <c r="AB19" s="103" t="n"/>
      <c r="AC19" s="104" t="n"/>
      <c r="AD19" s="103" t="n"/>
      <c r="AE19" s="104" t="n"/>
      <c r="AF19" s="103" t="n"/>
      <c r="AG19" s="104" t="n"/>
      <c r="AH19" s="103" t="n"/>
      <c r="AI19" s="104" t="n"/>
      <c r="AJ19" s="103" t="n"/>
      <c r="AK19" s="104" t="n"/>
      <c r="AL19" s="103" t="n"/>
      <c r="AM19" s="104" t="n"/>
      <c r="AN19" s="105" t="n"/>
      <c r="AO19" s="106" t="n"/>
      <c r="AP19" s="107" t="n"/>
      <c r="AQ19" s="106" t="n"/>
      <c r="AR19" s="107" t="n"/>
      <c r="AS19" s="106" t="n"/>
      <c r="AT19" s="107" t="n"/>
      <c r="AU19" s="106" t="n"/>
      <c r="AV19" s="107" t="n"/>
      <c r="AW19" s="106" t="n"/>
      <c r="AX19" s="107" t="n"/>
      <c r="AY19" s="106" t="n"/>
      <c r="AZ19" s="107" t="n"/>
      <c r="BA19" s="106" t="n"/>
      <c r="BB19" s="107" t="n"/>
      <c r="BC19" s="106" t="n"/>
      <c r="BD19" s="107" t="n"/>
      <c r="BE19" s="108" t="n"/>
      <c r="BF19" s="109" t="n"/>
      <c r="BG19" s="110" t="n"/>
      <c r="BH19" s="109" t="n"/>
      <c r="BI19" s="110" t="n"/>
      <c r="BJ19" s="109" t="n"/>
      <c r="BK19" s="110" t="n"/>
      <c r="BL19" s="109" t="n"/>
      <c r="BM19" s="110" t="n"/>
      <c r="BN19" s="109" t="n"/>
      <c r="BO19" s="110" t="n"/>
      <c r="BP19" s="109" t="n"/>
      <c r="BQ19" s="110" t="n"/>
      <c r="BR19" s="109" t="n"/>
      <c r="BS19" s="110" t="n"/>
      <c r="BT19" s="109" t="n"/>
      <c r="BU19" s="110" t="n"/>
      <c r="BV19" s="111" t="n"/>
      <c r="BW19" s="112" t="n"/>
      <c r="BX19" s="113" t="n"/>
      <c r="BY19" s="112" t="n"/>
      <c r="BZ19" s="113" t="n"/>
      <c r="CA19" s="112" t="n"/>
      <c r="CB19" s="113" t="n"/>
      <c r="CC19" s="112" t="n"/>
      <c r="CD19" s="113" t="n"/>
      <c r="CE19" s="112" t="n"/>
      <c r="CF19" s="113" t="n"/>
      <c r="CG19" s="112" t="n"/>
      <c r="CH19" s="113" t="n"/>
      <c r="CI19" s="112" t="n"/>
      <c r="CJ19" s="113" t="n"/>
      <c r="CK19" s="112" t="n"/>
      <c r="CL19" s="113" t="n"/>
      <c r="CM19" s="114" t="n"/>
      <c r="CN19" s="115" t="n"/>
      <c r="CO19" s="116" t="n"/>
      <c r="CP19" s="115" t="n"/>
      <c r="CQ19" s="116" t="n"/>
      <c r="CR19" s="115" t="n"/>
      <c r="CS19" s="116" t="n"/>
      <c r="CT19" s="115" t="n"/>
      <c r="CU19" s="116" t="n"/>
      <c r="CV19" s="115" t="n"/>
      <c r="CW19" s="116" t="n"/>
      <c r="CX19" s="115" t="n"/>
      <c r="CY19" s="116" t="n"/>
      <c r="CZ19" s="115" t="n"/>
      <c r="DA19" s="116" t="n"/>
      <c r="DB19" s="115" t="n"/>
      <c r="DC19" s="116" t="n"/>
      <c r="DD19" s="117" t="n"/>
      <c r="DE19" s="118" t="n"/>
      <c r="DF19" s="119" t="n"/>
      <c r="DG19" s="118" t="n"/>
      <c r="DH19" s="119" t="n"/>
      <c r="DI19" s="118" t="n"/>
      <c r="DJ19" s="119" t="n"/>
      <c r="DK19" s="118" t="n"/>
      <c r="DL19" s="119" t="n"/>
      <c r="DM19" s="118" t="n"/>
      <c r="DN19" s="119" t="n"/>
      <c r="DO19" s="118" t="n"/>
      <c r="DP19" s="119" t="n"/>
      <c r="DQ19" s="118" t="n"/>
      <c r="DR19" s="119" t="n"/>
      <c r="DS19" s="118" t="n"/>
      <c r="DT19" s="119" t="n"/>
      <c r="DU19" s="120" t="n"/>
      <c r="DV19" s="121" t="n"/>
      <c r="DW19" s="122" t="n"/>
      <c r="DX19" s="121" t="n"/>
      <c r="DY19" s="122" t="n"/>
      <c r="DZ19" s="121" t="n"/>
      <c r="EA19" s="122" t="n"/>
      <c r="EB19" s="121" t="n"/>
      <c r="EC19" s="122" t="n"/>
      <c r="ED19" s="121" t="n"/>
      <c r="EE19" s="122" t="n"/>
      <c r="EF19" s="121" t="n"/>
      <c r="EG19" s="122" t="n"/>
      <c r="EH19" s="121" t="n"/>
      <c r="EI19" s="122" t="n"/>
      <c r="EJ19" s="121" t="n"/>
      <c r="EK19" s="122" t="n"/>
      <c r="EL19" s="123" t="n"/>
      <c r="EM19" s="124" t="n"/>
      <c r="EN19" s="125" t="n"/>
      <c r="EO19" s="124" t="n"/>
      <c r="EP19" s="125" t="n"/>
      <c r="EQ19" s="124" t="n"/>
      <c r="ER19" s="125" t="n"/>
      <c r="ES19" s="124" t="n"/>
      <c r="ET19" s="125" t="n"/>
      <c r="EU19" s="124" t="n"/>
      <c r="EV19" s="125" t="n"/>
      <c r="EW19" s="124" t="n"/>
      <c r="EX19" s="125" t="n"/>
      <c r="EY19" s="124" t="n"/>
      <c r="EZ19" s="125" t="n"/>
      <c r="FA19" s="124" t="n"/>
      <c r="FB19" s="125" t="n"/>
      <c r="FC19" s="126" t="n"/>
      <c r="FD19" s="127" t="n"/>
      <c r="FE19" s="128" t="n"/>
      <c r="FF19" s="127" t="n"/>
      <c r="FG19" s="128" t="n"/>
      <c r="FH19" s="127" t="n"/>
      <c r="FI19" s="128" t="n"/>
      <c r="FJ19" s="127" t="n"/>
      <c r="FK19" s="128" t="n"/>
      <c r="FL19" s="127" t="n"/>
      <c r="FM19" s="128" t="n"/>
      <c r="FN19" s="127" t="n"/>
      <c r="FO19" s="128" t="n"/>
      <c r="FP19" s="127" t="n"/>
      <c r="FQ19" s="128" t="n"/>
      <c r="FR19" s="127" t="n"/>
      <c r="FS19" s="128" t="n"/>
      <c r="FT19" s="129" t="n"/>
      <c r="FU19" s="130" t="n"/>
      <c r="FV19" s="131" t="n"/>
      <c r="FW19" s="130" t="n"/>
      <c r="FX19" s="131" t="n"/>
      <c r="FY19" s="130" t="n"/>
      <c r="FZ19" s="131" t="n"/>
      <c r="GA19" s="130" t="n"/>
      <c r="GB19" s="131" t="n"/>
      <c r="GC19" s="130" t="n"/>
      <c r="GD19" s="131" t="n"/>
      <c r="GE19" s="130" t="n"/>
      <c r="GF19" s="131" t="n"/>
      <c r="GG19" s="130" t="n"/>
      <c r="GH19" s="131" t="n"/>
      <c r="GI19" s="130" t="n"/>
      <c r="GJ19" s="131" t="n"/>
      <c r="GK19" s="132" t="n"/>
      <c r="GL19" s="133" t="n"/>
      <c r="GM19" s="134" t="n"/>
      <c r="GN19" s="133" t="n"/>
      <c r="GO19" s="134" t="n"/>
      <c r="GP19" s="133" t="n"/>
      <c r="GQ19" s="134" t="n"/>
      <c r="GR19" s="133" t="n"/>
      <c r="GS19" s="134" t="n"/>
      <c r="GT19" s="133" t="n"/>
      <c r="GU19" s="134" t="n"/>
      <c r="GV19" s="133" t="n"/>
      <c r="GW19" s="134" t="n"/>
      <c r="GX19" s="133" t="n"/>
      <c r="GY19" s="134" t="n"/>
      <c r="GZ19" s="133" t="n"/>
      <c r="HA19" s="134" t="n"/>
      <c r="HB19" s="135" t="n"/>
      <c r="HC19">
        <f>COUNTIFS($G$3:$HB$3,"ح",$G19:$HB19,TRUE)</f>
        <v>0</v>
      </c>
      <c r="HD19">
        <f>COUNTIFS($G$3:$HB$3,"دفع",$G19:$HB19,TRUE)</f>
        <v>0</v>
      </c>
      <c r="HE19">
        <f>8*$HD19-$HC19</f>
        <v>0</v>
      </c>
    </row>
    <row r="20" ht="22.5" customHeight="1">
      <c r="A20" s="36" t="n">
        <v>17</v>
      </c>
      <c r="B20" s="97" t="n"/>
      <c r="C20" s="28" t="n"/>
      <c r="D20" s="98" t="str">
        <f>IF($B20="","",IF($HC20=0,"-",($HC20-8*INT(($HC20-1)/8))&amp;"/8"))</f>
        <v/>
      </c>
      <c r="E20" s="98" t="str">
        <f>IF($B20="","",IF(AND($HC20=0,$HD20=0),"-",$HE20))</f>
        <v/>
      </c>
      <c r="F20" s="99" t="str">
        <f>IF($B20="","",IF(AND($HC20=0,$HD20=0),"جديد",IF($HE20&gt;1,"تمام",IF($HE20=1,"آخر حصة",IF($HE20=0,"تجديد",IF($HE20=-1,"عليه حصة",IF($HE20=-2,"عليه حصتين","عليه "&amp;(-$HE20)&amp;" حصص")))))))</f>
        <v/>
      </c>
      <c r="G20" s="100" t="n"/>
      <c r="H20" s="101" t="n"/>
      <c r="I20" s="100" t="n"/>
      <c r="J20" s="101" t="n"/>
      <c r="K20" s="100" t="n"/>
      <c r="L20" s="101" t="n"/>
      <c r="M20" s="100" t="n"/>
      <c r="N20" s="101" t="n"/>
      <c r="O20" s="100" t="n"/>
      <c r="P20" s="101" t="n"/>
      <c r="Q20" s="100" t="n"/>
      <c r="R20" s="101" t="n"/>
      <c r="S20" s="100" t="n"/>
      <c r="T20" s="101" t="n"/>
      <c r="U20" s="100" t="n"/>
      <c r="V20" s="101" t="n"/>
      <c r="W20" s="102" t="n"/>
      <c r="X20" s="103" t="n"/>
      <c r="Y20" s="104" t="n"/>
      <c r="Z20" s="103" t="n"/>
      <c r="AA20" s="104" t="n"/>
      <c r="AB20" s="103" t="n"/>
      <c r="AC20" s="104" t="n"/>
      <c r="AD20" s="103" t="n"/>
      <c r="AE20" s="104" t="n"/>
      <c r="AF20" s="103" t="n"/>
      <c r="AG20" s="104" t="n"/>
      <c r="AH20" s="103" t="n"/>
      <c r="AI20" s="104" t="n"/>
      <c r="AJ20" s="103" t="n"/>
      <c r="AK20" s="104" t="n"/>
      <c r="AL20" s="103" t="n"/>
      <c r="AM20" s="104" t="n"/>
      <c r="AN20" s="105" t="n"/>
      <c r="AO20" s="106" t="n"/>
      <c r="AP20" s="107" t="n"/>
      <c r="AQ20" s="106" t="n"/>
      <c r="AR20" s="107" t="n"/>
      <c r="AS20" s="106" t="n"/>
      <c r="AT20" s="107" t="n"/>
      <c r="AU20" s="106" t="n"/>
      <c r="AV20" s="107" t="n"/>
      <c r="AW20" s="106" t="n"/>
      <c r="AX20" s="107" t="n"/>
      <c r="AY20" s="106" t="n"/>
      <c r="AZ20" s="107" t="n"/>
      <c r="BA20" s="106" t="n"/>
      <c r="BB20" s="107" t="n"/>
      <c r="BC20" s="106" t="n"/>
      <c r="BD20" s="107" t="n"/>
      <c r="BE20" s="108" t="n"/>
      <c r="BF20" s="109" t="n"/>
      <c r="BG20" s="110" t="n"/>
      <c r="BH20" s="109" t="n"/>
      <c r="BI20" s="110" t="n"/>
      <c r="BJ20" s="109" t="n"/>
      <c r="BK20" s="110" t="n"/>
      <c r="BL20" s="109" t="n"/>
      <c r="BM20" s="110" t="n"/>
      <c r="BN20" s="109" t="n"/>
      <c r="BO20" s="110" t="n"/>
      <c r="BP20" s="109" t="n"/>
      <c r="BQ20" s="110" t="n"/>
      <c r="BR20" s="109" t="n"/>
      <c r="BS20" s="110" t="n"/>
      <c r="BT20" s="109" t="n"/>
      <c r="BU20" s="110" t="n"/>
      <c r="BV20" s="111" t="n"/>
      <c r="BW20" s="112" t="n"/>
      <c r="BX20" s="113" t="n"/>
      <c r="BY20" s="112" t="n"/>
      <c r="BZ20" s="113" t="n"/>
      <c r="CA20" s="112" t="n"/>
      <c r="CB20" s="113" t="n"/>
      <c r="CC20" s="112" t="n"/>
      <c r="CD20" s="113" t="n"/>
      <c r="CE20" s="112" t="n"/>
      <c r="CF20" s="113" t="n"/>
      <c r="CG20" s="112" t="n"/>
      <c r="CH20" s="113" t="n"/>
      <c r="CI20" s="112" t="n"/>
      <c r="CJ20" s="113" t="n"/>
      <c r="CK20" s="112" t="n"/>
      <c r="CL20" s="113" t="n"/>
      <c r="CM20" s="114" t="n"/>
      <c r="CN20" s="115" t="n"/>
      <c r="CO20" s="116" t="n"/>
      <c r="CP20" s="115" t="n"/>
      <c r="CQ20" s="116" t="n"/>
      <c r="CR20" s="115" t="n"/>
      <c r="CS20" s="116" t="n"/>
      <c r="CT20" s="115" t="n"/>
      <c r="CU20" s="116" t="n"/>
      <c r="CV20" s="115" t="n"/>
      <c r="CW20" s="116" t="n"/>
      <c r="CX20" s="115" t="n"/>
      <c r="CY20" s="116" t="n"/>
      <c r="CZ20" s="115" t="n"/>
      <c r="DA20" s="116" t="n"/>
      <c r="DB20" s="115" t="n"/>
      <c r="DC20" s="116" t="n"/>
      <c r="DD20" s="117" t="n"/>
      <c r="DE20" s="118" t="n"/>
      <c r="DF20" s="119" t="n"/>
      <c r="DG20" s="118" t="n"/>
      <c r="DH20" s="119" t="n"/>
      <c r="DI20" s="118" t="n"/>
      <c r="DJ20" s="119" t="n"/>
      <c r="DK20" s="118" t="n"/>
      <c r="DL20" s="119" t="n"/>
      <c r="DM20" s="118" t="n"/>
      <c r="DN20" s="119" t="n"/>
      <c r="DO20" s="118" t="n"/>
      <c r="DP20" s="119" t="n"/>
      <c r="DQ20" s="118" t="n"/>
      <c r="DR20" s="119" t="n"/>
      <c r="DS20" s="118" t="n"/>
      <c r="DT20" s="119" t="n"/>
      <c r="DU20" s="120" t="n"/>
      <c r="DV20" s="121" t="n"/>
      <c r="DW20" s="122" t="n"/>
      <c r="DX20" s="121" t="n"/>
      <c r="DY20" s="122" t="n"/>
      <c r="DZ20" s="121" t="n"/>
      <c r="EA20" s="122" t="n"/>
      <c r="EB20" s="121" t="n"/>
      <c r="EC20" s="122" t="n"/>
      <c r="ED20" s="121" t="n"/>
      <c r="EE20" s="122" t="n"/>
      <c r="EF20" s="121" t="n"/>
      <c r="EG20" s="122" t="n"/>
      <c r="EH20" s="121" t="n"/>
      <c r="EI20" s="122" t="n"/>
      <c r="EJ20" s="121" t="n"/>
      <c r="EK20" s="122" t="n"/>
      <c r="EL20" s="123" t="n"/>
      <c r="EM20" s="124" t="n"/>
      <c r="EN20" s="125" t="n"/>
      <c r="EO20" s="124" t="n"/>
      <c r="EP20" s="125" t="n"/>
      <c r="EQ20" s="124" t="n"/>
      <c r="ER20" s="125" t="n"/>
      <c r="ES20" s="124" t="n"/>
      <c r="ET20" s="125" t="n"/>
      <c r="EU20" s="124" t="n"/>
      <c r="EV20" s="125" t="n"/>
      <c r="EW20" s="124" t="n"/>
      <c r="EX20" s="125" t="n"/>
      <c r="EY20" s="124" t="n"/>
      <c r="EZ20" s="125" t="n"/>
      <c r="FA20" s="124" t="n"/>
      <c r="FB20" s="125" t="n"/>
      <c r="FC20" s="126" t="n"/>
      <c r="FD20" s="127" t="n"/>
      <c r="FE20" s="128" t="n"/>
      <c r="FF20" s="127" t="n"/>
      <c r="FG20" s="128" t="n"/>
      <c r="FH20" s="127" t="n"/>
      <c r="FI20" s="128" t="n"/>
      <c r="FJ20" s="127" t="n"/>
      <c r="FK20" s="128" t="n"/>
      <c r="FL20" s="127" t="n"/>
      <c r="FM20" s="128" t="n"/>
      <c r="FN20" s="127" t="n"/>
      <c r="FO20" s="128" t="n"/>
      <c r="FP20" s="127" t="n"/>
      <c r="FQ20" s="128" t="n"/>
      <c r="FR20" s="127" t="n"/>
      <c r="FS20" s="128" t="n"/>
      <c r="FT20" s="129" t="n"/>
      <c r="FU20" s="130" t="n"/>
      <c r="FV20" s="131" t="n"/>
      <c r="FW20" s="130" t="n"/>
      <c r="FX20" s="131" t="n"/>
      <c r="FY20" s="130" t="n"/>
      <c r="FZ20" s="131" t="n"/>
      <c r="GA20" s="130" t="n"/>
      <c r="GB20" s="131" t="n"/>
      <c r="GC20" s="130" t="n"/>
      <c r="GD20" s="131" t="n"/>
      <c r="GE20" s="130" t="n"/>
      <c r="GF20" s="131" t="n"/>
      <c r="GG20" s="130" t="n"/>
      <c r="GH20" s="131" t="n"/>
      <c r="GI20" s="130" t="n"/>
      <c r="GJ20" s="131" t="n"/>
      <c r="GK20" s="132" t="n"/>
      <c r="GL20" s="133" t="n"/>
      <c r="GM20" s="134" t="n"/>
      <c r="GN20" s="133" t="n"/>
      <c r="GO20" s="134" t="n"/>
      <c r="GP20" s="133" t="n"/>
      <c r="GQ20" s="134" t="n"/>
      <c r="GR20" s="133" t="n"/>
      <c r="GS20" s="134" t="n"/>
      <c r="GT20" s="133" t="n"/>
      <c r="GU20" s="134" t="n"/>
      <c r="GV20" s="133" t="n"/>
      <c r="GW20" s="134" t="n"/>
      <c r="GX20" s="133" t="n"/>
      <c r="GY20" s="134" t="n"/>
      <c r="GZ20" s="133" t="n"/>
      <c r="HA20" s="134" t="n"/>
      <c r="HB20" s="135" t="n"/>
      <c r="HC20">
        <f>COUNTIFS($G$3:$HB$3,"ح",$G20:$HB20,TRUE)</f>
        <v>0</v>
      </c>
      <c r="HD20">
        <f>COUNTIFS($G$3:$HB$3,"دفع",$G20:$HB20,TRUE)</f>
        <v>0</v>
      </c>
      <c r="HE20">
        <f>8*$HD20-$HC20</f>
        <v>0</v>
      </c>
    </row>
    <row r="21" ht="22.5" customHeight="1">
      <c r="A21" s="36" t="n">
        <v>18</v>
      </c>
      <c r="B21" s="97" t="n"/>
      <c r="C21" s="28" t="n"/>
      <c r="D21" s="98" t="str">
        <f>IF($B21="","",IF($HC21=0,"-",($HC21-8*INT(($HC21-1)/8))&amp;"/8"))</f>
        <v/>
      </c>
      <c r="E21" s="98" t="str">
        <f>IF($B21="","",IF(AND($HC21=0,$HD21=0),"-",$HE21))</f>
        <v/>
      </c>
      <c r="F21" s="99" t="str">
        <f>IF($B21="","",IF(AND($HC21=0,$HD21=0),"جديد",IF($HE21&gt;1,"تمام",IF($HE21=1,"آخر حصة",IF($HE21=0,"تجديد",IF($HE21=-1,"عليه حصة",IF($HE21=-2,"عليه حصتين","عليه "&amp;(-$HE21)&amp;" حصص")))))))</f>
        <v/>
      </c>
      <c r="G21" s="100" t="n"/>
      <c r="H21" s="101" t="n"/>
      <c r="I21" s="100" t="n"/>
      <c r="J21" s="101" t="n"/>
      <c r="K21" s="100" t="n"/>
      <c r="L21" s="101" t="n"/>
      <c r="M21" s="100" t="n"/>
      <c r="N21" s="101" t="n"/>
      <c r="O21" s="100" t="n"/>
      <c r="P21" s="101" t="n"/>
      <c r="Q21" s="100" t="n"/>
      <c r="R21" s="101" t="n"/>
      <c r="S21" s="100" t="n"/>
      <c r="T21" s="101" t="n"/>
      <c r="U21" s="100" t="n"/>
      <c r="V21" s="101" t="n"/>
      <c r="W21" s="102" t="n"/>
      <c r="X21" s="103" t="n"/>
      <c r="Y21" s="104" t="n"/>
      <c r="Z21" s="103" t="n"/>
      <c r="AA21" s="104" t="n"/>
      <c r="AB21" s="103" t="n"/>
      <c r="AC21" s="104" t="n"/>
      <c r="AD21" s="103" t="n"/>
      <c r="AE21" s="104" t="n"/>
      <c r="AF21" s="103" t="n"/>
      <c r="AG21" s="104" t="n"/>
      <c r="AH21" s="103" t="n"/>
      <c r="AI21" s="104" t="n"/>
      <c r="AJ21" s="103" t="n"/>
      <c r="AK21" s="104" t="n"/>
      <c r="AL21" s="103" t="n"/>
      <c r="AM21" s="104" t="n"/>
      <c r="AN21" s="105" t="n"/>
      <c r="AO21" s="106" t="n"/>
      <c r="AP21" s="107" t="n"/>
      <c r="AQ21" s="106" t="n"/>
      <c r="AR21" s="107" t="n"/>
      <c r="AS21" s="106" t="n"/>
      <c r="AT21" s="107" t="n"/>
      <c r="AU21" s="106" t="n"/>
      <c r="AV21" s="107" t="n"/>
      <c r="AW21" s="106" t="n"/>
      <c r="AX21" s="107" t="n"/>
      <c r="AY21" s="106" t="n"/>
      <c r="AZ21" s="107" t="n"/>
      <c r="BA21" s="106" t="n"/>
      <c r="BB21" s="107" t="n"/>
      <c r="BC21" s="106" t="n"/>
      <c r="BD21" s="107" t="n"/>
      <c r="BE21" s="108" t="n"/>
      <c r="BF21" s="109" t="n"/>
      <c r="BG21" s="110" t="n"/>
      <c r="BH21" s="109" t="n"/>
      <c r="BI21" s="110" t="n"/>
      <c r="BJ21" s="109" t="n"/>
      <c r="BK21" s="110" t="n"/>
      <c r="BL21" s="109" t="n"/>
      <c r="BM21" s="110" t="n"/>
      <c r="BN21" s="109" t="n"/>
      <c r="BO21" s="110" t="n"/>
      <c r="BP21" s="109" t="n"/>
      <c r="BQ21" s="110" t="n"/>
      <c r="BR21" s="109" t="n"/>
      <c r="BS21" s="110" t="n"/>
      <c r="BT21" s="109" t="n"/>
      <c r="BU21" s="110" t="n"/>
      <c r="BV21" s="111" t="n"/>
      <c r="BW21" s="112" t="n"/>
      <c r="BX21" s="113" t="n"/>
      <c r="BY21" s="112" t="n"/>
      <c r="BZ21" s="113" t="n"/>
      <c r="CA21" s="112" t="n"/>
      <c r="CB21" s="113" t="n"/>
      <c r="CC21" s="112" t="n"/>
      <c r="CD21" s="113" t="n"/>
      <c r="CE21" s="112" t="n"/>
      <c r="CF21" s="113" t="n"/>
      <c r="CG21" s="112" t="n"/>
      <c r="CH21" s="113" t="n"/>
      <c r="CI21" s="112" t="n"/>
      <c r="CJ21" s="113" t="n"/>
      <c r="CK21" s="112" t="n"/>
      <c r="CL21" s="113" t="n"/>
      <c r="CM21" s="114" t="n"/>
      <c r="CN21" s="115" t="n"/>
      <c r="CO21" s="116" t="n"/>
      <c r="CP21" s="115" t="n"/>
      <c r="CQ21" s="116" t="n"/>
      <c r="CR21" s="115" t="n"/>
      <c r="CS21" s="116" t="n"/>
      <c r="CT21" s="115" t="n"/>
      <c r="CU21" s="116" t="n"/>
      <c r="CV21" s="115" t="n"/>
      <c r="CW21" s="116" t="n"/>
      <c r="CX21" s="115" t="n"/>
      <c r="CY21" s="116" t="n"/>
      <c r="CZ21" s="115" t="n"/>
      <c r="DA21" s="116" t="n"/>
      <c r="DB21" s="115" t="n"/>
      <c r="DC21" s="116" t="n"/>
      <c r="DD21" s="117" t="n"/>
      <c r="DE21" s="118" t="n"/>
      <c r="DF21" s="119" t="n"/>
      <c r="DG21" s="118" t="n"/>
      <c r="DH21" s="119" t="n"/>
      <c r="DI21" s="118" t="n"/>
      <c r="DJ21" s="119" t="n"/>
      <c r="DK21" s="118" t="n"/>
      <c r="DL21" s="119" t="n"/>
      <c r="DM21" s="118" t="n"/>
      <c r="DN21" s="119" t="n"/>
      <c r="DO21" s="118" t="n"/>
      <c r="DP21" s="119" t="n"/>
      <c r="DQ21" s="118" t="n"/>
      <c r="DR21" s="119" t="n"/>
      <c r="DS21" s="118" t="n"/>
      <c r="DT21" s="119" t="n"/>
      <c r="DU21" s="120" t="n"/>
      <c r="DV21" s="121" t="n"/>
      <c r="DW21" s="122" t="n"/>
      <c r="DX21" s="121" t="n"/>
      <c r="DY21" s="122" t="n"/>
      <c r="DZ21" s="121" t="n"/>
      <c r="EA21" s="122" t="n"/>
      <c r="EB21" s="121" t="n"/>
      <c r="EC21" s="122" t="n"/>
      <c r="ED21" s="121" t="n"/>
      <c r="EE21" s="122" t="n"/>
      <c r="EF21" s="121" t="n"/>
      <c r="EG21" s="122" t="n"/>
      <c r="EH21" s="121" t="n"/>
      <c r="EI21" s="122" t="n"/>
      <c r="EJ21" s="121" t="n"/>
      <c r="EK21" s="122" t="n"/>
      <c r="EL21" s="123" t="n"/>
      <c r="EM21" s="124" t="n"/>
      <c r="EN21" s="125" t="n"/>
      <c r="EO21" s="124" t="n"/>
      <c r="EP21" s="125" t="n"/>
      <c r="EQ21" s="124" t="n"/>
      <c r="ER21" s="125" t="n"/>
      <c r="ES21" s="124" t="n"/>
      <c r="ET21" s="125" t="n"/>
      <c r="EU21" s="124" t="n"/>
      <c r="EV21" s="125" t="n"/>
      <c r="EW21" s="124" t="n"/>
      <c r="EX21" s="125" t="n"/>
      <c r="EY21" s="124" t="n"/>
      <c r="EZ21" s="125" t="n"/>
      <c r="FA21" s="124" t="n"/>
      <c r="FB21" s="125" t="n"/>
      <c r="FC21" s="126" t="n"/>
      <c r="FD21" s="127" t="n"/>
      <c r="FE21" s="128" t="n"/>
      <c r="FF21" s="127" t="n"/>
      <c r="FG21" s="128" t="n"/>
      <c r="FH21" s="127" t="n"/>
      <c r="FI21" s="128" t="n"/>
      <c r="FJ21" s="127" t="n"/>
      <c r="FK21" s="128" t="n"/>
      <c r="FL21" s="127" t="n"/>
      <c r="FM21" s="128" t="n"/>
      <c r="FN21" s="127" t="n"/>
      <c r="FO21" s="128" t="n"/>
      <c r="FP21" s="127" t="n"/>
      <c r="FQ21" s="128" t="n"/>
      <c r="FR21" s="127" t="n"/>
      <c r="FS21" s="128" t="n"/>
      <c r="FT21" s="129" t="n"/>
      <c r="FU21" s="130" t="n"/>
      <c r="FV21" s="131" t="n"/>
      <c r="FW21" s="130" t="n"/>
      <c r="FX21" s="131" t="n"/>
      <c r="FY21" s="130" t="n"/>
      <c r="FZ21" s="131" t="n"/>
      <c r="GA21" s="130" t="n"/>
      <c r="GB21" s="131" t="n"/>
      <c r="GC21" s="130" t="n"/>
      <c r="GD21" s="131" t="n"/>
      <c r="GE21" s="130" t="n"/>
      <c r="GF21" s="131" t="n"/>
      <c r="GG21" s="130" t="n"/>
      <c r="GH21" s="131" t="n"/>
      <c r="GI21" s="130" t="n"/>
      <c r="GJ21" s="131" t="n"/>
      <c r="GK21" s="132" t="n"/>
      <c r="GL21" s="133" t="n"/>
      <c r="GM21" s="134" t="n"/>
      <c r="GN21" s="133" t="n"/>
      <c r="GO21" s="134" t="n"/>
      <c r="GP21" s="133" t="n"/>
      <c r="GQ21" s="134" t="n"/>
      <c r="GR21" s="133" t="n"/>
      <c r="GS21" s="134" t="n"/>
      <c r="GT21" s="133" t="n"/>
      <c r="GU21" s="134" t="n"/>
      <c r="GV21" s="133" t="n"/>
      <c r="GW21" s="134" t="n"/>
      <c r="GX21" s="133" t="n"/>
      <c r="GY21" s="134" t="n"/>
      <c r="GZ21" s="133" t="n"/>
      <c r="HA21" s="134" t="n"/>
      <c r="HB21" s="135" t="n"/>
      <c r="HC21">
        <f>COUNTIFS($G$3:$HB$3,"ح",$G21:$HB21,TRUE)</f>
        <v>0</v>
      </c>
      <c r="HD21">
        <f>COUNTIFS($G$3:$HB$3,"دفع",$G21:$HB21,TRUE)</f>
        <v>0</v>
      </c>
      <c r="HE21">
        <f>8*$HD21-$HC21</f>
        <v>0</v>
      </c>
    </row>
    <row r="22" ht="22.5" customHeight="1">
      <c r="A22" s="36" t="n">
        <v>19</v>
      </c>
      <c r="B22" s="97" t="n"/>
      <c r="C22" s="28" t="n"/>
      <c r="D22" s="98" t="str">
        <f>IF($B22="","",IF($HC22=0,"-",($HC22-8*INT(($HC22-1)/8))&amp;"/8"))</f>
        <v/>
      </c>
      <c r="E22" s="98" t="str">
        <f>IF($B22="","",IF(AND($HC22=0,$HD22=0),"-",$HE22))</f>
        <v/>
      </c>
      <c r="F22" s="99" t="str">
        <f>IF($B22="","",IF(AND($HC22=0,$HD22=0),"جديد",IF($HE22&gt;1,"تمام",IF($HE22=1,"آخر حصة",IF($HE22=0,"تجديد",IF($HE22=-1,"عليه حصة",IF($HE22=-2,"عليه حصتين","عليه "&amp;(-$HE22)&amp;" حصص")))))))</f>
        <v/>
      </c>
      <c r="G22" s="100" t="n"/>
      <c r="H22" s="101" t="n"/>
      <c r="I22" s="100" t="n"/>
      <c r="J22" s="101" t="n"/>
      <c r="K22" s="100" t="n"/>
      <c r="L22" s="101" t="n"/>
      <c r="M22" s="100" t="n"/>
      <c r="N22" s="101" t="n"/>
      <c r="O22" s="100" t="n"/>
      <c r="P22" s="101" t="n"/>
      <c r="Q22" s="100" t="n"/>
      <c r="R22" s="101" t="n"/>
      <c r="S22" s="100" t="n"/>
      <c r="T22" s="101" t="n"/>
      <c r="U22" s="100" t="n"/>
      <c r="V22" s="101" t="n"/>
      <c r="W22" s="102" t="n"/>
      <c r="X22" s="103" t="n"/>
      <c r="Y22" s="104" t="n"/>
      <c r="Z22" s="103" t="n"/>
      <c r="AA22" s="104" t="n"/>
      <c r="AB22" s="103" t="n"/>
      <c r="AC22" s="104" t="n"/>
      <c r="AD22" s="103" t="n"/>
      <c r="AE22" s="104" t="n"/>
      <c r="AF22" s="103" t="n"/>
      <c r="AG22" s="104" t="n"/>
      <c r="AH22" s="103" t="n"/>
      <c r="AI22" s="104" t="n"/>
      <c r="AJ22" s="103" t="n"/>
      <c r="AK22" s="104" t="n"/>
      <c r="AL22" s="103" t="n"/>
      <c r="AM22" s="104" t="n"/>
      <c r="AN22" s="105" t="n"/>
      <c r="AO22" s="106" t="n"/>
      <c r="AP22" s="107" t="n"/>
      <c r="AQ22" s="106" t="n"/>
      <c r="AR22" s="107" t="n"/>
      <c r="AS22" s="106" t="n"/>
      <c r="AT22" s="107" t="n"/>
      <c r="AU22" s="106" t="n"/>
      <c r="AV22" s="107" t="n"/>
      <c r="AW22" s="106" t="n"/>
      <c r="AX22" s="107" t="n"/>
      <c r="AY22" s="106" t="n"/>
      <c r="AZ22" s="107" t="n"/>
      <c r="BA22" s="106" t="n"/>
      <c r="BB22" s="107" t="n"/>
      <c r="BC22" s="106" t="n"/>
      <c r="BD22" s="107" t="n"/>
      <c r="BE22" s="108" t="n"/>
      <c r="BF22" s="109" t="n"/>
      <c r="BG22" s="110" t="n"/>
      <c r="BH22" s="109" t="n"/>
      <c r="BI22" s="110" t="n"/>
      <c r="BJ22" s="109" t="n"/>
      <c r="BK22" s="110" t="n"/>
      <c r="BL22" s="109" t="n"/>
      <c r="BM22" s="110" t="n"/>
      <c r="BN22" s="109" t="n"/>
      <c r="BO22" s="110" t="n"/>
      <c r="BP22" s="109" t="n"/>
      <c r="BQ22" s="110" t="n"/>
      <c r="BR22" s="109" t="n"/>
      <c r="BS22" s="110" t="n"/>
      <c r="BT22" s="109" t="n"/>
      <c r="BU22" s="110" t="n"/>
      <c r="BV22" s="111" t="n"/>
      <c r="BW22" s="112" t="n"/>
      <c r="BX22" s="113" t="n"/>
      <c r="BY22" s="112" t="n"/>
      <c r="BZ22" s="113" t="n"/>
      <c r="CA22" s="112" t="n"/>
      <c r="CB22" s="113" t="n"/>
      <c r="CC22" s="112" t="n"/>
      <c r="CD22" s="113" t="n"/>
      <c r="CE22" s="112" t="n"/>
      <c r="CF22" s="113" t="n"/>
      <c r="CG22" s="112" t="n"/>
      <c r="CH22" s="113" t="n"/>
      <c r="CI22" s="112" t="n"/>
      <c r="CJ22" s="113" t="n"/>
      <c r="CK22" s="112" t="n"/>
      <c r="CL22" s="113" t="n"/>
      <c r="CM22" s="114" t="n"/>
      <c r="CN22" s="115" t="n"/>
      <c r="CO22" s="116" t="n"/>
      <c r="CP22" s="115" t="n"/>
      <c r="CQ22" s="116" t="n"/>
      <c r="CR22" s="115" t="n"/>
      <c r="CS22" s="116" t="n"/>
      <c r="CT22" s="115" t="n"/>
      <c r="CU22" s="116" t="n"/>
      <c r="CV22" s="115" t="n"/>
      <c r="CW22" s="116" t="n"/>
      <c r="CX22" s="115" t="n"/>
      <c r="CY22" s="116" t="n"/>
      <c r="CZ22" s="115" t="n"/>
      <c r="DA22" s="116" t="n"/>
      <c r="DB22" s="115" t="n"/>
      <c r="DC22" s="116" t="n"/>
      <c r="DD22" s="117" t="n"/>
      <c r="DE22" s="118" t="n"/>
      <c r="DF22" s="119" t="n"/>
      <c r="DG22" s="118" t="n"/>
      <c r="DH22" s="119" t="n"/>
      <c r="DI22" s="118" t="n"/>
      <c r="DJ22" s="119" t="n"/>
      <c r="DK22" s="118" t="n"/>
      <c r="DL22" s="119" t="n"/>
      <c r="DM22" s="118" t="n"/>
      <c r="DN22" s="119" t="n"/>
      <c r="DO22" s="118" t="n"/>
      <c r="DP22" s="119" t="n"/>
      <c r="DQ22" s="118" t="n"/>
      <c r="DR22" s="119" t="n"/>
      <c r="DS22" s="118" t="n"/>
      <c r="DT22" s="119" t="n"/>
      <c r="DU22" s="120" t="n"/>
      <c r="DV22" s="121" t="n"/>
      <c r="DW22" s="122" t="n"/>
      <c r="DX22" s="121" t="n"/>
      <c r="DY22" s="122" t="n"/>
      <c r="DZ22" s="121" t="n"/>
      <c r="EA22" s="122" t="n"/>
      <c r="EB22" s="121" t="n"/>
      <c r="EC22" s="122" t="n"/>
      <c r="ED22" s="121" t="n"/>
      <c r="EE22" s="122" t="n"/>
      <c r="EF22" s="121" t="n"/>
      <c r="EG22" s="122" t="n"/>
      <c r="EH22" s="121" t="n"/>
      <c r="EI22" s="122" t="n"/>
      <c r="EJ22" s="121" t="n"/>
      <c r="EK22" s="122" t="n"/>
      <c r="EL22" s="123" t="n"/>
      <c r="EM22" s="124" t="n"/>
      <c r="EN22" s="125" t="n"/>
      <c r="EO22" s="124" t="n"/>
      <c r="EP22" s="125" t="n"/>
      <c r="EQ22" s="124" t="n"/>
      <c r="ER22" s="125" t="n"/>
      <c r="ES22" s="124" t="n"/>
      <c r="ET22" s="125" t="n"/>
      <c r="EU22" s="124" t="n"/>
      <c r="EV22" s="125" t="n"/>
      <c r="EW22" s="124" t="n"/>
      <c r="EX22" s="125" t="n"/>
      <c r="EY22" s="124" t="n"/>
      <c r="EZ22" s="125" t="n"/>
      <c r="FA22" s="124" t="n"/>
      <c r="FB22" s="125" t="n"/>
      <c r="FC22" s="126" t="n"/>
      <c r="FD22" s="127" t="n"/>
      <c r="FE22" s="128" t="n"/>
      <c r="FF22" s="127" t="n"/>
      <c r="FG22" s="128" t="n"/>
      <c r="FH22" s="127" t="n"/>
      <c r="FI22" s="128" t="n"/>
      <c r="FJ22" s="127" t="n"/>
      <c r="FK22" s="128" t="n"/>
      <c r="FL22" s="127" t="n"/>
      <c r="FM22" s="128" t="n"/>
      <c r="FN22" s="127" t="n"/>
      <c r="FO22" s="128" t="n"/>
      <c r="FP22" s="127" t="n"/>
      <c r="FQ22" s="128" t="n"/>
      <c r="FR22" s="127" t="n"/>
      <c r="FS22" s="128" t="n"/>
      <c r="FT22" s="129" t="n"/>
      <c r="FU22" s="130" t="n"/>
      <c r="FV22" s="131" t="n"/>
      <c r="FW22" s="130" t="n"/>
      <c r="FX22" s="131" t="n"/>
      <c r="FY22" s="130" t="n"/>
      <c r="FZ22" s="131" t="n"/>
      <c r="GA22" s="130" t="n"/>
      <c r="GB22" s="131" t="n"/>
      <c r="GC22" s="130" t="n"/>
      <c r="GD22" s="131" t="n"/>
      <c r="GE22" s="130" t="n"/>
      <c r="GF22" s="131" t="n"/>
      <c r="GG22" s="130" t="n"/>
      <c r="GH22" s="131" t="n"/>
      <c r="GI22" s="130" t="n"/>
      <c r="GJ22" s="131" t="n"/>
      <c r="GK22" s="132" t="n"/>
      <c r="GL22" s="133" t="n"/>
      <c r="GM22" s="134" t="n"/>
      <c r="GN22" s="133" t="n"/>
      <c r="GO22" s="134" t="n"/>
      <c r="GP22" s="133" t="n"/>
      <c r="GQ22" s="134" t="n"/>
      <c r="GR22" s="133" t="n"/>
      <c r="GS22" s="134" t="n"/>
      <c r="GT22" s="133" t="n"/>
      <c r="GU22" s="134" t="n"/>
      <c r="GV22" s="133" t="n"/>
      <c r="GW22" s="134" t="n"/>
      <c r="GX22" s="133" t="n"/>
      <c r="GY22" s="134" t="n"/>
      <c r="GZ22" s="133" t="n"/>
      <c r="HA22" s="134" t="n"/>
      <c r="HB22" s="135" t="n"/>
      <c r="HC22">
        <f>COUNTIFS($G$3:$HB$3,"ح",$G22:$HB22,TRUE)</f>
        <v>0</v>
      </c>
      <c r="HD22">
        <f>COUNTIFS($G$3:$HB$3,"دفع",$G22:$HB22,TRUE)</f>
        <v>0</v>
      </c>
      <c r="HE22">
        <f>8*$HD22-$HC22</f>
        <v>0</v>
      </c>
    </row>
    <row r="23" ht="22.5" customHeight="1">
      <c r="A23" s="36" t="n">
        <v>20</v>
      </c>
      <c r="B23" s="97" t="n"/>
      <c r="C23" s="28" t="n"/>
      <c r="D23" s="98" t="str">
        <f>IF($B23="","",IF($HC23=0,"-",($HC23-8*INT(($HC23-1)/8))&amp;"/8"))</f>
        <v/>
      </c>
      <c r="E23" s="98" t="str">
        <f>IF($B23="","",IF(AND($HC23=0,$HD23=0),"-",$HE23))</f>
        <v/>
      </c>
      <c r="F23" s="99" t="str">
        <f>IF($B23="","",IF(AND($HC23=0,$HD23=0),"جديد",IF($HE23&gt;1,"تمام",IF($HE23=1,"آخر حصة",IF($HE23=0,"تجديد",IF($HE23=-1,"عليه حصة",IF($HE23=-2,"عليه حصتين","عليه "&amp;(-$HE23)&amp;" حصص")))))))</f>
        <v/>
      </c>
      <c r="G23" s="100" t="n"/>
      <c r="H23" s="101" t="n"/>
      <c r="I23" s="100" t="n"/>
      <c r="J23" s="101" t="n"/>
      <c r="K23" s="100" t="n"/>
      <c r="L23" s="101" t="n"/>
      <c r="M23" s="100" t="n"/>
      <c r="N23" s="101" t="n"/>
      <c r="O23" s="100" t="n"/>
      <c r="P23" s="101" t="n"/>
      <c r="Q23" s="100" t="n"/>
      <c r="R23" s="101" t="n"/>
      <c r="S23" s="100" t="n"/>
      <c r="T23" s="101" t="n"/>
      <c r="U23" s="100" t="n"/>
      <c r="V23" s="101" t="n"/>
      <c r="W23" s="102" t="n"/>
      <c r="X23" s="103" t="n"/>
      <c r="Y23" s="104" t="n"/>
      <c r="Z23" s="103" t="n"/>
      <c r="AA23" s="104" t="n"/>
      <c r="AB23" s="103" t="n"/>
      <c r="AC23" s="104" t="n"/>
      <c r="AD23" s="103" t="n"/>
      <c r="AE23" s="104" t="n"/>
      <c r="AF23" s="103" t="n"/>
      <c r="AG23" s="104" t="n"/>
      <c r="AH23" s="103" t="n"/>
      <c r="AI23" s="104" t="n"/>
      <c r="AJ23" s="103" t="n"/>
      <c r="AK23" s="104" t="n"/>
      <c r="AL23" s="103" t="n"/>
      <c r="AM23" s="104" t="n"/>
      <c r="AN23" s="105" t="n"/>
      <c r="AO23" s="106" t="n"/>
      <c r="AP23" s="107" t="n"/>
      <c r="AQ23" s="106" t="n"/>
      <c r="AR23" s="107" t="n"/>
      <c r="AS23" s="106" t="n"/>
      <c r="AT23" s="107" t="n"/>
      <c r="AU23" s="106" t="n"/>
      <c r="AV23" s="107" t="n"/>
      <c r="AW23" s="106" t="n"/>
      <c r="AX23" s="107" t="n"/>
      <c r="AY23" s="106" t="n"/>
      <c r="AZ23" s="107" t="n"/>
      <c r="BA23" s="106" t="n"/>
      <c r="BB23" s="107" t="n"/>
      <c r="BC23" s="106" t="n"/>
      <c r="BD23" s="107" t="n"/>
      <c r="BE23" s="108" t="n"/>
      <c r="BF23" s="109" t="n"/>
      <c r="BG23" s="110" t="n"/>
      <c r="BH23" s="109" t="n"/>
      <c r="BI23" s="110" t="n"/>
      <c r="BJ23" s="109" t="n"/>
      <c r="BK23" s="110" t="n"/>
      <c r="BL23" s="109" t="n"/>
      <c r="BM23" s="110" t="n"/>
      <c r="BN23" s="109" t="n"/>
      <c r="BO23" s="110" t="n"/>
      <c r="BP23" s="109" t="n"/>
      <c r="BQ23" s="110" t="n"/>
      <c r="BR23" s="109" t="n"/>
      <c r="BS23" s="110" t="n"/>
      <c r="BT23" s="109" t="n"/>
      <c r="BU23" s="110" t="n"/>
      <c r="BV23" s="111" t="n"/>
      <c r="BW23" s="112" t="n"/>
      <c r="BX23" s="113" t="n"/>
      <c r="BY23" s="112" t="n"/>
      <c r="BZ23" s="113" t="n"/>
      <c r="CA23" s="112" t="n"/>
      <c r="CB23" s="113" t="n"/>
      <c r="CC23" s="112" t="n"/>
      <c r="CD23" s="113" t="n"/>
      <c r="CE23" s="112" t="n"/>
      <c r="CF23" s="113" t="n"/>
      <c r="CG23" s="112" t="n"/>
      <c r="CH23" s="113" t="n"/>
      <c r="CI23" s="112" t="n"/>
      <c r="CJ23" s="113" t="n"/>
      <c r="CK23" s="112" t="n"/>
      <c r="CL23" s="113" t="n"/>
      <c r="CM23" s="114" t="n"/>
      <c r="CN23" s="115" t="n"/>
      <c r="CO23" s="116" t="n"/>
      <c r="CP23" s="115" t="n"/>
      <c r="CQ23" s="116" t="n"/>
      <c r="CR23" s="115" t="n"/>
      <c r="CS23" s="116" t="n"/>
      <c r="CT23" s="115" t="n"/>
      <c r="CU23" s="116" t="n"/>
      <c r="CV23" s="115" t="n"/>
      <c r="CW23" s="116" t="n"/>
      <c r="CX23" s="115" t="n"/>
      <c r="CY23" s="116" t="n"/>
      <c r="CZ23" s="115" t="n"/>
      <c r="DA23" s="116" t="n"/>
      <c r="DB23" s="115" t="n"/>
      <c r="DC23" s="116" t="n"/>
      <c r="DD23" s="117" t="n"/>
      <c r="DE23" s="118" t="n"/>
      <c r="DF23" s="119" t="n"/>
      <c r="DG23" s="118" t="n"/>
      <c r="DH23" s="119" t="n"/>
      <c r="DI23" s="118" t="n"/>
      <c r="DJ23" s="119" t="n"/>
      <c r="DK23" s="118" t="n"/>
      <c r="DL23" s="119" t="n"/>
      <c r="DM23" s="118" t="n"/>
      <c r="DN23" s="119" t="n"/>
      <c r="DO23" s="118" t="n"/>
      <c r="DP23" s="119" t="n"/>
      <c r="DQ23" s="118" t="n"/>
      <c r="DR23" s="119" t="n"/>
      <c r="DS23" s="118" t="n"/>
      <c r="DT23" s="119" t="n"/>
      <c r="DU23" s="120" t="n"/>
      <c r="DV23" s="121" t="n"/>
      <c r="DW23" s="122" t="n"/>
      <c r="DX23" s="121" t="n"/>
      <c r="DY23" s="122" t="n"/>
      <c r="DZ23" s="121" t="n"/>
      <c r="EA23" s="122" t="n"/>
      <c r="EB23" s="121" t="n"/>
      <c r="EC23" s="122" t="n"/>
      <c r="ED23" s="121" t="n"/>
      <c r="EE23" s="122" t="n"/>
      <c r="EF23" s="121" t="n"/>
      <c r="EG23" s="122" t="n"/>
      <c r="EH23" s="121" t="n"/>
      <c r="EI23" s="122" t="n"/>
      <c r="EJ23" s="121" t="n"/>
      <c r="EK23" s="122" t="n"/>
      <c r="EL23" s="123" t="n"/>
      <c r="EM23" s="124" t="n"/>
      <c r="EN23" s="125" t="n"/>
      <c r="EO23" s="124" t="n"/>
      <c r="EP23" s="125" t="n"/>
      <c r="EQ23" s="124" t="n"/>
      <c r="ER23" s="125" t="n"/>
      <c r="ES23" s="124" t="n"/>
      <c r="ET23" s="125" t="n"/>
      <c r="EU23" s="124" t="n"/>
      <c r="EV23" s="125" t="n"/>
      <c r="EW23" s="124" t="n"/>
      <c r="EX23" s="125" t="n"/>
      <c r="EY23" s="124" t="n"/>
      <c r="EZ23" s="125" t="n"/>
      <c r="FA23" s="124" t="n"/>
      <c r="FB23" s="125" t="n"/>
      <c r="FC23" s="126" t="n"/>
      <c r="FD23" s="127" t="n"/>
      <c r="FE23" s="128" t="n"/>
      <c r="FF23" s="127" t="n"/>
      <c r="FG23" s="128" t="n"/>
      <c r="FH23" s="127" t="n"/>
      <c r="FI23" s="128" t="n"/>
      <c r="FJ23" s="127" t="n"/>
      <c r="FK23" s="128" t="n"/>
      <c r="FL23" s="127" t="n"/>
      <c r="FM23" s="128" t="n"/>
      <c r="FN23" s="127" t="n"/>
      <c r="FO23" s="128" t="n"/>
      <c r="FP23" s="127" t="n"/>
      <c r="FQ23" s="128" t="n"/>
      <c r="FR23" s="127" t="n"/>
      <c r="FS23" s="128" t="n"/>
      <c r="FT23" s="129" t="n"/>
      <c r="FU23" s="130" t="n"/>
      <c r="FV23" s="131" t="n"/>
      <c r="FW23" s="130" t="n"/>
      <c r="FX23" s="131" t="n"/>
      <c r="FY23" s="130" t="n"/>
      <c r="FZ23" s="131" t="n"/>
      <c r="GA23" s="130" t="n"/>
      <c r="GB23" s="131" t="n"/>
      <c r="GC23" s="130" t="n"/>
      <c r="GD23" s="131" t="n"/>
      <c r="GE23" s="130" t="n"/>
      <c r="GF23" s="131" t="n"/>
      <c r="GG23" s="130" t="n"/>
      <c r="GH23" s="131" t="n"/>
      <c r="GI23" s="130" t="n"/>
      <c r="GJ23" s="131" t="n"/>
      <c r="GK23" s="132" t="n"/>
      <c r="GL23" s="133" t="n"/>
      <c r="GM23" s="134" t="n"/>
      <c r="GN23" s="133" t="n"/>
      <c r="GO23" s="134" t="n"/>
      <c r="GP23" s="133" t="n"/>
      <c r="GQ23" s="134" t="n"/>
      <c r="GR23" s="133" t="n"/>
      <c r="GS23" s="134" t="n"/>
      <c r="GT23" s="133" t="n"/>
      <c r="GU23" s="134" t="n"/>
      <c r="GV23" s="133" t="n"/>
      <c r="GW23" s="134" t="n"/>
      <c r="GX23" s="133" t="n"/>
      <c r="GY23" s="134" t="n"/>
      <c r="GZ23" s="133" t="n"/>
      <c r="HA23" s="134" t="n"/>
      <c r="HB23" s="135" t="n"/>
      <c r="HC23">
        <f>COUNTIFS($G$3:$HB$3,"ح",$G23:$HB23,TRUE)</f>
        <v>0</v>
      </c>
      <c r="HD23">
        <f>COUNTIFS($G$3:$HB$3,"دفع",$G23:$HB23,TRUE)</f>
        <v>0</v>
      </c>
      <c r="HE23">
        <f>8*$HD23-$HC23</f>
        <v>0</v>
      </c>
    </row>
    <row r="24" ht="22.5" customHeight="1">
      <c r="A24" s="36" t="n">
        <v>21</v>
      </c>
      <c r="B24" s="97" t="n"/>
      <c r="C24" s="28" t="n"/>
      <c r="D24" s="98" t="str">
        <f>IF($B24="","",IF($HC24=0,"-",($HC24-8*INT(($HC24-1)/8))&amp;"/8"))</f>
        <v/>
      </c>
      <c r="E24" s="98" t="str">
        <f>IF($B24="","",IF(AND($HC24=0,$HD24=0),"-",$HE24))</f>
        <v/>
      </c>
      <c r="F24" s="99" t="str">
        <f>IF($B24="","",IF(AND($HC24=0,$HD24=0),"جديد",IF($HE24&gt;1,"تمام",IF($HE24=1,"آخر حصة",IF($HE24=0,"تجديد",IF($HE24=-1,"عليه حصة",IF($HE24=-2,"عليه حصتين","عليه "&amp;(-$HE24)&amp;" حصص")))))))</f>
        <v/>
      </c>
      <c r="G24" s="100" t="n"/>
      <c r="H24" s="101" t="n"/>
      <c r="I24" s="100" t="n"/>
      <c r="J24" s="101" t="n"/>
      <c r="K24" s="100" t="n"/>
      <c r="L24" s="101" t="n"/>
      <c r="M24" s="100" t="n"/>
      <c r="N24" s="101" t="n"/>
      <c r="O24" s="100" t="n"/>
      <c r="P24" s="101" t="n"/>
      <c r="Q24" s="100" t="n"/>
      <c r="R24" s="101" t="n"/>
      <c r="S24" s="100" t="n"/>
      <c r="T24" s="101" t="n"/>
      <c r="U24" s="100" t="n"/>
      <c r="V24" s="101" t="n"/>
      <c r="W24" s="102" t="n"/>
      <c r="X24" s="103" t="n"/>
      <c r="Y24" s="104" t="n"/>
      <c r="Z24" s="103" t="n"/>
      <c r="AA24" s="104" t="n"/>
      <c r="AB24" s="103" t="n"/>
      <c r="AC24" s="104" t="n"/>
      <c r="AD24" s="103" t="n"/>
      <c r="AE24" s="104" t="n"/>
      <c r="AF24" s="103" t="n"/>
      <c r="AG24" s="104" t="n"/>
      <c r="AH24" s="103" t="n"/>
      <c r="AI24" s="104" t="n"/>
      <c r="AJ24" s="103" t="n"/>
      <c r="AK24" s="104" t="n"/>
      <c r="AL24" s="103" t="n"/>
      <c r="AM24" s="104" t="n"/>
      <c r="AN24" s="105" t="n"/>
      <c r="AO24" s="106" t="n"/>
      <c r="AP24" s="107" t="n"/>
      <c r="AQ24" s="106" t="n"/>
      <c r="AR24" s="107" t="n"/>
      <c r="AS24" s="106" t="n"/>
      <c r="AT24" s="107" t="n"/>
      <c r="AU24" s="106" t="n"/>
      <c r="AV24" s="107" t="n"/>
      <c r="AW24" s="106" t="n"/>
      <c r="AX24" s="107" t="n"/>
      <c r="AY24" s="106" t="n"/>
      <c r="AZ24" s="107" t="n"/>
      <c r="BA24" s="106" t="n"/>
      <c r="BB24" s="107" t="n"/>
      <c r="BC24" s="106" t="n"/>
      <c r="BD24" s="107" t="n"/>
      <c r="BE24" s="108" t="n"/>
      <c r="BF24" s="109" t="n"/>
      <c r="BG24" s="110" t="n"/>
      <c r="BH24" s="109" t="n"/>
      <c r="BI24" s="110" t="n"/>
      <c r="BJ24" s="109" t="n"/>
      <c r="BK24" s="110" t="n"/>
      <c r="BL24" s="109" t="n"/>
      <c r="BM24" s="110" t="n"/>
      <c r="BN24" s="109" t="n"/>
      <c r="BO24" s="110" t="n"/>
      <c r="BP24" s="109" t="n"/>
      <c r="BQ24" s="110" t="n"/>
      <c r="BR24" s="109" t="n"/>
      <c r="BS24" s="110" t="n"/>
      <c r="BT24" s="109" t="n"/>
      <c r="BU24" s="110" t="n"/>
      <c r="BV24" s="111" t="n"/>
      <c r="BW24" s="112" t="n"/>
      <c r="BX24" s="113" t="n"/>
      <c r="BY24" s="112" t="n"/>
      <c r="BZ24" s="113" t="n"/>
      <c r="CA24" s="112" t="n"/>
      <c r="CB24" s="113" t="n"/>
      <c r="CC24" s="112" t="n"/>
      <c r="CD24" s="113" t="n"/>
      <c r="CE24" s="112" t="n"/>
      <c r="CF24" s="113" t="n"/>
      <c r="CG24" s="112" t="n"/>
      <c r="CH24" s="113" t="n"/>
      <c r="CI24" s="112" t="n"/>
      <c r="CJ24" s="113" t="n"/>
      <c r="CK24" s="112" t="n"/>
      <c r="CL24" s="113" t="n"/>
      <c r="CM24" s="114" t="n"/>
      <c r="CN24" s="115" t="n"/>
      <c r="CO24" s="116" t="n"/>
      <c r="CP24" s="115" t="n"/>
      <c r="CQ24" s="116" t="n"/>
      <c r="CR24" s="115" t="n"/>
      <c r="CS24" s="116" t="n"/>
      <c r="CT24" s="115" t="n"/>
      <c r="CU24" s="116" t="n"/>
      <c r="CV24" s="115" t="n"/>
      <c r="CW24" s="116" t="n"/>
      <c r="CX24" s="115" t="n"/>
      <c r="CY24" s="116" t="n"/>
      <c r="CZ24" s="115" t="n"/>
      <c r="DA24" s="116" t="n"/>
      <c r="DB24" s="115" t="n"/>
      <c r="DC24" s="116" t="n"/>
      <c r="DD24" s="117" t="n"/>
      <c r="DE24" s="118" t="n"/>
      <c r="DF24" s="119" t="n"/>
      <c r="DG24" s="118" t="n"/>
      <c r="DH24" s="119" t="n"/>
      <c r="DI24" s="118" t="n"/>
      <c r="DJ24" s="119" t="n"/>
      <c r="DK24" s="118" t="n"/>
      <c r="DL24" s="119" t="n"/>
      <c r="DM24" s="118" t="n"/>
      <c r="DN24" s="119" t="n"/>
      <c r="DO24" s="118" t="n"/>
      <c r="DP24" s="119" t="n"/>
      <c r="DQ24" s="118" t="n"/>
      <c r="DR24" s="119" t="n"/>
      <c r="DS24" s="118" t="n"/>
      <c r="DT24" s="119" t="n"/>
      <c r="DU24" s="120" t="n"/>
      <c r="DV24" s="121" t="n"/>
      <c r="DW24" s="122" t="n"/>
      <c r="DX24" s="121" t="n"/>
      <c r="DY24" s="122" t="n"/>
      <c r="DZ24" s="121" t="n"/>
      <c r="EA24" s="122" t="n"/>
      <c r="EB24" s="121" t="n"/>
      <c r="EC24" s="122" t="n"/>
      <c r="ED24" s="121" t="n"/>
      <c r="EE24" s="122" t="n"/>
      <c r="EF24" s="121" t="n"/>
      <c r="EG24" s="122" t="n"/>
      <c r="EH24" s="121" t="n"/>
      <c r="EI24" s="122" t="n"/>
      <c r="EJ24" s="121" t="n"/>
      <c r="EK24" s="122" t="n"/>
      <c r="EL24" s="123" t="n"/>
      <c r="EM24" s="124" t="n"/>
      <c r="EN24" s="125" t="n"/>
      <c r="EO24" s="124" t="n"/>
      <c r="EP24" s="125" t="n"/>
      <c r="EQ24" s="124" t="n"/>
      <c r="ER24" s="125" t="n"/>
      <c r="ES24" s="124" t="n"/>
      <c r="ET24" s="125" t="n"/>
      <c r="EU24" s="124" t="n"/>
      <c r="EV24" s="125" t="n"/>
      <c r="EW24" s="124" t="n"/>
      <c r="EX24" s="125" t="n"/>
      <c r="EY24" s="124" t="n"/>
      <c r="EZ24" s="125" t="n"/>
      <c r="FA24" s="124" t="n"/>
      <c r="FB24" s="125" t="n"/>
      <c r="FC24" s="126" t="n"/>
      <c r="FD24" s="127" t="n"/>
      <c r="FE24" s="128" t="n"/>
      <c r="FF24" s="127" t="n"/>
      <c r="FG24" s="128" t="n"/>
      <c r="FH24" s="127" t="n"/>
      <c r="FI24" s="128" t="n"/>
      <c r="FJ24" s="127" t="n"/>
      <c r="FK24" s="128" t="n"/>
      <c r="FL24" s="127" t="n"/>
      <c r="FM24" s="128" t="n"/>
      <c r="FN24" s="127" t="n"/>
      <c r="FO24" s="128" t="n"/>
      <c r="FP24" s="127" t="n"/>
      <c r="FQ24" s="128" t="n"/>
      <c r="FR24" s="127" t="n"/>
      <c r="FS24" s="128" t="n"/>
      <c r="FT24" s="129" t="n"/>
      <c r="FU24" s="130" t="n"/>
      <c r="FV24" s="131" t="n"/>
      <c r="FW24" s="130" t="n"/>
      <c r="FX24" s="131" t="n"/>
      <c r="FY24" s="130" t="n"/>
      <c r="FZ24" s="131" t="n"/>
      <c r="GA24" s="130" t="n"/>
      <c r="GB24" s="131" t="n"/>
      <c r="GC24" s="130" t="n"/>
      <c r="GD24" s="131" t="n"/>
      <c r="GE24" s="130" t="n"/>
      <c r="GF24" s="131" t="n"/>
      <c r="GG24" s="130" t="n"/>
      <c r="GH24" s="131" t="n"/>
      <c r="GI24" s="130" t="n"/>
      <c r="GJ24" s="131" t="n"/>
      <c r="GK24" s="132" t="n"/>
      <c r="GL24" s="133" t="n"/>
      <c r="GM24" s="134" t="n"/>
      <c r="GN24" s="133" t="n"/>
      <c r="GO24" s="134" t="n"/>
      <c r="GP24" s="133" t="n"/>
      <c r="GQ24" s="134" t="n"/>
      <c r="GR24" s="133" t="n"/>
      <c r="GS24" s="134" t="n"/>
      <c r="GT24" s="133" t="n"/>
      <c r="GU24" s="134" t="n"/>
      <c r="GV24" s="133" t="n"/>
      <c r="GW24" s="134" t="n"/>
      <c r="GX24" s="133" t="n"/>
      <c r="GY24" s="134" t="n"/>
      <c r="GZ24" s="133" t="n"/>
      <c r="HA24" s="134" t="n"/>
      <c r="HB24" s="135" t="n"/>
      <c r="HC24">
        <f>COUNTIFS($G$3:$HB$3,"ح",$G24:$HB24,TRUE)</f>
        <v>0</v>
      </c>
      <c r="HD24">
        <f>COUNTIFS($G$3:$HB$3,"دفع",$G24:$HB24,TRUE)</f>
        <v>0</v>
      </c>
      <c r="HE24">
        <f>8*$HD24-$HC24</f>
        <v>0</v>
      </c>
    </row>
    <row r="25" ht="22.5" customHeight="1">
      <c r="A25" s="36" t="n">
        <v>22</v>
      </c>
      <c r="B25" s="97" t="n"/>
      <c r="C25" s="28" t="n"/>
      <c r="D25" s="98" t="str">
        <f>IF($B25="","",IF($HC25=0,"-",($HC25-8*INT(($HC25-1)/8))&amp;"/8"))</f>
        <v/>
      </c>
      <c r="E25" s="98" t="str">
        <f>IF($B25="","",IF(AND($HC25=0,$HD25=0),"-",$HE25))</f>
        <v/>
      </c>
      <c r="F25" s="99" t="str">
        <f>IF($B25="","",IF(AND($HC25=0,$HD25=0),"جديد",IF($HE25&gt;1,"تمام",IF($HE25=1,"آخر حصة",IF($HE25=0,"تجديد",IF($HE25=-1,"عليه حصة",IF($HE25=-2,"عليه حصتين","عليه "&amp;(-$HE25)&amp;" حصص")))))))</f>
        <v/>
      </c>
      <c r="G25" s="100" t="n"/>
      <c r="H25" s="101" t="n"/>
      <c r="I25" s="100" t="n"/>
      <c r="J25" s="101" t="n"/>
      <c r="K25" s="100" t="n"/>
      <c r="L25" s="101" t="n"/>
      <c r="M25" s="100" t="n"/>
      <c r="N25" s="101" t="n"/>
      <c r="O25" s="100" t="n"/>
      <c r="P25" s="101" t="n"/>
      <c r="Q25" s="100" t="n"/>
      <c r="R25" s="101" t="n"/>
      <c r="S25" s="100" t="n"/>
      <c r="T25" s="101" t="n"/>
      <c r="U25" s="100" t="n"/>
      <c r="V25" s="101" t="n"/>
      <c r="W25" s="102" t="n"/>
      <c r="X25" s="103" t="n"/>
      <c r="Y25" s="104" t="n"/>
      <c r="Z25" s="103" t="n"/>
      <c r="AA25" s="104" t="n"/>
      <c r="AB25" s="103" t="n"/>
      <c r="AC25" s="104" t="n"/>
      <c r="AD25" s="103" t="n"/>
      <c r="AE25" s="104" t="n"/>
      <c r="AF25" s="103" t="n"/>
      <c r="AG25" s="104" t="n"/>
      <c r="AH25" s="103" t="n"/>
      <c r="AI25" s="104" t="n"/>
      <c r="AJ25" s="103" t="n"/>
      <c r="AK25" s="104" t="n"/>
      <c r="AL25" s="103" t="n"/>
      <c r="AM25" s="104" t="n"/>
      <c r="AN25" s="105" t="n"/>
      <c r="AO25" s="106" t="n"/>
      <c r="AP25" s="107" t="n"/>
      <c r="AQ25" s="106" t="n"/>
      <c r="AR25" s="107" t="n"/>
      <c r="AS25" s="106" t="n"/>
      <c r="AT25" s="107" t="n"/>
      <c r="AU25" s="106" t="n"/>
      <c r="AV25" s="107" t="n"/>
      <c r="AW25" s="106" t="n"/>
      <c r="AX25" s="107" t="n"/>
      <c r="AY25" s="106" t="n"/>
      <c r="AZ25" s="107" t="n"/>
      <c r="BA25" s="106" t="n"/>
      <c r="BB25" s="107" t="n"/>
      <c r="BC25" s="106" t="n"/>
      <c r="BD25" s="107" t="n"/>
      <c r="BE25" s="108" t="n"/>
      <c r="BF25" s="109" t="n"/>
      <c r="BG25" s="110" t="n"/>
      <c r="BH25" s="109" t="n"/>
      <c r="BI25" s="110" t="n"/>
      <c r="BJ25" s="109" t="n"/>
      <c r="BK25" s="110" t="n"/>
      <c r="BL25" s="109" t="n"/>
      <c r="BM25" s="110" t="n"/>
      <c r="BN25" s="109" t="n"/>
      <c r="BO25" s="110" t="n"/>
      <c r="BP25" s="109" t="n"/>
      <c r="BQ25" s="110" t="n"/>
      <c r="BR25" s="109" t="n"/>
      <c r="BS25" s="110" t="n"/>
      <c r="BT25" s="109" t="n"/>
      <c r="BU25" s="110" t="n"/>
      <c r="BV25" s="111" t="n"/>
      <c r="BW25" s="112" t="n"/>
      <c r="BX25" s="113" t="n"/>
      <c r="BY25" s="112" t="n"/>
      <c r="BZ25" s="113" t="n"/>
      <c r="CA25" s="112" t="n"/>
      <c r="CB25" s="113" t="n"/>
      <c r="CC25" s="112" t="n"/>
      <c r="CD25" s="113" t="n"/>
      <c r="CE25" s="112" t="n"/>
      <c r="CF25" s="113" t="n"/>
      <c r="CG25" s="112" t="n"/>
      <c r="CH25" s="113" t="n"/>
      <c r="CI25" s="112" t="n"/>
      <c r="CJ25" s="113" t="n"/>
      <c r="CK25" s="112" t="n"/>
      <c r="CL25" s="113" t="n"/>
      <c r="CM25" s="114" t="n"/>
      <c r="CN25" s="115" t="n"/>
      <c r="CO25" s="116" t="n"/>
      <c r="CP25" s="115" t="n"/>
      <c r="CQ25" s="116" t="n"/>
      <c r="CR25" s="115" t="n"/>
      <c r="CS25" s="116" t="n"/>
      <c r="CT25" s="115" t="n"/>
      <c r="CU25" s="116" t="n"/>
      <c r="CV25" s="115" t="n"/>
      <c r="CW25" s="116" t="n"/>
      <c r="CX25" s="115" t="n"/>
      <c r="CY25" s="116" t="n"/>
      <c r="CZ25" s="115" t="n"/>
      <c r="DA25" s="116" t="n"/>
      <c r="DB25" s="115" t="n"/>
      <c r="DC25" s="116" t="n"/>
      <c r="DD25" s="117" t="n"/>
      <c r="DE25" s="118" t="n"/>
      <c r="DF25" s="119" t="n"/>
      <c r="DG25" s="118" t="n"/>
      <c r="DH25" s="119" t="n"/>
      <c r="DI25" s="118" t="n"/>
      <c r="DJ25" s="119" t="n"/>
      <c r="DK25" s="118" t="n"/>
      <c r="DL25" s="119" t="n"/>
      <c r="DM25" s="118" t="n"/>
      <c r="DN25" s="119" t="n"/>
      <c r="DO25" s="118" t="n"/>
      <c r="DP25" s="119" t="n"/>
      <c r="DQ25" s="118" t="n"/>
      <c r="DR25" s="119" t="n"/>
      <c r="DS25" s="118" t="n"/>
      <c r="DT25" s="119" t="n"/>
      <c r="DU25" s="120" t="n"/>
      <c r="DV25" s="121" t="n"/>
      <c r="DW25" s="122" t="n"/>
      <c r="DX25" s="121" t="n"/>
      <c r="DY25" s="122" t="n"/>
      <c r="DZ25" s="121" t="n"/>
      <c r="EA25" s="122" t="n"/>
      <c r="EB25" s="121" t="n"/>
      <c r="EC25" s="122" t="n"/>
      <c r="ED25" s="121" t="n"/>
      <c r="EE25" s="122" t="n"/>
      <c r="EF25" s="121" t="n"/>
      <c r="EG25" s="122" t="n"/>
      <c r="EH25" s="121" t="n"/>
      <c r="EI25" s="122" t="n"/>
      <c r="EJ25" s="121" t="n"/>
      <c r="EK25" s="122" t="n"/>
      <c r="EL25" s="123" t="n"/>
      <c r="EM25" s="124" t="n"/>
      <c r="EN25" s="125" t="n"/>
      <c r="EO25" s="124" t="n"/>
      <c r="EP25" s="125" t="n"/>
      <c r="EQ25" s="124" t="n"/>
      <c r="ER25" s="125" t="n"/>
      <c r="ES25" s="124" t="n"/>
      <c r="ET25" s="125" t="n"/>
      <c r="EU25" s="124" t="n"/>
      <c r="EV25" s="125" t="n"/>
      <c r="EW25" s="124" t="n"/>
      <c r="EX25" s="125" t="n"/>
      <c r="EY25" s="124" t="n"/>
      <c r="EZ25" s="125" t="n"/>
      <c r="FA25" s="124" t="n"/>
      <c r="FB25" s="125" t="n"/>
      <c r="FC25" s="126" t="n"/>
      <c r="FD25" s="127" t="n"/>
      <c r="FE25" s="128" t="n"/>
      <c r="FF25" s="127" t="n"/>
      <c r="FG25" s="128" t="n"/>
      <c r="FH25" s="127" t="n"/>
      <c r="FI25" s="128" t="n"/>
      <c r="FJ25" s="127" t="n"/>
      <c r="FK25" s="128" t="n"/>
      <c r="FL25" s="127" t="n"/>
      <c r="FM25" s="128" t="n"/>
      <c r="FN25" s="127" t="n"/>
      <c r="FO25" s="128" t="n"/>
      <c r="FP25" s="127" t="n"/>
      <c r="FQ25" s="128" t="n"/>
      <c r="FR25" s="127" t="n"/>
      <c r="FS25" s="128" t="n"/>
      <c r="FT25" s="129" t="n"/>
      <c r="FU25" s="130" t="n"/>
      <c r="FV25" s="131" t="n"/>
      <c r="FW25" s="130" t="n"/>
      <c r="FX25" s="131" t="n"/>
      <c r="FY25" s="130" t="n"/>
      <c r="FZ25" s="131" t="n"/>
      <c r="GA25" s="130" t="n"/>
      <c r="GB25" s="131" t="n"/>
      <c r="GC25" s="130" t="n"/>
      <c r="GD25" s="131" t="n"/>
      <c r="GE25" s="130" t="n"/>
      <c r="GF25" s="131" t="n"/>
      <c r="GG25" s="130" t="n"/>
      <c r="GH25" s="131" t="n"/>
      <c r="GI25" s="130" t="n"/>
      <c r="GJ25" s="131" t="n"/>
      <c r="GK25" s="132" t="n"/>
      <c r="GL25" s="133" t="n"/>
      <c r="GM25" s="134" t="n"/>
      <c r="GN25" s="133" t="n"/>
      <c r="GO25" s="134" t="n"/>
      <c r="GP25" s="133" t="n"/>
      <c r="GQ25" s="134" t="n"/>
      <c r="GR25" s="133" t="n"/>
      <c r="GS25" s="134" t="n"/>
      <c r="GT25" s="133" t="n"/>
      <c r="GU25" s="134" t="n"/>
      <c r="GV25" s="133" t="n"/>
      <c r="GW25" s="134" t="n"/>
      <c r="GX25" s="133" t="n"/>
      <c r="GY25" s="134" t="n"/>
      <c r="GZ25" s="133" t="n"/>
      <c r="HA25" s="134" t="n"/>
      <c r="HB25" s="135" t="n"/>
      <c r="HC25">
        <f>COUNTIFS($G$3:$HB$3,"ح",$G25:$HB25,TRUE)</f>
        <v>0</v>
      </c>
      <c r="HD25">
        <f>COUNTIFS($G$3:$HB$3,"دفع",$G25:$HB25,TRUE)</f>
        <v>0</v>
      </c>
      <c r="HE25">
        <f>8*$HD25-$HC25</f>
        <v>0</v>
      </c>
    </row>
    <row r="26" ht="22.5" customHeight="1">
      <c r="A26" s="36" t="n">
        <v>23</v>
      </c>
      <c r="B26" s="97" t="n"/>
      <c r="C26" s="28" t="n"/>
      <c r="D26" s="98" t="str">
        <f>IF($B26="","",IF($HC26=0,"-",($HC26-8*INT(($HC26-1)/8))&amp;"/8"))</f>
        <v/>
      </c>
      <c r="E26" s="98" t="str">
        <f>IF($B26="","",IF(AND($HC26=0,$HD26=0),"-",$HE26))</f>
        <v/>
      </c>
      <c r="F26" s="99" t="str">
        <f>IF($B26="","",IF(AND($HC26=0,$HD26=0),"جديد",IF($HE26&gt;1,"تمام",IF($HE26=1,"آخر حصة",IF($HE26=0,"تجديد",IF($HE26=-1,"عليه حصة",IF($HE26=-2,"عليه حصتين","عليه "&amp;(-$HE26)&amp;" حصص")))))))</f>
        <v/>
      </c>
      <c r="G26" s="100" t="n"/>
      <c r="H26" s="101" t="n"/>
      <c r="I26" s="100" t="n"/>
      <c r="J26" s="101" t="n"/>
      <c r="K26" s="100" t="n"/>
      <c r="L26" s="101" t="n"/>
      <c r="M26" s="100" t="n"/>
      <c r="N26" s="101" t="n"/>
      <c r="O26" s="100" t="n"/>
      <c r="P26" s="101" t="n"/>
      <c r="Q26" s="100" t="n"/>
      <c r="R26" s="101" t="n"/>
      <c r="S26" s="100" t="n"/>
      <c r="T26" s="101" t="n"/>
      <c r="U26" s="100" t="n"/>
      <c r="V26" s="101" t="n"/>
      <c r="W26" s="102" t="n"/>
      <c r="X26" s="103" t="n"/>
      <c r="Y26" s="104" t="n"/>
      <c r="Z26" s="103" t="n"/>
      <c r="AA26" s="104" t="n"/>
      <c r="AB26" s="103" t="n"/>
      <c r="AC26" s="104" t="n"/>
      <c r="AD26" s="103" t="n"/>
      <c r="AE26" s="104" t="n"/>
      <c r="AF26" s="103" t="n"/>
      <c r="AG26" s="104" t="n"/>
      <c r="AH26" s="103" t="n"/>
      <c r="AI26" s="104" t="n"/>
      <c r="AJ26" s="103" t="n"/>
      <c r="AK26" s="104" t="n"/>
      <c r="AL26" s="103" t="n"/>
      <c r="AM26" s="104" t="n"/>
      <c r="AN26" s="105" t="n"/>
      <c r="AO26" s="106" t="n"/>
      <c r="AP26" s="107" t="n"/>
      <c r="AQ26" s="106" t="n"/>
      <c r="AR26" s="107" t="n"/>
      <c r="AS26" s="106" t="n"/>
      <c r="AT26" s="107" t="n"/>
      <c r="AU26" s="106" t="n"/>
      <c r="AV26" s="107" t="n"/>
      <c r="AW26" s="106" t="n"/>
      <c r="AX26" s="107" t="n"/>
      <c r="AY26" s="106" t="n"/>
      <c r="AZ26" s="107" t="n"/>
      <c r="BA26" s="106" t="n"/>
      <c r="BB26" s="107" t="n"/>
      <c r="BC26" s="106" t="n"/>
      <c r="BD26" s="107" t="n"/>
      <c r="BE26" s="108" t="n"/>
      <c r="BF26" s="109" t="n"/>
      <c r="BG26" s="110" t="n"/>
      <c r="BH26" s="109" t="n"/>
      <c r="BI26" s="110" t="n"/>
      <c r="BJ26" s="109" t="n"/>
      <c r="BK26" s="110" t="n"/>
      <c r="BL26" s="109" t="n"/>
      <c r="BM26" s="110" t="n"/>
      <c r="BN26" s="109" t="n"/>
      <c r="BO26" s="110" t="n"/>
      <c r="BP26" s="109" t="n"/>
      <c r="BQ26" s="110" t="n"/>
      <c r="BR26" s="109" t="n"/>
      <c r="BS26" s="110" t="n"/>
      <c r="BT26" s="109" t="n"/>
      <c r="BU26" s="110" t="n"/>
      <c r="BV26" s="111" t="n"/>
      <c r="BW26" s="112" t="n"/>
      <c r="BX26" s="113" t="n"/>
      <c r="BY26" s="112" t="n"/>
      <c r="BZ26" s="113" t="n"/>
      <c r="CA26" s="112" t="n"/>
      <c r="CB26" s="113" t="n"/>
      <c r="CC26" s="112" t="n"/>
      <c r="CD26" s="113" t="n"/>
      <c r="CE26" s="112" t="n"/>
      <c r="CF26" s="113" t="n"/>
      <c r="CG26" s="112" t="n"/>
      <c r="CH26" s="113" t="n"/>
      <c r="CI26" s="112" t="n"/>
      <c r="CJ26" s="113" t="n"/>
      <c r="CK26" s="112" t="n"/>
      <c r="CL26" s="113" t="n"/>
      <c r="CM26" s="114" t="n"/>
      <c r="CN26" s="115" t="n"/>
      <c r="CO26" s="116" t="n"/>
      <c r="CP26" s="115" t="n"/>
      <c r="CQ26" s="116" t="n"/>
      <c r="CR26" s="115" t="n"/>
      <c r="CS26" s="116" t="n"/>
      <c r="CT26" s="115" t="n"/>
      <c r="CU26" s="116" t="n"/>
      <c r="CV26" s="115" t="n"/>
      <c r="CW26" s="116" t="n"/>
      <c r="CX26" s="115" t="n"/>
      <c r="CY26" s="116" t="n"/>
      <c r="CZ26" s="115" t="n"/>
      <c r="DA26" s="116" t="n"/>
      <c r="DB26" s="115" t="n"/>
      <c r="DC26" s="116" t="n"/>
      <c r="DD26" s="117" t="n"/>
      <c r="DE26" s="118" t="n"/>
      <c r="DF26" s="119" t="n"/>
      <c r="DG26" s="118" t="n"/>
      <c r="DH26" s="119" t="n"/>
      <c r="DI26" s="118" t="n"/>
      <c r="DJ26" s="119" t="n"/>
      <c r="DK26" s="118" t="n"/>
      <c r="DL26" s="119" t="n"/>
      <c r="DM26" s="118" t="n"/>
      <c r="DN26" s="119" t="n"/>
      <c r="DO26" s="118" t="n"/>
      <c r="DP26" s="119" t="n"/>
      <c r="DQ26" s="118" t="n"/>
      <c r="DR26" s="119" t="n"/>
      <c r="DS26" s="118" t="n"/>
      <c r="DT26" s="119" t="n"/>
      <c r="DU26" s="120" t="n"/>
      <c r="DV26" s="121" t="n"/>
      <c r="DW26" s="122" t="n"/>
      <c r="DX26" s="121" t="n"/>
      <c r="DY26" s="122" t="n"/>
      <c r="DZ26" s="121" t="n"/>
      <c r="EA26" s="122" t="n"/>
      <c r="EB26" s="121" t="n"/>
      <c r="EC26" s="122" t="n"/>
      <c r="ED26" s="121" t="n"/>
      <c r="EE26" s="122" t="n"/>
      <c r="EF26" s="121" t="n"/>
      <c r="EG26" s="122" t="n"/>
      <c r="EH26" s="121" t="n"/>
      <c r="EI26" s="122" t="n"/>
      <c r="EJ26" s="121" t="n"/>
      <c r="EK26" s="122" t="n"/>
      <c r="EL26" s="123" t="n"/>
      <c r="EM26" s="124" t="n"/>
      <c r="EN26" s="125" t="n"/>
      <c r="EO26" s="124" t="n"/>
      <c r="EP26" s="125" t="n"/>
      <c r="EQ26" s="124" t="n"/>
      <c r="ER26" s="125" t="n"/>
      <c r="ES26" s="124" t="n"/>
      <c r="ET26" s="125" t="n"/>
      <c r="EU26" s="124" t="n"/>
      <c r="EV26" s="125" t="n"/>
      <c r="EW26" s="124" t="n"/>
      <c r="EX26" s="125" t="n"/>
      <c r="EY26" s="124" t="n"/>
      <c r="EZ26" s="125" t="n"/>
      <c r="FA26" s="124" t="n"/>
      <c r="FB26" s="125" t="n"/>
      <c r="FC26" s="126" t="n"/>
      <c r="FD26" s="127" t="n"/>
      <c r="FE26" s="128" t="n"/>
      <c r="FF26" s="127" t="n"/>
      <c r="FG26" s="128" t="n"/>
      <c r="FH26" s="127" t="n"/>
      <c r="FI26" s="128" t="n"/>
      <c r="FJ26" s="127" t="n"/>
      <c r="FK26" s="128" t="n"/>
      <c r="FL26" s="127" t="n"/>
      <c r="FM26" s="128" t="n"/>
      <c r="FN26" s="127" t="n"/>
      <c r="FO26" s="128" t="n"/>
      <c r="FP26" s="127" t="n"/>
      <c r="FQ26" s="128" t="n"/>
      <c r="FR26" s="127" t="n"/>
      <c r="FS26" s="128" t="n"/>
      <c r="FT26" s="129" t="n"/>
      <c r="FU26" s="130" t="n"/>
      <c r="FV26" s="131" t="n"/>
      <c r="FW26" s="130" t="n"/>
      <c r="FX26" s="131" t="n"/>
      <c r="FY26" s="130" t="n"/>
      <c r="FZ26" s="131" t="n"/>
      <c r="GA26" s="130" t="n"/>
      <c r="GB26" s="131" t="n"/>
      <c r="GC26" s="130" t="n"/>
      <c r="GD26" s="131" t="n"/>
      <c r="GE26" s="130" t="n"/>
      <c r="GF26" s="131" t="n"/>
      <c r="GG26" s="130" t="n"/>
      <c r="GH26" s="131" t="n"/>
      <c r="GI26" s="130" t="n"/>
      <c r="GJ26" s="131" t="n"/>
      <c r="GK26" s="132" t="n"/>
      <c r="GL26" s="133" t="n"/>
      <c r="GM26" s="134" t="n"/>
      <c r="GN26" s="133" t="n"/>
      <c r="GO26" s="134" t="n"/>
      <c r="GP26" s="133" t="n"/>
      <c r="GQ26" s="134" t="n"/>
      <c r="GR26" s="133" t="n"/>
      <c r="GS26" s="134" t="n"/>
      <c r="GT26" s="133" t="n"/>
      <c r="GU26" s="134" t="n"/>
      <c r="GV26" s="133" t="n"/>
      <c r="GW26" s="134" t="n"/>
      <c r="GX26" s="133" t="n"/>
      <c r="GY26" s="134" t="n"/>
      <c r="GZ26" s="133" t="n"/>
      <c r="HA26" s="134" t="n"/>
      <c r="HB26" s="135" t="n"/>
      <c r="HC26">
        <f>COUNTIFS($G$3:$HB$3,"ح",$G26:$HB26,TRUE)</f>
        <v>0</v>
      </c>
      <c r="HD26">
        <f>COUNTIFS($G$3:$HB$3,"دفع",$G26:$HB26,TRUE)</f>
        <v>0</v>
      </c>
      <c r="HE26">
        <f>8*$HD26-$HC26</f>
        <v>0</v>
      </c>
    </row>
    <row r="27" ht="22.5" customHeight="1">
      <c r="A27" s="36" t="n">
        <v>24</v>
      </c>
      <c r="B27" s="97" t="n"/>
      <c r="C27" s="28" t="n"/>
      <c r="D27" s="98" t="str">
        <f>IF($B27="","",IF($HC27=0,"-",($HC27-8*INT(($HC27-1)/8))&amp;"/8"))</f>
        <v/>
      </c>
      <c r="E27" s="98" t="str">
        <f>IF($B27="","",IF(AND($HC27=0,$HD27=0),"-",$HE27))</f>
        <v/>
      </c>
      <c r="F27" s="99" t="str">
        <f>IF($B27="","",IF(AND($HC27=0,$HD27=0),"جديد",IF($HE27&gt;1,"تمام",IF($HE27=1,"آخر حصة",IF($HE27=0,"تجديد",IF($HE27=-1,"عليه حصة",IF($HE27=-2,"عليه حصتين","عليه "&amp;(-$HE27)&amp;" حصص")))))))</f>
        <v/>
      </c>
      <c r="G27" s="100" t="n"/>
      <c r="H27" s="101" t="n"/>
      <c r="I27" s="100" t="n"/>
      <c r="J27" s="101" t="n"/>
      <c r="K27" s="100" t="n"/>
      <c r="L27" s="101" t="n"/>
      <c r="M27" s="100" t="n"/>
      <c r="N27" s="101" t="n"/>
      <c r="O27" s="100" t="n"/>
      <c r="P27" s="101" t="n"/>
      <c r="Q27" s="100" t="n"/>
      <c r="R27" s="101" t="n"/>
      <c r="S27" s="100" t="n"/>
      <c r="T27" s="101" t="n"/>
      <c r="U27" s="100" t="n"/>
      <c r="V27" s="101" t="n"/>
      <c r="W27" s="102" t="n"/>
      <c r="X27" s="103" t="n"/>
      <c r="Y27" s="104" t="n"/>
      <c r="Z27" s="103" t="n"/>
      <c r="AA27" s="104" t="n"/>
      <c r="AB27" s="103" t="n"/>
      <c r="AC27" s="104" t="n"/>
      <c r="AD27" s="103" t="n"/>
      <c r="AE27" s="104" t="n"/>
      <c r="AF27" s="103" t="n"/>
      <c r="AG27" s="104" t="n"/>
      <c r="AH27" s="103" t="n"/>
      <c r="AI27" s="104" t="n"/>
      <c r="AJ27" s="103" t="n"/>
      <c r="AK27" s="104" t="n"/>
      <c r="AL27" s="103" t="n"/>
      <c r="AM27" s="104" t="n"/>
      <c r="AN27" s="105" t="n"/>
      <c r="AO27" s="106" t="n"/>
      <c r="AP27" s="107" t="n"/>
      <c r="AQ27" s="106" t="n"/>
      <c r="AR27" s="107" t="n"/>
      <c r="AS27" s="106" t="n"/>
      <c r="AT27" s="107" t="n"/>
      <c r="AU27" s="106" t="n"/>
      <c r="AV27" s="107" t="n"/>
      <c r="AW27" s="106" t="n"/>
      <c r="AX27" s="107" t="n"/>
      <c r="AY27" s="106" t="n"/>
      <c r="AZ27" s="107" t="n"/>
      <c r="BA27" s="106" t="n"/>
      <c r="BB27" s="107" t="n"/>
      <c r="BC27" s="106" t="n"/>
      <c r="BD27" s="107" t="n"/>
      <c r="BE27" s="108" t="n"/>
      <c r="BF27" s="109" t="n"/>
      <c r="BG27" s="110" t="n"/>
      <c r="BH27" s="109" t="n"/>
      <c r="BI27" s="110" t="n"/>
      <c r="BJ27" s="109" t="n"/>
      <c r="BK27" s="110" t="n"/>
      <c r="BL27" s="109" t="n"/>
      <c r="BM27" s="110" t="n"/>
      <c r="BN27" s="109" t="n"/>
      <c r="BO27" s="110" t="n"/>
      <c r="BP27" s="109" t="n"/>
      <c r="BQ27" s="110" t="n"/>
      <c r="BR27" s="109" t="n"/>
      <c r="BS27" s="110" t="n"/>
      <c r="BT27" s="109" t="n"/>
      <c r="BU27" s="110" t="n"/>
      <c r="BV27" s="111" t="n"/>
      <c r="BW27" s="112" t="n"/>
      <c r="BX27" s="113" t="n"/>
      <c r="BY27" s="112" t="n"/>
      <c r="BZ27" s="113" t="n"/>
      <c r="CA27" s="112" t="n"/>
      <c r="CB27" s="113" t="n"/>
      <c r="CC27" s="112" t="n"/>
      <c r="CD27" s="113" t="n"/>
      <c r="CE27" s="112" t="n"/>
      <c r="CF27" s="113" t="n"/>
      <c r="CG27" s="112" t="n"/>
      <c r="CH27" s="113" t="n"/>
      <c r="CI27" s="112" t="n"/>
      <c r="CJ27" s="113" t="n"/>
      <c r="CK27" s="112" t="n"/>
      <c r="CL27" s="113" t="n"/>
      <c r="CM27" s="114" t="n"/>
      <c r="CN27" s="115" t="n"/>
      <c r="CO27" s="116" t="n"/>
      <c r="CP27" s="115" t="n"/>
      <c r="CQ27" s="116" t="n"/>
      <c r="CR27" s="115" t="n"/>
      <c r="CS27" s="116" t="n"/>
      <c r="CT27" s="115" t="n"/>
      <c r="CU27" s="116" t="n"/>
      <c r="CV27" s="115" t="n"/>
      <c r="CW27" s="116" t="n"/>
      <c r="CX27" s="115" t="n"/>
      <c r="CY27" s="116" t="n"/>
      <c r="CZ27" s="115" t="n"/>
      <c r="DA27" s="116" t="n"/>
      <c r="DB27" s="115" t="n"/>
      <c r="DC27" s="116" t="n"/>
      <c r="DD27" s="117" t="n"/>
      <c r="DE27" s="118" t="n"/>
      <c r="DF27" s="119" t="n"/>
      <c r="DG27" s="118" t="n"/>
      <c r="DH27" s="119" t="n"/>
      <c r="DI27" s="118" t="n"/>
      <c r="DJ27" s="119" t="n"/>
      <c r="DK27" s="118" t="n"/>
      <c r="DL27" s="119" t="n"/>
      <c r="DM27" s="118" t="n"/>
      <c r="DN27" s="119" t="n"/>
      <c r="DO27" s="118" t="n"/>
      <c r="DP27" s="119" t="n"/>
      <c r="DQ27" s="118" t="n"/>
      <c r="DR27" s="119" t="n"/>
      <c r="DS27" s="118" t="n"/>
      <c r="DT27" s="119" t="n"/>
      <c r="DU27" s="120" t="n"/>
      <c r="DV27" s="121" t="n"/>
      <c r="DW27" s="122" t="n"/>
      <c r="DX27" s="121" t="n"/>
      <c r="DY27" s="122" t="n"/>
      <c r="DZ27" s="121" t="n"/>
      <c r="EA27" s="122" t="n"/>
      <c r="EB27" s="121" t="n"/>
      <c r="EC27" s="122" t="n"/>
      <c r="ED27" s="121" t="n"/>
      <c r="EE27" s="122" t="n"/>
      <c r="EF27" s="121" t="n"/>
      <c r="EG27" s="122" t="n"/>
      <c r="EH27" s="121" t="n"/>
      <c r="EI27" s="122" t="n"/>
      <c r="EJ27" s="121" t="n"/>
      <c r="EK27" s="122" t="n"/>
      <c r="EL27" s="123" t="n"/>
      <c r="EM27" s="124" t="n"/>
      <c r="EN27" s="125" t="n"/>
      <c r="EO27" s="124" t="n"/>
      <c r="EP27" s="125" t="n"/>
      <c r="EQ27" s="124" t="n"/>
      <c r="ER27" s="125" t="n"/>
      <c r="ES27" s="124" t="n"/>
      <c r="ET27" s="125" t="n"/>
      <c r="EU27" s="124" t="n"/>
      <c r="EV27" s="125" t="n"/>
      <c r="EW27" s="124" t="n"/>
      <c r="EX27" s="125" t="n"/>
      <c r="EY27" s="124" t="n"/>
      <c r="EZ27" s="125" t="n"/>
      <c r="FA27" s="124" t="n"/>
      <c r="FB27" s="125" t="n"/>
      <c r="FC27" s="126" t="n"/>
      <c r="FD27" s="127" t="n"/>
      <c r="FE27" s="128" t="n"/>
      <c r="FF27" s="127" t="n"/>
      <c r="FG27" s="128" t="n"/>
      <c r="FH27" s="127" t="n"/>
      <c r="FI27" s="128" t="n"/>
      <c r="FJ27" s="127" t="n"/>
      <c r="FK27" s="128" t="n"/>
      <c r="FL27" s="127" t="n"/>
      <c r="FM27" s="128" t="n"/>
      <c r="FN27" s="127" t="n"/>
      <c r="FO27" s="128" t="n"/>
      <c r="FP27" s="127" t="n"/>
      <c r="FQ27" s="128" t="n"/>
      <c r="FR27" s="127" t="n"/>
      <c r="FS27" s="128" t="n"/>
      <c r="FT27" s="129" t="n"/>
      <c r="FU27" s="130" t="n"/>
      <c r="FV27" s="131" t="n"/>
      <c r="FW27" s="130" t="n"/>
      <c r="FX27" s="131" t="n"/>
      <c r="FY27" s="130" t="n"/>
      <c r="FZ27" s="131" t="n"/>
      <c r="GA27" s="130" t="n"/>
      <c r="GB27" s="131" t="n"/>
      <c r="GC27" s="130" t="n"/>
      <c r="GD27" s="131" t="n"/>
      <c r="GE27" s="130" t="n"/>
      <c r="GF27" s="131" t="n"/>
      <c r="GG27" s="130" t="n"/>
      <c r="GH27" s="131" t="n"/>
      <c r="GI27" s="130" t="n"/>
      <c r="GJ27" s="131" t="n"/>
      <c r="GK27" s="132" t="n"/>
      <c r="GL27" s="133" t="n"/>
      <c r="GM27" s="134" t="n"/>
      <c r="GN27" s="133" t="n"/>
      <c r="GO27" s="134" t="n"/>
      <c r="GP27" s="133" t="n"/>
      <c r="GQ27" s="134" t="n"/>
      <c r="GR27" s="133" t="n"/>
      <c r="GS27" s="134" t="n"/>
      <c r="GT27" s="133" t="n"/>
      <c r="GU27" s="134" t="n"/>
      <c r="GV27" s="133" t="n"/>
      <c r="GW27" s="134" t="n"/>
      <c r="GX27" s="133" t="n"/>
      <c r="GY27" s="134" t="n"/>
      <c r="GZ27" s="133" t="n"/>
      <c r="HA27" s="134" t="n"/>
      <c r="HB27" s="135" t="n"/>
      <c r="HC27">
        <f>COUNTIFS($G$3:$HB$3,"ح",$G27:$HB27,TRUE)</f>
        <v>0</v>
      </c>
      <c r="HD27">
        <f>COUNTIFS($G$3:$HB$3,"دفع",$G27:$HB27,TRUE)</f>
        <v>0</v>
      </c>
      <c r="HE27">
        <f>8*$HD27-$HC27</f>
        <v>0</v>
      </c>
    </row>
    <row r="28" ht="22.5" customHeight="1">
      <c r="A28" s="36" t="n">
        <v>25</v>
      </c>
      <c r="B28" s="97" t="n"/>
      <c r="C28" s="28" t="n"/>
      <c r="D28" s="98" t="str">
        <f>IF($B28="","",IF($HC28=0,"-",($HC28-8*INT(($HC28-1)/8))&amp;"/8"))</f>
        <v/>
      </c>
      <c r="E28" s="98" t="str">
        <f>IF($B28="","",IF(AND($HC28=0,$HD28=0),"-",$HE28))</f>
        <v/>
      </c>
      <c r="F28" s="99" t="str">
        <f>IF($B28="","",IF(AND($HC28=0,$HD28=0),"جديد",IF($HE28&gt;1,"تمام",IF($HE28=1,"آخر حصة",IF($HE28=0,"تجديد",IF($HE28=-1,"عليه حصة",IF($HE28=-2,"عليه حصتين","عليه "&amp;(-$HE28)&amp;" حصص")))))))</f>
        <v/>
      </c>
      <c r="G28" s="100" t="n"/>
      <c r="H28" s="101" t="n"/>
      <c r="I28" s="100" t="n"/>
      <c r="J28" s="101" t="n"/>
      <c r="K28" s="100" t="n"/>
      <c r="L28" s="101" t="n"/>
      <c r="M28" s="100" t="n"/>
      <c r="N28" s="101" t="n"/>
      <c r="O28" s="100" t="n"/>
      <c r="P28" s="101" t="n"/>
      <c r="Q28" s="100" t="n"/>
      <c r="R28" s="101" t="n"/>
      <c r="S28" s="100" t="n"/>
      <c r="T28" s="101" t="n"/>
      <c r="U28" s="100" t="n"/>
      <c r="V28" s="101" t="n"/>
      <c r="W28" s="102" t="n"/>
      <c r="X28" s="103" t="n"/>
      <c r="Y28" s="104" t="n"/>
      <c r="Z28" s="103" t="n"/>
      <c r="AA28" s="104" t="n"/>
      <c r="AB28" s="103" t="n"/>
      <c r="AC28" s="104" t="n"/>
      <c r="AD28" s="103" t="n"/>
      <c r="AE28" s="104" t="n"/>
      <c r="AF28" s="103" t="n"/>
      <c r="AG28" s="104" t="n"/>
      <c r="AH28" s="103" t="n"/>
      <c r="AI28" s="104" t="n"/>
      <c r="AJ28" s="103" t="n"/>
      <c r="AK28" s="104" t="n"/>
      <c r="AL28" s="103" t="n"/>
      <c r="AM28" s="104" t="n"/>
      <c r="AN28" s="105" t="n"/>
      <c r="AO28" s="106" t="n"/>
      <c r="AP28" s="107" t="n"/>
      <c r="AQ28" s="106" t="n"/>
      <c r="AR28" s="107" t="n"/>
      <c r="AS28" s="106" t="n"/>
      <c r="AT28" s="107" t="n"/>
      <c r="AU28" s="106" t="n"/>
      <c r="AV28" s="107" t="n"/>
      <c r="AW28" s="106" t="n"/>
      <c r="AX28" s="107" t="n"/>
      <c r="AY28" s="106" t="n"/>
      <c r="AZ28" s="107" t="n"/>
      <c r="BA28" s="106" t="n"/>
      <c r="BB28" s="107" t="n"/>
      <c r="BC28" s="106" t="n"/>
      <c r="BD28" s="107" t="n"/>
      <c r="BE28" s="108" t="n"/>
      <c r="BF28" s="109" t="n"/>
      <c r="BG28" s="110" t="n"/>
      <c r="BH28" s="109" t="n"/>
      <c r="BI28" s="110" t="n"/>
      <c r="BJ28" s="109" t="n"/>
      <c r="BK28" s="110" t="n"/>
      <c r="BL28" s="109" t="n"/>
      <c r="BM28" s="110" t="n"/>
      <c r="BN28" s="109" t="n"/>
      <c r="BO28" s="110" t="n"/>
      <c r="BP28" s="109" t="n"/>
      <c r="BQ28" s="110" t="n"/>
      <c r="BR28" s="109" t="n"/>
      <c r="BS28" s="110" t="n"/>
      <c r="BT28" s="109" t="n"/>
      <c r="BU28" s="110" t="n"/>
      <c r="BV28" s="111" t="n"/>
      <c r="BW28" s="112" t="n"/>
      <c r="BX28" s="113" t="n"/>
      <c r="BY28" s="112" t="n"/>
      <c r="BZ28" s="113" t="n"/>
      <c r="CA28" s="112" t="n"/>
      <c r="CB28" s="113" t="n"/>
      <c r="CC28" s="112" t="n"/>
      <c r="CD28" s="113" t="n"/>
      <c r="CE28" s="112" t="n"/>
      <c r="CF28" s="113" t="n"/>
      <c r="CG28" s="112" t="n"/>
      <c r="CH28" s="113" t="n"/>
      <c r="CI28" s="112" t="n"/>
      <c r="CJ28" s="113" t="n"/>
      <c r="CK28" s="112" t="n"/>
      <c r="CL28" s="113" t="n"/>
      <c r="CM28" s="114" t="n"/>
      <c r="CN28" s="115" t="n"/>
      <c r="CO28" s="116" t="n"/>
      <c r="CP28" s="115" t="n"/>
      <c r="CQ28" s="116" t="n"/>
      <c r="CR28" s="115" t="n"/>
      <c r="CS28" s="116" t="n"/>
      <c r="CT28" s="115" t="n"/>
      <c r="CU28" s="116" t="n"/>
      <c r="CV28" s="115" t="n"/>
      <c r="CW28" s="116" t="n"/>
      <c r="CX28" s="115" t="n"/>
      <c r="CY28" s="116" t="n"/>
      <c r="CZ28" s="115" t="n"/>
      <c r="DA28" s="116" t="n"/>
      <c r="DB28" s="115" t="n"/>
      <c r="DC28" s="116" t="n"/>
      <c r="DD28" s="117" t="n"/>
      <c r="DE28" s="118" t="n"/>
      <c r="DF28" s="119" t="n"/>
      <c r="DG28" s="118" t="n"/>
      <c r="DH28" s="119" t="n"/>
      <c r="DI28" s="118" t="n"/>
      <c r="DJ28" s="119" t="n"/>
      <c r="DK28" s="118" t="n"/>
      <c r="DL28" s="119" t="n"/>
      <c r="DM28" s="118" t="n"/>
      <c r="DN28" s="119" t="n"/>
      <c r="DO28" s="118" t="n"/>
      <c r="DP28" s="119" t="n"/>
      <c r="DQ28" s="118" t="n"/>
      <c r="DR28" s="119" t="n"/>
      <c r="DS28" s="118" t="n"/>
      <c r="DT28" s="119" t="n"/>
      <c r="DU28" s="120" t="n"/>
      <c r="DV28" s="121" t="n"/>
      <c r="DW28" s="122" t="n"/>
      <c r="DX28" s="121" t="n"/>
      <c r="DY28" s="122" t="n"/>
      <c r="DZ28" s="121" t="n"/>
      <c r="EA28" s="122" t="n"/>
      <c r="EB28" s="121" t="n"/>
      <c r="EC28" s="122" t="n"/>
      <c r="ED28" s="121" t="n"/>
      <c r="EE28" s="122" t="n"/>
      <c r="EF28" s="121" t="n"/>
      <c r="EG28" s="122" t="n"/>
      <c r="EH28" s="121" t="n"/>
      <c r="EI28" s="122" t="n"/>
      <c r="EJ28" s="121" t="n"/>
      <c r="EK28" s="122" t="n"/>
      <c r="EL28" s="123" t="n"/>
      <c r="EM28" s="124" t="n"/>
      <c r="EN28" s="125" t="n"/>
      <c r="EO28" s="124" t="n"/>
      <c r="EP28" s="125" t="n"/>
      <c r="EQ28" s="124" t="n"/>
      <c r="ER28" s="125" t="n"/>
      <c r="ES28" s="124" t="n"/>
      <c r="ET28" s="125" t="n"/>
      <c r="EU28" s="124" t="n"/>
      <c r="EV28" s="125" t="n"/>
      <c r="EW28" s="124" t="n"/>
      <c r="EX28" s="125" t="n"/>
      <c r="EY28" s="124" t="n"/>
      <c r="EZ28" s="125" t="n"/>
      <c r="FA28" s="124" t="n"/>
      <c r="FB28" s="125" t="n"/>
      <c r="FC28" s="126" t="n"/>
      <c r="FD28" s="127" t="n"/>
      <c r="FE28" s="128" t="n"/>
      <c r="FF28" s="127" t="n"/>
      <c r="FG28" s="128" t="n"/>
      <c r="FH28" s="127" t="n"/>
      <c r="FI28" s="128" t="n"/>
      <c r="FJ28" s="127" t="n"/>
      <c r="FK28" s="128" t="n"/>
      <c r="FL28" s="127" t="n"/>
      <c r="FM28" s="128" t="n"/>
      <c r="FN28" s="127" t="n"/>
      <c r="FO28" s="128" t="n"/>
      <c r="FP28" s="127" t="n"/>
      <c r="FQ28" s="128" t="n"/>
      <c r="FR28" s="127" t="n"/>
      <c r="FS28" s="128" t="n"/>
      <c r="FT28" s="129" t="n"/>
      <c r="FU28" s="130" t="n"/>
      <c r="FV28" s="131" t="n"/>
      <c r="FW28" s="130" t="n"/>
      <c r="FX28" s="131" t="n"/>
      <c r="FY28" s="130" t="n"/>
      <c r="FZ28" s="131" t="n"/>
      <c r="GA28" s="130" t="n"/>
      <c r="GB28" s="131" t="n"/>
      <c r="GC28" s="130" t="n"/>
      <c r="GD28" s="131" t="n"/>
      <c r="GE28" s="130" t="n"/>
      <c r="GF28" s="131" t="n"/>
      <c r="GG28" s="130" t="n"/>
      <c r="GH28" s="131" t="n"/>
      <c r="GI28" s="130" t="n"/>
      <c r="GJ28" s="131" t="n"/>
      <c r="GK28" s="132" t="n"/>
      <c r="GL28" s="133" t="n"/>
      <c r="GM28" s="134" t="n"/>
      <c r="GN28" s="133" t="n"/>
      <c r="GO28" s="134" t="n"/>
      <c r="GP28" s="133" t="n"/>
      <c r="GQ28" s="134" t="n"/>
      <c r="GR28" s="133" t="n"/>
      <c r="GS28" s="134" t="n"/>
      <c r="GT28" s="133" t="n"/>
      <c r="GU28" s="134" t="n"/>
      <c r="GV28" s="133" t="n"/>
      <c r="GW28" s="134" t="n"/>
      <c r="GX28" s="133" t="n"/>
      <c r="GY28" s="134" t="n"/>
      <c r="GZ28" s="133" t="n"/>
      <c r="HA28" s="134" t="n"/>
      <c r="HB28" s="135" t="n"/>
      <c r="HC28">
        <f>COUNTIFS($G$3:$HB$3,"ح",$G28:$HB28,TRUE)</f>
        <v>0</v>
      </c>
      <c r="HD28">
        <f>COUNTIFS($G$3:$HB$3,"دفع",$G28:$HB28,TRUE)</f>
        <v>0</v>
      </c>
      <c r="HE28">
        <f>8*$HD28-$HC28</f>
        <v>0</v>
      </c>
    </row>
    <row r="29" ht="22.5" customHeight="1">
      <c r="A29" s="36" t="n">
        <v>26</v>
      </c>
      <c r="B29" s="97" t="n"/>
      <c r="C29" s="28" t="n"/>
      <c r="D29" s="98" t="str">
        <f>IF($B29="","",IF($HC29=0,"-",($HC29-8*INT(($HC29-1)/8))&amp;"/8"))</f>
        <v/>
      </c>
      <c r="E29" s="98" t="str">
        <f>IF($B29="","",IF(AND($HC29=0,$HD29=0),"-",$HE29))</f>
        <v/>
      </c>
      <c r="F29" s="99" t="str">
        <f>IF($B29="","",IF(AND($HC29=0,$HD29=0),"جديد",IF($HE29&gt;1,"تمام",IF($HE29=1,"آخر حصة",IF($HE29=0,"تجديد",IF($HE29=-1,"عليه حصة",IF($HE29=-2,"عليه حصتين","عليه "&amp;(-$HE29)&amp;" حصص")))))))</f>
        <v/>
      </c>
      <c r="G29" s="100" t="n"/>
      <c r="H29" s="101" t="n"/>
      <c r="I29" s="100" t="n"/>
      <c r="J29" s="101" t="n"/>
      <c r="K29" s="100" t="n"/>
      <c r="L29" s="101" t="n"/>
      <c r="M29" s="100" t="n"/>
      <c r="N29" s="101" t="n"/>
      <c r="O29" s="100" t="n"/>
      <c r="P29" s="101" t="n"/>
      <c r="Q29" s="100" t="n"/>
      <c r="R29" s="101" t="n"/>
      <c r="S29" s="100" t="n"/>
      <c r="T29" s="101" t="n"/>
      <c r="U29" s="100" t="n"/>
      <c r="V29" s="101" t="n"/>
      <c r="W29" s="102" t="n"/>
      <c r="X29" s="103" t="n"/>
      <c r="Y29" s="104" t="n"/>
      <c r="Z29" s="103" t="n"/>
      <c r="AA29" s="104" t="n"/>
      <c r="AB29" s="103" t="n"/>
      <c r="AC29" s="104" t="n"/>
      <c r="AD29" s="103" t="n"/>
      <c r="AE29" s="104" t="n"/>
      <c r="AF29" s="103" t="n"/>
      <c r="AG29" s="104" t="n"/>
      <c r="AH29" s="103" t="n"/>
      <c r="AI29" s="104" t="n"/>
      <c r="AJ29" s="103" t="n"/>
      <c r="AK29" s="104" t="n"/>
      <c r="AL29" s="103" t="n"/>
      <c r="AM29" s="104" t="n"/>
      <c r="AN29" s="105" t="n"/>
      <c r="AO29" s="106" t="n"/>
      <c r="AP29" s="107" t="n"/>
      <c r="AQ29" s="106" t="n"/>
      <c r="AR29" s="107" t="n"/>
      <c r="AS29" s="106" t="n"/>
      <c r="AT29" s="107" t="n"/>
      <c r="AU29" s="106" t="n"/>
      <c r="AV29" s="107" t="n"/>
      <c r="AW29" s="106" t="n"/>
      <c r="AX29" s="107" t="n"/>
      <c r="AY29" s="106" t="n"/>
      <c r="AZ29" s="107" t="n"/>
      <c r="BA29" s="106" t="n"/>
      <c r="BB29" s="107" t="n"/>
      <c r="BC29" s="106" t="n"/>
      <c r="BD29" s="107" t="n"/>
      <c r="BE29" s="108" t="n"/>
      <c r="BF29" s="109" t="n"/>
      <c r="BG29" s="110" t="n"/>
      <c r="BH29" s="109" t="n"/>
      <c r="BI29" s="110" t="n"/>
      <c r="BJ29" s="109" t="n"/>
      <c r="BK29" s="110" t="n"/>
      <c r="BL29" s="109" t="n"/>
      <c r="BM29" s="110" t="n"/>
      <c r="BN29" s="109" t="n"/>
      <c r="BO29" s="110" t="n"/>
      <c r="BP29" s="109" t="n"/>
      <c r="BQ29" s="110" t="n"/>
      <c r="BR29" s="109" t="n"/>
      <c r="BS29" s="110" t="n"/>
      <c r="BT29" s="109" t="n"/>
      <c r="BU29" s="110" t="n"/>
      <c r="BV29" s="111" t="n"/>
      <c r="BW29" s="112" t="n"/>
      <c r="BX29" s="113" t="n"/>
      <c r="BY29" s="112" t="n"/>
      <c r="BZ29" s="113" t="n"/>
      <c r="CA29" s="112" t="n"/>
      <c r="CB29" s="113" t="n"/>
      <c r="CC29" s="112" t="n"/>
      <c r="CD29" s="113" t="n"/>
      <c r="CE29" s="112" t="n"/>
      <c r="CF29" s="113" t="n"/>
      <c r="CG29" s="112" t="n"/>
      <c r="CH29" s="113" t="n"/>
      <c r="CI29" s="112" t="n"/>
      <c r="CJ29" s="113" t="n"/>
      <c r="CK29" s="112" t="n"/>
      <c r="CL29" s="113" t="n"/>
      <c r="CM29" s="114" t="n"/>
      <c r="CN29" s="115" t="n"/>
      <c r="CO29" s="116" t="n"/>
      <c r="CP29" s="115" t="n"/>
      <c r="CQ29" s="116" t="n"/>
      <c r="CR29" s="115" t="n"/>
      <c r="CS29" s="116" t="n"/>
      <c r="CT29" s="115" t="n"/>
      <c r="CU29" s="116" t="n"/>
      <c r="CV29" s="115" t="n"/>
      <c r="CW29" s="116" t="n"/>
      <c r="CX29" s="115" t="n"/>
      <c r="CY29" s="116" t="n"/>
      <c r="CZ29" s="115" t="n"/>
      <c r="DA29" s="116" t="n"/>
      <c r="DB29" s="115" t="n"/>
      <c r="DC29" s="116" t="n"/>
      <c r="DD29" s="117" t="n"/>
      <c r="DE29" s="118" t="n"/>
      <c r="DF29" s="119" t="n"/>
      <c r="DG29" s="118" t="n"/>
      <c r="DH29" s="119" t="n"/>
      <c r="DI29" s="118" t="n"/>
      <c r="DJ29" s="119" t="n"/>
      <c r="DK29" s="118" t="n"/>
      <c r="DL29" s="119" t="n"/>
      <c r="DM29" s="118" t="n"/>
      <c r="DN29" s="119" t="n"/>
      <c r="DO29" s="118" t="n"/>
      <c r="DP29" s="119" t="n"/>
      <c r="DQ29" s="118" t="n"/>
      <c r="DR29" s="119" t="n"/>
      <c r="DS29" s="118" t="n"/>
      <c r="DT29" s="119" t="n"/>
      <c r="DU29" s="120" t="n"/>
      <c r="DV29" s="121" t="n"/>
      <c r="DW29" s="122" t="n"/>
      <c r="DX29" s="121" t="n"/>
      <c r="DY29" s="122" t="n"/>
      <c r="DZ29" s="121" t="n"/>
      <c r="EA29" s="122" t="n"/>
      <c r="EB29" s="121" t="n"/>
      <c r="EC29" s="122" t="n"/>
      <c r="ED29" s="121" t="n"/>
      <c r="EE29" s="122" t="n"/>
      <c r="EF29" s="121" t="n"/>
      <c r="EG29" s="122" t="n"/>
      <c r="EH29" s="121" t="n"/>
      <c r="EI29" s="122" t="n"/>
      <c r="EJ29" s="121" t="n"/>
      <c r="EK29" s="122" t="n"/>
      <c r="EL29" s="123" t="n"/>
      <c r="EM29" s="124" t="n"/>
      <c r="EN29" s="125" t="n"/>
      <c r="EO29" s="124" t="n"/>
      <c r="EP29" s="125" t="n"/>
      <c r="EQ29" s="124" t="n"/>
      <c r="ER29" s="125" t="n"/>
      <c r="ES29" s="124" t="n"/>
      <c r="ET29" s="125" t="n"/>
      <c r="EU29" s="124" t="n"/>
      <c r="EV29" s="125" t="n"/>
      <c r="EW29" s="124" t="n"/>
      <c r="EX29" s="125" t="n"/>
      <c r="EY29" s="124" t="n"/>
      <c r="EZ29" s="125" t="n"/>
      <c r="FA29" s="124" t="n"/>
      <c r="FB29" s="125" t="n"/>
      <c r="FC29" s="126" t="n"/>
      <c r="FD29" s="127" t="n"/>
      <c r="FE29" s="128" t="n"/>
      <c r="FF29" s="127" t="n"/>
      <c r="FG29" s="128" t="n"/>
      <c r="FH29" s="127" t="n"/>
      <c r="FI29" s="128" t="n"/>
      <c r="FJ29" s="127" t="n"/>
      <c r="FK29" s="128" t="n"/>
      <c r="FL29" s="127" t="n"/>
      <c r="FM29" s="128" t="n"/>
      <c r="FN29" s="127" t="n"/>
      <c r="FO29" s="128" t="n"/>
      <c r="FP29" s="127" t="n"/>
      <c r="FQ29" s="128" t="n"/>
      <c r="FR29" s="127" t="n"/>
      <c r="FS29" s="128" t="n"/>
      <c r="FT29" s="129" t="n"/>
      <c r="FU29" s="130" t="n"/>
      <c r="FV29" s="131" t="n"/>
      <c r="FW29" s="130" t="n"/>
      <c r="FX29" s="131" t="n"/>
      <c r="FY29" s="130" t="n"/>
      <c r="FZ29" s="131" t="n"/>
      <c r="GA29" s="130" t="n"/>
      <c r="GB29" s="131" t="n"/>
      <c r="GC29" s="130" t="n"/>
      <c r="GD29" s="131" t="n"/>
      <c r="GE29" s="130" t="n"/>
      <c r="GF29" s="131" t="n"/>
      <c r="GG29" s="130" t="n"/>
      <c r="GH29" s="131" t="n"/>
      <c r="GI29" s="130" t="n"/>
      <c r="GJ29" s="131" t="n"/>
      <c r="GK29" s="132" t="n"/>
      <c r="GL29" s="133" t="n"/>
      <c r="GM29" s="134" t="n"/>
      <c r="GN29" s="133" t="n"/>
      <c r="GO29" s="134" t="n"/>
      <c r="GP29" s="133" t="n"/>
      <c r="GQ29" s="134" t="n"/>
      <c r="GR29" s="133" t="n"/>
      <c r="GS29" s="134" t="n"/>
      <c r="GT29" s="133" t="n"/>
      <c r="GU29" s="134" t="n"/>
      <c r="GV29" s="133" t="n"/>
      <c r="GW29" s="134" t="n"/>
      <c r="GX29" s="133" t="n"/>
      <c r="GY29" s="134" t="n"/>
      <c r="GZ29" s="133" t="n"/>
      <c r="HA29" s="134" t="n"/>
      <c r="HB29" s="135" t="n"/>
      <c r="HC29">
        <f>COUNTIFS($G$3:$HB$3,"ح",$G29:$HB29,TRUE)</f>
        <v>0</v>
      </c>
      <c r="HD29">
        <f>COUNTIFS($G$3:$HB$3,"دفع",$G29:$HB29,TRUE)</f>
        <v>0</v>
      </c>
      <c r="HE29">
        <f>8*$HD29-$HC29</f>
        <v>0</v>
      </c>
    </row>
    <row r="30" ht="22.5" customHeight="1">
      <c r="A30" s="36" t="n">
        <v>27</v>
      </c>
      <c r="B30" s="97" t="n"/>
      <c r="C30" s="28" t="n"/>
      <c r="D30" s="98" t="str">
        <f>IF($B30="","",IF($HC30=0,"-",($HC30-8*INT(($HC30-1)/8))&amp;"/8"))</f>
        <v/>
      </c>
      <c r="E30" s="98" t="str">
        <f>IF($B30="","",IF(AND($HC30=0,$HD30=0),"-",$HE30))</f>
        <v/>
      </c>
      <c r="F30" s="99" t="str">
        <f>IF($B30="","",IF(AND($HC30=0,$HD30=0),"جديد",IF($HE30&gt;1,"تمام",IF($HE30=1,"آخر حصة",IF($HE30=0,"تجديد",IF($HE30=-1,"عليه حصة",IF($HE30=-2,"عليه حصتين","عليه "&amp;(-$HE30)&amp;" حصص")))))))</f>
        <v/>
      </c>
      <c r="G30" s="100" t="n"/>
      <c r="H30" s="101" t="n"/>
      <c r="I30" s="100" t="n"/>
      <c r="J30" s="101" t="n"/>
      <c r="K30" s="100" t="n"/>
      <c r="L30" s="101" t="n"/>
      <c r="M30" s="100" t="n"/>
      <c r="N30" s="101" t="n"/>
      <c r="O30" s="100" t="n"/>
      <c r="P30" s="101" t="n"/>
      <c r="Q30" s="100" t="n"/>
      <c r="R30" s="101" t="n"/>
      <c r="S30" s="100" t="n"/>
      <c r="T30" s="101" t="n"/>
      <c r="U30" s="100" t="n"/>
      <c r="V30" s="101" t="n"/>
      <c r="W30" s="102" t="n"/>
      <c r="X30" s="103" t="n"/>
      <c r="Y30" s="104" t="n"/>
      <c r="Z30" s="103" t="n"/>
      <c r="AA30" s="104" t="n"/>
      <c r="AB30" s="103" t="n"/>
      <c r="AC30" s="104" t="n"/>
      <c r="AD30" s="103" t="n"/>
      <c r="AE30" s="104" t="n"/>
      <c r="AF30" s="103" t="n"/>
      <c r="AG30" s="104" t="n"/>
      <c r="AH30" s="103" t="n"/>
      <c r="AI30" s="104" t="n"/>
      <c r="AJ30" s="103" t="n"/>
      <c r="AK30" s="104" t="n"/>
      <c r="AL30" s="103" t="n"/>
      <c r="AM30" s="104" t="n"/>
      <c r="AN30" s="105" t="n"/>
      <c r="AO30" s="106" t="n"/>
      <c r="AP30" s="107" t="n"/>
      <c r="AQ30" s="106" t="n"/>
      <c r="AR30" s="107" t="n"/>
      <c r="AS30" s="106" t="n"/>
      <c r="AT30" s="107" t="n"/>
      <c r="AU30" s="106" t="n"/>
      <c r="AV30" s="107" t="n"/>
      <c r="AW30" s="106" t="n"/>
      <c r="AX30" s="107" t="n"/>
      <c r="AY30" s="106" t="n"/>
      <c r="AZ30" s="107" t="n"/>
      <c r="BA30" s="106" t="n"/>
      <c r="BB30" s="107" t="n"/>
      <c r="BC30" s="106" t="n"/>
      <c r="BD30" s="107" t="n"/>
      <c r="BE30" s="108" t="n"/>
      <c r="BF30" s="109" t="n"/>
      <c r="BG30" s="110" t="n"/>
      <c r="BH30" s="109" t="n"/>
      <c r="BI30" s="110" t="n"/>
      <c r="BJ30" s="109" t="n"/>
      <c r="BK30" s="110" t="n"/>
      <c r="BL30" s="109" t="n"/>
      <c r="BM30" s="110" t="n"/>
      <c r="BN30" s="109" t="n"/>
      <c r="BO30" s="110" t="n"/>
      <c r="BP30" s="109" t="n"/>
      <c r="BQ30" s="110" t="n"/>
      <c r="BR30" s="109" t="n"/>
      <c r="BS30" s="110" t="n"/>
      <c r="BT30" s="109" t="n"/>
      <c r="BU30" s="110" t="n"/>
      <c r="BV30" s="111" t="n"/>
      <c r="BW30" s="112" t="n"/>
      <c r="BX30" s="113" t="n"/>
      <c r="BY30" s="112" t="n"/>
      <c r="BZ30" s="113" t="n"/>
      <c r="CA30" s="112" t="n"/>
      <c r="CB30" s="113" t="n"/>
      <c r="CC30" s="112" t="n"/>
      <c r="CD30" s="113" t="n"/>
      <c r="CE30" s="112" t="n"/>
      <c r="CF30" s="113" t="n"/>
      <c r="CG30" s="112" t="n"/>
      <c r="CH30" s="113" t="n"/>
      <c r="CI30" s="112" t="n"/>
      <c r="CJ30" s="113" t="n"/>
      <c r="CK30" s="112" t="n"/>
      <c r="CL30" s="113" t="n"/>
      <c r="CM30" s="114" t="n"/>
      <c r="CN30" s="115" t="n"/>
      <c r="CO30" s="116" t="n"/>
      <c r="CP30" s="115" t="n"/>
      <c r="CQ30" s="116" t="n"/>
      <c r="CR30" s="115" t="n"/>
      <c r="CS30" s="116" t="n"/>
      <c r="CT30" s="115" t="n"/>
      <c r="CU30" s="116" t="n"/>
      <c r="CV30" s="115" t="n"/>
      <c r="CW30" s="116" t="n"/>
      <c r="CX30" s="115" t="n"/>
      <c r="CY30" s="116" t="n"/>
      <c r="CZ30" s="115" t="n"/>
      <c r="DA30" s="116" t="n"/>
      <c r="DB30" s="115" t="n"/>
      <c r="DC30" s="116" t="n"/>
      <c r="DD30" s="117" t="n"/>
      <c r="DE30" s="118" t="n"/>
      <c r="DF30" s="119" t="n"/>
      <c r="DG30" s="118" t="n"/>
      <c r="DH30" s="119" t="n"/>
      <c r="DI30" s="118" t="n"/>
      <c r="DJ30" s="119" t="n"/>
      <c r="DK30" s="118" t="n"/>
      <c r="DL30" s="119" t="n"/>
      <c r="DM30" s="118" t="n"/>
      <c r="DN30" s="119" t="n"/>
      <c r="DO30" s="118" t="n"/>
      <c r="DP30" s="119" t="n"/>
      <c r="DQ30" s="118" t="n"/>
      <c r="DR30" s="119" t="n"/>
      <c r="DS30" s="118" t="n"/>
      <c r="DT30" s="119" t="n"/>
      <c r="DU30" s="120" t="n"/>
      <c r="DV30" s="121" t="n"/>
      <c r="DW30" s="122" t="n"/>
      <c r="DX30" s="121" t="n"/>
      <c r="DY30" s="122" t="n"/>
      <c r="DZ30" s="121" t="n"/>
      <c r="EA30" s="122" t="n"/>
      <c r="EB30" s="121" t="n"/>
      <c r="EC30" s="122" t="n"/>
      <c r="ED30" s="121" t="n"/>
      <c r="EE30" s="122" t="n"/>
      <c r="EF30" s="121" t="n"/>
      <c r="EG30" s="122" t="n"/>
      <c r="EH30" s="121" t="n"/>
      <c r="EI30" s="122" t="n"/>
      <c r="EJ30" s="121" t="n"/>
      <c r="EK30" s="122" t="n"/>
      <c r="EL30" s="123" t="n"/>
      <c r="EM30" s="124" t="n"/>
      <c r="EN30" s="125" t="n"/>
      <c r="EO30" s="124" t="n"/>
      <c r="EP30" s="125" t="n"/>
      <c r="EQ30" s="124" t="n"/>
      <c r="ER30" s="125" t="n"/>
      <c r="ES30" s="124" t="n"/>
      <c r="ET30" s="125" t="n"/>
      <c r="EU30" s="124" t="n"/>
      <c r="EV30" s="125" t="n"/>
      <c r="EW30" s="124" t="n"/>
      <c r="EX30" s="125" t="n"/>
      <c r="EY30" s="124" t="n"/>
      <c r="EZ30" s="125" t="n"/>
      <c r="FA30" s="124" t="n"/>
      <c r="FB30" s="125" t="n"/>
      <c r="FC30" s="126" t="n"/>
      <c r="FD30" s="127" t="n"/>
      <c r="FE30" s="128" t="n"/>
      <c r="FF30" s="127" t="n"/>
      <c r="FG30" s="128" t="n"/>
      <c r="FH30" s="127" t="n"/>
      <c r="FI30" s="128" t="n"/>
      <c r="FJ30" s="127" t="n"/>
      <c r="FK30" s="128" t="n"/>
      <c r="FL30" s="127" t="n"/>
      <c r="FM30" s="128" t="n"/>
      <c r="FN30" s="127" t="n"/>
      <c r="FO30" s="128" t="n"/>
      <c r="FP30" s="127" t="n"/>
      <c r="FQ30" s="128" t="n"/>
      <c r="FR30" s="127" t="n"/>
      <c r="FS30" s="128" t="n"/>
      <c r="FT30" s="129" t="n"/>
      <c r="FU30" s="130" t="n"/>
      <c r="FV30" s="131" t="n"/>
      <c r="FW30" s="130" t="n"/>
      <c r="FX30" s="131" t="n"/>
      <c r="FY30" s="130" t="n"/>
      <c r="FZ30" s="131" t="n"/>
      <c r="GA30" s="130" t="n"/>
      <c r="GB30" s="131" t="n"/>
      <c r="GC30" s="130" t="n"/>
      <c r="GD30" s="131" t="n"/>
      <c r="GE30" s="130" t="n"/>
      <c r="GF30" s="131" t="n"/>
      <c r="GG30" s="130" t="n"/>
      <c r="GH30" s="131" t="n"/>
      <c r="GI30" s="130" t="n"/>
      <c r="GJ30" s="131" t="n"/>
      <c r="GK30" s="132" t="n"/>
      <c r="GL30" s="133" t="n"/>
      <c r="GM30" s="134" t="n"/>
      <c r="GN30" s="133" t="n"/>
      <c r="GO30" s="134" t="n"/>
      <c r="GP30" s="133" t="n"/>
      <c r="GQ30" s="134" t="n"/>
      <c r="GR30" s="133" t="n"/>
      <c r="GS30" s="134" t="n"/>
      <c r="GT30" s="133" t="n"/>
      <c r="GU30" s="134" t="n"/>
      <c r="GV30" s="133" t="n"/>
      <c r="GW30" s="134" t="n"/>
      <c r="GX30" s="133" t="n"/>
      <c r="GY30" s="134" t="n"/>
      <c r="GZ30" s="133" t="n"/>
      <c r="HA30" s="134" t="n"/>
      <c r="HB30" s="135" t="n"/>
      <c r="HC30">
        <f>COUNTIFS($G$3:$HB$3,"ح",$G30:$HB30,TRUE)</f>
        <v>0</v>
      </c>
      <c r="HD30">
        <f>COUNTIFS($G$3:$HB$3,"دفع",$G30:$HB30,TRUE)</f>
        <v>0</v>
      </c>
      <c r="HE30">
        <f>8*$HD30-$HC30</f>
        <v>0</v>
      </c>
    </row>
    <row r="31" ht="22.5" customHeight="1">
      <c r="A31" s="36" t="n">
        <v>28</v>
      </c>
      <c r="B31" s="97" t="n"/>
      <c r="C31" s="28" t="n"/>
      <c r="D31" s="98" t="str">
        <f>IF($B31="","",IF($HC31=0,"-",($HC31-8*INT(($HC31-1)/8))&amp;"/8"))</f>
        <v/>
      </c>
      <c r="E31" s="98" t="str">
        <f>IF($B31="","",IF(AND($HC31=0,$HD31=0),"-",$HE31))</f>
        <v/>
      </c>
      <c r="F31" s="99" t="str">
        <f>IF($B31="","",IF(AND($HC31=0,$HD31=0),"جديد",IF($HE31&gt;1,"تمام",IF($HE31=1,"آخر حصة",IF($HE31=0,"تجديد",IF($HE31=-1,"عليه حصة",IF($HE31=-2,"عليه حصتين","عليه "&amp;(-$HE31)&amp;" حصص")))))))</f>
        <v/>
      </c>
      <c r="G31" s="100" t="n"/>
      <c r="H31" s="101" t="n"/>
      <c r="I31" s="100" t="n"/>
      <c r="J31" s="101" t="n"/>
      <c r="K31" s="100" t="n"/>
      <c r="L31" s="101" t="n"/>
      <c r="M31" s="100" t="n"/>
      <c r="N31" s="101" t="n"/>
      <c r="O31" s="100" t="n"/>
      <c r="P31" s="101" t="n"/>
      <c r="Q31" s="100" t="n"/>
      <c r="R31" s="101" t="n"/>
      <c r="S31" s="100" t="n"/>
      <c r="T31" s="101" t="n"/>
      <c r="U31" s="100" t="n"/>
      <c r="V31" s="101" t="n"/>
      <c r="W31" s="102" t="n"/>
      <c r="X31" s="103" t="n"/>
      <c r="Y31" s="104" t="n"/>
      <c r="Z31" s="103" t="n"/>
      <c r="AA31" s="104" t="n"/>
      <c r="AB31" s="103" t="n"/>
      <c r="AC31" s="104" t="n"/>
      <c r="AD31" s="103" t="n"/>
      <c r="AE31" s="104" t="n"/>
      <c r="AF31" s="103" t="n"/>
      <c r="AG31" s="104" t="n"/>
      <c r="AH31" s="103" t="n"/>
      <c r="AI31" s="104" t="n"/>
      <c r="AJ31" s="103" t="n"/>
      <c r="AK31" s="104" t="n"/>
      <c r="AL31" s="103" t="n"/>
      <c r="AM31" s="104" t="n"/>
      <c r="AN31" s="105" t="n"/>
      <c r="AO31" s="106" t="n"/>
      <c r="AP31" s="107" t="n"/>
      <c r="AQ31" s="106" t="n"/>
      <c r="AR31" s="107" t="n"/>
      <c r="AS31" s="106" t="n"/>
      <c r="AT31" s="107" t="n"/>
      <c r="AU31" s="106" t="n"/>
      <c r="AV31" s="107" t="n"/>
      <c r="AW31" s="106" t="n"/>
      <c r="AX31" s="107" t="n"/>
      <c r="AY31" s="106" t="n"/>
      <c r="AZ31" s="107" t="n"/>
      <c r="BA31" s="106" t="n"/>
      <c r="BB31" s="107" t="n"/>
      <c r="BC31" s="106" t="n"/>
      <c r="BD31" s="107" t="n"/>
      <c r="BE31" s="108" t="n"/>
      <c r="BF31" s="109" t="n"/>
      <c r="BG31" s="110" t="n"/>
      <c r="BH31" s="109" t="n"/>
      <c r="BI31" s="110" t="n"/>
      <c r="BJ31" s="109" t="n"/>
      <c r="BK31" s="110" t="n"/>
      <c r="BL31" s="109" t="n"/>
      <c r="BM31" s="110" t="n"/>
      <c r="BN31" s="109" t="n"/>
      <c r="BO31" s="110" t="n"/>
      <c r="BP31" s="109" t="n"/>
      <c r="BQ31" s="110" t="n"/>
      <c r="BR31" s="109" t="n"/>
      <c r="BS31" s="110" t="n"/>
      <c r="BT31" s="109" t="n"/>
      <c r="BU31" s="110" t="n"/>
      <c r="BV31" s="111" t="n"/>
      <c r="BW31" s="112" t="n"/>
      <c r="BX31" s="113" t="n"/>
      <c r="BY31" s="112" t="n"/>
      <c r="BZ31" s="113" t="n"/>
      <c r="CA31" s="112" t="n"/>
      <c r="CB31" s="113" t="n"/>
      <c r="CC31" s="112" t="n"/>
      <c r="CD31" s="113" t="n"/>
      <c r="CE31" s="112" t="n"/>
      <c r="CF31" s="113" t="n"/>
      <c r="CG31" s="112" t="n"/>
      <c r="CH31" s="113" t="n"/>
      <c r="CI31" s="112" t="n"/>
      <c r="CJ31" s="113" t="n"/>
      <c r="CK31" s="112" t="n"/>
      <c r="CL31" s="113" t="n"/>
      <c r="CM31" s="114" t="n"/>
      <c r="CN31" s="115" t="n"/>
      <c r="CO31" s="116" t="n"/>
      <c r="CP31" s="115" t="n"/>
      <c r="CQ31" s="116" t="n"/>
      <c r="CR31" s="115" t="n"/>
      <c r="CS31" s="116" t="n"/>
      <c r="CT31" s="115" t="n"/>
      <c r="CU31" s="116" t="n"/>
      <c r="CV31" s="115" t="n"/>
      <c r="CW31" s="116" t="n"/>
      <c r="CX31" s="115" t="n"/>
      <c r="CY31" s="116" t="n"/>
      <c r="CZ31" s="115" t="n"/>
      <c r="DA31" s="116" t="n"/>
      <c r="DB31" s="115" t="n"/>
      <c r="DC31" s="116" t="n"/>
      <c r="DD31" s="117" t="n"/>
      <c r="DE31" s="118" t="n"/>
      <c r="DF31" s="119" t="n"/>
      <c r="DG31" s="118" t="n"/>
      <c r="DH31" s="119" t="n"/>
      <c r="DI31" s="118" t="n"/>
      <c r="DJ31" s="119" t="n"/>
      <c r="DK31" s="118" t="n"/>
      <c r="DL31" s="119" t="n"/>
      <c r="DM31" s="118" t="n"/>
      <c r="DN31" s="119" t="n"/>
      <c r="DO31" s="118" t="n"/>
      <c r="DP31" s="119" t="n"/>
      <c r="DQ31" s="118" t="n"/>
      <c r="DR31" s="119" t="n"/>
      <c r="DS31" s="118" t="n"/>
      <c r="DT31" s="119" t="n"/>
      <c r="DU31" s="120" t="n"/>
      <c r="DV31" s="121" t="n"/>
      <c r="DW31" s="122" t="n"/>
      <c r="DX31" s="121" t="n"/>
      <c r="DY31" s="122" t="n"/>
      <c r="DZ31" s="121" t="n"/>
      <c r="EA31" s="122" t="n"/>
      <c r="EB31" s="121" t="n"/>
      <c r="EC31" s="122" t="n"/>
      <c r="ED31" s="121" t="n"/>
      <c r="EE31" s="122" t="n"/>
      <c r="EF31" s="121" t="n"/>
      <c r="EG31" s="122" t="n"/>
      <c r="EH31" s="121" t="n"/>
      <c r="EI31" s="122" t="n"/>
      <c r="EJ31" s="121" t="n"/>
      <c r="EK31" s="122" t="n"/>
      <c r="EL31" s="123" t="n"/>
      <c r="EM31" s="124" t="n"/>
      <c r="EN31" s="125" t="n"/>
      <c r="EO31" s="124" t="n"/>
      <c r="EP31" s="125" t="n"/>
      <c r="EQ31" s="124" t="n"/>
      <c r="ER31" s="125" t="n"/>
      <c r="ES31" s="124" t="n"/>
      <c r="ET31" s="125" t="n"/>
      <c r="EU31" s="124" t="n"/>
      <c r="EV31" s="125" t="n"/>
      <c r="EW31" s="124" t="n"/>
      <c r="EX31" s="125" t="n"/>
      <c r="EY31" s="124" t="n"/>
      <c r="EZ31" s="125" t="n"/>
      <c r="FA31" s="124" t="n"/>
      <c r="FB31" s="125" t="n"/>
      <c r="FC31" s="126" t="n"/>
      <c r="FD31" s="127" t="n"/>
      <c r="FE31" s="128" t="n"/>
      <c r="FF31" s="127" t="n"/>
      <c r="FG31" s="128" t="n"/>
      <c r="FH31" s="127" t="n"/>
      <c r="FI31" s="128" t="n"/>
      <c r="FJ31" s="127" t="n"/>
      <c r="FK31" s="128" t="n"/>
      <c r="FL31" s="127" t="n"/>
      <c r="FM31" s="128" t="n"/>
      <c r="FN31" s="127" t="n"/>
      <c r="FO31" s="128" t="n"/>
      <c r="FP31" s="127" t="n"/>
      <c r="FQ31" s="128" t="n"/>
      <c r="FR31" s="127" t="n"/>
      <c r="FS31" s="128" t="n"/>
      <c r="FT31" s="129" t="n"/>
      <c r="FU31" s="130" t="n"/>
      <c r="FV31" s="131" t="n"/>
      <c r="FW31" s="130" t="n"/>
      <c r="FX31" s="131" t="n"/>
      <c r="FY31" s="130" t="n"/>
      <c r="FZ31" s="131" t="n"/>
      <c r="GA31" s="130" t="n"/>
      <c r="GB31" s="131" t="n"/>
      <c r="GC31" s="130" t="n"/>
      <c r="GD31" s="131" t="n"/>
      <c r="GE31" s="130" t="n"/>
      <c r="GF31" s="131" t="n"/>
      <c r="GG31" s="130" t="n"/>
      <c r="GH31" s="131" t="n"/>
      <c r="GI31" s="130" t="n"/>
      <c r="GJ31" s="131" t="n"/>
      <c r="GK31" s="132" t="n"/>
      <c r="GL31" s="133" t="n"/>
      <c r="GM31" s="134" t="n"/>
      <c r="GN31" s="133" t="n"/>
      <c r="GO31" s="134" t="n"/>
      <c r="GP31" s="133" t="n"/>
      <c r="GQ31" s="134" t="n"/>
      <c r="GR31" s="133" t="n"/>
      <c r="GS31" s="134" t="n"/>
      <c r="GT31" s="133" t="n"/>
      <c r="GU31" s="134" t="n"/>
      <c r="GV31" s="133" t="n"/>
      <c r="GW31" s="134" t="n"/>
      <c r="GX31" s="133" t="n"/>
      <c r="GY31" s="134" t="n"/>
      <c r="GZ31" s="133" t="n"/>
      <c r="HA31" s="134" t="n"/>
      <c r="HB31" s="135" t="n"/>
      <c r="HC31">
        <f>COUNTIFS($G$3:$HB$3,"ح",$G31:$HB31,TRUE)</f>
        <v>0</v>
      </c>
      <c r="HD31">
        <f>COUNTIFS($G$3:$HB$3,"دفع",$G31:$HB31,TRUE)</f>
        <v>0</v>
      </c>
      <c r="HE31">
        <f>8*$HD31-$HC31</f>
        <v>0</v>
      </c>
    </row>
    <row r="32" ht="22.5" customHeight="1">
      <c r="A32" s="36" t="n">
        <v>29</v>
      </c>
      <c r="B32" s="97" t="n"/>
      <c r="C32" s="28" t="n"/>
      <c r="D32" s="98" t="str">
        <f>IF($B32="","",IF($HC32=0,"-",($HC32-8*INT(($HC32-1)/8))&amp;"/8"))</f>
        <v/>
      </c>
      <c r="E32" s="98" t="str">
        <f>IF($B32="","",IF(AND($HC32=0,$HD32=0),"-",$HE32))</f>
        <v/>
      </c>
      <c r="F32" s="99" t="str">
        <f>IF($B32="","",IF(AND($HC32=0,$HD32=0),"جديد",IF($HE32&gt;1,"تمام",IF($HE32=1,"آخر حصة",IF($HE32=0,"تجديد",IF($HE32=-1,"عليه حصة",IF($HE32=-2,"عليه حصتين","عليه "&amp;(-$HE32)&amp;" حصص")))))))</f>
        <v/>
      </c>
      <c r="G32" s="100" t="n"/>
      <c r="H32" s="101" t="n"/>
      <c r="I32" s="100" t="n"/>
      <c r="J32" s="101" t="n"/>
      <c r="K32" s="100" t="n"/>
      <c r="L32" s="101" t="n"/>
      <c r="M32" s="100" t="n"/>
      <c r="N32" s="101" t="n"/>
      <c r="O32" s="100" t="n"/>
      <c r="P32" s="101" t="n"/>
      <c r="Q32" s="100" t="n"/>
      <c r="R32" s="101" t="n"/>
      <c r="S32" s="100" t="n"/>
      <c r="T32" s="101" t="n"/>
      <c r="U32" s="100" t="n"/>
      <c r="V32" s="101" t="n"/>
      <c r="W32" s="102" t="n"/>
      <c r="X32" s="103" t="n"/>
      <c r="Y32" s="104" t="n"/>
      <c r="Z32" s="103" t="n"/>
      <c r="AA32" s="104" t="n"/>
      <c r="AB32" s="103" t="n"/>
      <c r="AC32" s="104" t="n"/>
      <c r="AD32" s="103" t="n"/>
      <c r="AE32" s="104" t="n"/>
      <c r="AF32" s="103" t="n"/>
      <c r="AG32" s="104" t="n"/>
      <c r="AH32" s="103" t="n"/>
      <c r="AI32" s="104" t="n"/>
      <c r="AJ32" s="103" t="n"/>
      <c r="AK32" s="104" t="n"/>
      <c r="AL32" s="103" t="n"/>
      <c r="AM32" s="104" t="n"/>
      <c r="AN32" s="105" t="n"/>
      <c r="AO32" s="106" t="n"/>
      <c r="AP32" s="107" t="n"/>
      <c r="AQ32" s="106" t="n"/>
      <c r="AR32" s="107" t="n"/>
      <c r="AS32" s="106" t="n"/>
      <c r="AT32" s="107" t="n"/>
      <c r="AU32" s="106" t="n"/>
      <c r="AV32" s="107" t="n"/>
      <c r="AW32" s="106" t="n"/>
      <c r="AX32" s="107" t="n"/>
      <c r="AY32" s="106" t="n"/>
      <c r="AZ32" s="107" t="n"/>
      <c r="BA32" s="106" t="n"/>
      <c r="BB32" s="107" t="n"/>
      <c r="BC32" s="106" t="n"/>
      <c r="BD32" s="107" t="n"/>
      <c r="BE32" s="108" t="n"/>
      <c r="BF32" s="109" t="n"/>
      <c r="BG32" s="110" t="n"/>
      <c r="BH32" s="109" t="n"/>
      <c r="BI32" s="110" t="n"/>
      <c r="BJ32" s="109" t="n"/>
      <c r="BK32" s="110" t="n"/>
      <c r="BL32" s="109" t="n"/>
      <c r="BM32" s="110" t="n"/>
      <c r="BN32" s="109" t="n"/>
      <c r="BO32" s="110" t="n"/>
      <c r="BP32" s="109" t="n"/>
      <c r="BQ32" s="110" t="n"/>
      <c r="BR32" s="109" t="n"/>
      <c r="BS32" s="110" t="n"/>
      <c r="BT32" s="109" t="n"/>
      <c r="BU32" s="110" t="n"/>
      <c r="BV32" s="111" t="n"/>
      <c r="BW32" s="112" t="n"/>
      <c r="BX32" s="113" t="n"/>
      <c r="BY32" s="112" t="n"/>
      <c r="BZ32" s="113" t="n"/>
      <c r="CA32" s="112" t="n"/>
      <c r="CB32" s="113" t="n"/>
      <c r="CC32" s="112" t="n"/>
      <c r="CD32" s="113" t="n"/>
      <c r="CE32" s="112" t="n"/>
      <c r="CF32" s="113" t="n"/>
      <c r="CG32" s="112" t="n"/>
      <c r="CH32" s="113" t="n"/>
      <c r="CI32" s="112" t="n"/>
      <c r="CJ32" s="113" t="n"/>
      <c r="CK32" s="112" t="n"/>
      <c r="CL32" s="113" t="n"/>
      <c r="CM32" s="114" t="n"/>
      <c r="CN32" s="115" t="n"/>
      <c r="CO32" s="116" t="n"/>
      <c r="CP32" s="115" t="n"/>
      <c r="CQ32" s="116" t="n"/>
      <c r="CR32" s="115" t="n"/>
      <c r="CS32" s="116" t="n"/>
      <c r="CT32" s="115" t="n"/>
      <c r="CU32" s="116" t="n"/>
      <c r="CV32" s="115" t="n"/>
      <c r="CW32" s="116" t="n"/>
      <c r="CX32" s="115" t="n"/>
      <c r="CY32" s="116" t="n"/>
      <c r="CZ32" s="115" t="n"/>
      <c r="DA32" s="116" t="n"/>
      <c r="DB32" s="115" t="n"/>
      <c r="DC32" s="116" t="n"/>
      <c r="DD32" s="117" t="n"/>
      <c r="DE32" s="118" t="n"/>
      <c r="DF32" s="119" t="n"/>
      <c r="DG32" s="118" t="n"/>
      <c r="DH32" s="119" t="n"/>
      <c r="DI32" s="118" t="n"/>
      <c r="DJ32" s="119" t="n"/>
      <c r="DK32" s="118" t="n"/>
      <c r="DL32" s="119" t="n"/>
      <c r="DM32" s="118" t="n"/>
      <c r="DN32" s="119" t="n"/>
      <c r="DO32" s="118" t="n"/>
      <c r="DP32" s="119" t="n"/>
      <c r="DQ32" s="118" t="n"/>
      <c r="DR32" s="119" t="n"/>
      <c r="DS32" s="118" t="n"/>
      <c r="DT32" s="119" t="n"/>
      <c r="DU32" s="120" t="n"/>
      <c r="DV32" s="121" t="n"/>
      <c r="DW32" s="122" t="n"/>
      <c r="DX32" s="121" t="n"/>
      <c r="DY32" s="122" t="n"/>
      <c r="DZ32" s="121" t="n"/>
      <c r="EA32" s="122" t="n"/>
      <c r="EB32" s="121" t="n"/>
      <c r="EC32" s="122" t="n"/>
      <c r="ED32" s="121" t="n"/>
      <c r="EE32" s="122" t="n"/>
      <c r="EF32" s="121" t="n"/>
      <c r="EG32" s="122" t="n"/>
      <c r="EH32" s="121" t="n"/>
      <c r="EI32" s="122" t="n"/>
      <c r="EJ32" s="121" t="n"/>
      <c r="EK32" s="122" t="n"/>
      <c r="EL32" s="123" t="n"/>
      <c r="EM32" s="124" t="n"/>
      <c r="EN32" s="125" t="n"/>
      <c r="EO32" s="124" t="n"/>
      <c r="EP32" s="125" t="n"/>
      <c r="EQ32" s="124" t="n"/>
      <c r="ER32" s="125" t="n"/>
      <c r="ES32" s="124" t="n"/>
      <c r="ET32" s="125" t="n"/>
      <c r="EU32" s="124" t="n"/>
      <c r="EV32" s="125" t="n"/>
      <c r="EW32" s="124" t="n"/>
      <c r="EX32" s="125" t="n"/>
      <c r="EY32" s="124" t="n"/>
      <c r="EZ32" s="125" t="n"/>
      <c r="FA32" s="124" t="n"/>
      <c r="FB32" s="125" t="n"/>
      <c r="FC32" s="126" t="n"/>
      <c r="FD32" s="127" t="n"/>
      <c r="FE32" s="128" t="n"/>
      <c r="FF32" s="127" t="n"/>
      <c r="FG32" s="128" t="n"/>
      <c r="FH32" s="127" t="n"/>
      <c r="FI32" s="128" t="n"/>
      <c r="FJ32" s="127" t="n"/>
      <c r="FK32" s="128" t="n"/>
      <c r="FL32" s="127" t="n"/>
      <c r="FM32" s="128" t="n"/>
      <c r="FN32" s="127" t="n"/>
      <c r="FO32" s="128" t="n"/>
      <c r="FP32" s="127" t="n"/>
      <c r="FQ32" s="128" t="n"/>
      <c r="FR32" s="127" t="n"/>
      <c r="FS32" s="128" t="n"/>
      <c r="FT32" s="129" t="n"/>
      <c r="FU32" s="130" t="n"/>
      <c r="FV32" s="131" t="n"/>
      <c r="FW32" s="130" t="n"/>
      <c r="FX32" s="131" t="n"/>
      <c r="FY32" s="130" t="n"/>
      <c r="FZ32" s="131" t="n"/>
      <c r="GA32" s="130" t="n"/>
      <c r="GB32" s="131" t="n"/>
      <c r="GC32" s="130" t="n"/>
      <c r="GD32" s="131" t="n"/>
      <c r="GE32" s="130" t="n"/>
      <c r="GF32" s="131" t="n"/>
      <c r="GG32" s="130" t="n"/>
      <c r="GH32" s="131" t="n"/>
      <c r="GI32" s="130" t="n"/>
      <c r="GJ32" s="131" t="n"/>
      <c r="GK32" s="132" t="n"/>
      <c r="GL32" s="133" t="n"/>
      <c r="GM32" s="134" t="n"/>
      <c r="GN32" s="133" t="n"/>
      <c r="GO32" s="134" t="n"/>
      <c r="GP32" s="133" t="n"/>
      <c r="GQ32" s="134" t="n"/>
      <c r="GR32" s="133" t="n"/>
      <c r="GS32" s="134" t="n"/>
      <c r="GT32" s="133" t="n"/>
      <c r="GU32" s="134" t="n"/>
      <c r="GV32" s="133" t="n"/>
      <c r="GW32" s="134" t="n"/>
      <c r="GX32" s="133" t="n"/>
      <c r="GY32" s="134" t="n"/>
      <c r="GZ32" s="133" t="n"/>
      <c r="HA32" s="134" t="n"/>
      <c r="HB32" s="135" t="n"/>
      <c r="HC32">
        <f>COUNTIFS($G$3:$HB$3,"ح",$G32:$HB32,TRUE)</f>
        <v>0</v>
      </c>
      <c r="HD32">
        <f>COUNTIFS($G$3:$HB$3,"دفع",$G32:$HB32,TRUE)</f>
        <v>0</v>
      </c>
      <c r="HE32">
        <f>8*$HD32-$HC32</f>
        <v>0</v>
      </c>
    </row>
    <row r="33" ht="22.5" customHeight="1">
      <c r="A33" s="36" t="n">
        <v>30</v>
      </c>
      <c r="B33" s="97" t="n"/>
      <c r="C33" s="28" t="n"/>
      <c r="D33" s="98" t="str">
        <f>IF($B33="","",IF($HC33=0,"-",($HC33-8*INT(($HC33-1)/8))&amp;"/8"))</f>
        <v/>
      </c>
      <c r="E33" s="98" t="str">
        <f>IF($B33="","",IF(AND($HC33=0,$HD33=0),"-",$HE33))</f>
        <v/>
      </c>
      <c r="F33" s="99" t="str">
        <f>IF($B33="","",IF(AND($HC33=0,$HD33=0),"جديد",IF($HE33&gt;1,"تمام",IF($HE33=1,"آخر حصة",IF($HE33=0,"تجديد",IF($HE33=-1,"عليه حصة",IF($HE33=-2,"عليه حصتين","عليه "&amp;(-$HE33)&amp;" حصص")))))))</f>
        <v/>
      </c>
      <c r="G33" s="100" t="n"/>
      <c r="H33" s="101" t="n"/>
      <c r="I33" s="100" t="n"/>
      <c r="J33" s="101" t="n"/>
      <c r="K33" s="100" t="n"/>
      <c r="L33" s="101" t="n"/>
      <c r="M33" s="100" t="n"/>
      <c r="N33" s="101" t="n"/>
      <c r="O33" s="100" t="n"/>
      <c r="P33" s="101" t="n"/>
      <c r="Q33" s="100" t="n"/>
      <c r="R33" s="101" t="n"/>
      <c r="S33" s="100" t="n"/>
      <c r="T33" s="101" t="n"/>
      <c r="U33" s="100" t="n"/>
      <c r="V33" s="101" t="n"/>
      <c r="W33" s="102" t="n"/>
      <c r="X33" s="103" t="n"/>
      <c r="Y33" s="104" t="n"/>
      <c r="Z33" s="103" t="n"/>
      <c r="AA33" s="104" t="n"/>
      <c r="AB33" s="103" t="n"/>
      <c r="AC33" s="104" t="n"/>
      <c r="AD33" s="103" t="n"/>
      <c r="AE33" s="104" t="n"/>
      <c r="AF33" s="103" t="n"/>
      <c r="AG33" s="104" t="n"/>
      <c r="AH33" s="103" t="n"/>
      <c r="AI33" s="104" t="n"/>
      <c r="AJ33" s="103" t="n"/>
      <c r="AK33" s="104" t="n"/>
      <c r="AL33" s="103" t="n"/>
      <c r="AM33" s="104" t="n"/>
      <c r="AN33" s="105" t="n"/>
      <c r="AO33" s="106" t="n"/>
      <c r="AP33" s="107" t="n"/>
      <c r="AQ33" s="106" t="n"/>
      <c r="AR33" s="107" t="n"/>
      <c r="AS33" s="106" t="n"/>
      <c r="AT33" s="107" t="n"/>
      <c r="AU33" s="106" t="n"/>
      <c r="AV33" s="107" t="n"/>
      <c r="AW33" s="106" t="n"/>
      <c r="AX33" s="107" t="n"/>
      <c r="AY33" s="106" t="n"/>
      <c r="AZ33" s="107" t="n"/>
      <c r="BA33" s="106" t="n"/>
      <c r="BB33" s="107" t="n"/>
      <c r="BC33" s="106" t="n"/>
      <c r="BD33" s="107" t="n"/>
      <c r="BE33" s="108" t="n"/>
      <c r="BF33" s="109" t="n"/>
      <c r="BG33" s="110" t="n"/>
      <c r="BH33" s="109" t="n"/>
      <c r="BI33" s="110" t="n"/>
      <c r="BJ33" s="109" t="n"/>
      <c r="BK33" s="110" t="n"/>
      <c r="BL33" s="109" t="n"/>
      <c r="BM33" s="110" t="n"/>
      <c r="BN33" s="109" t="n"/>
      <c r="BO33" s="110" t="n"/>
      <c r="BP33" s="109" t="n"/>
      <c r="BQ33" s="110" t="n"/>
      <c r="BR33" s="109" t="n"/>
      <c r="BS33" s="110" t="n"/>
      <c r="BT33" s="109" t="n"/>
      <c r="BU33" s="110" t="n"/>
      <c r="BV33" s="111" t="n"/>
      <c r="BW33" s="112" t="n"/>
      <c r="BX33" s="113" t="n"/>
      <c r="BY33" s="112" t="n"/>
      <c r="BZ33" s="113" t="n"/>
      <c r="CA33" s="112" t="n"/>
      <c r="CB33" s="113" t="n"/>
      <c r="CC33" s="112" t="n"/>
      <c r="CD33" s="113" t="n"/>
      <c r="CE33" s="112" t="n"/>
      <c r="CF33" s="113" t="n"/>
      <c r="CG33" s="112" t="n"/>
      <c r="CH33" s="113" t="n"/>
      <c r="CI33" s="112" t="n"/>
      <c r="CJ33" s="113" t="n"/>
      <c r="CK33" s="112" t="n"/>
      <c r="CL33" s="113" t="n"/>
      <c r="CM33" s="114" t="n"/>
      <c r="CN33" s="115" t="n"/>
      <c r="CO33" s="116" t="n"/>
      <c r="CP33" s="115" t="n"/>
      <c r="CQ33" s="116" t="n"/>
      <c r="CR33" s="115" t="n"/>
      <c r="CS33" s="116" t="n"/>
      <c r="CT33" s="115" t="n"/>
      <c r="CU33" s="116" t="n"/>
      <c r="CV33" s="115" t="n"/>
      <c r="CW33" s="116" t="n"/>
      <c r="CX33" s="115" t="n"/>
      <c r="CY33" s="116" t="n"/>
      <c r="CZ33" s="115" t="n"/>
      <c r="DA33" s="116" t="n"/>
      <c r="DB33" s="115" t="n"/>
      <c r="DC33" s="116" t="n"/>
      <c r="DD33" s="117" t="n"/>
      <c r="DE33" s="118" t="n"/>
      <c r="DF33" s="119" t="n"/>
      <c r="DG33" s="118" t="n"/>
      <c r="DH33" s="119" t="n"/>
      <c r="DI33" s="118" t="n"/>
      <c r="DJ33" s="119" t="n"/>
      <c r="DK33" s="118" t="n"/>
      <c r="DL33" s="119" t="n"/>
      <c r="DM33" s="118" t="n"/>
      <c r="DN33" s="119" t="n"/>
      <c r="DO33" s="118" t="n"/>
      <c r="DP33" s="119" t="n"/>
      <c r="DQ33" s="118" t="n"/>
      <c r="DR33" s="119" t="n"/>
      <c r="DS33" s="118" t="n"/>
      <c r="DT33" s="119" t="n"/>
      <c r="DU33" s="120" t="n"/>
      <c r="DV33" s="121" t="n"/>
      <c r="DW33" s="122" t="n"/>
      <c r="DX33" s="121" t="n"/>
      <c r="DY33" s="122" t="n"/>
      <c r="DZ33" s="121" t="n"/>
      <c r="EA33" s="122" t="n"/>
      <c r="EB33" s="121" t="n"/>
      <c r="EC33" s="122" t="n"/>
      <c r="ED33" s="121" t="n"/>
      <c r="EE33" s="122" t="n"/>
      <c r="EF33" s="121" t="n"/>
      <c r="EG33" s="122" t="n"/>
      <c r="EH33" s="121" t="n"/>
      <c r="EI33" s="122" t="n"/>
      <c r="EJ33" s="121" t="n"/>
      <c r="EK33" s="122" t="n"/>
      <c r="EL33" s="123" t="n"/>
      <c r="EM33" s="124" t="n"/>
      <c r="EN33" s="125" t="n"/>
      <c r="EO33" s="124" t="n"/>
      <c r="EP33" s="125" t="n"/>
      <c r="EQ33" s="124" t="n"/>
      <c r="ER33" s="125" t="n"/>
      <c r="ES33" s="124" t="n"/>
      <c r="ET33" s="125" t="n"/>
      <c r="EU33" s="124" t="n"/>
      <c r="EV33" s="125" t="n"/>
      <c r="EW33" s="124" t="n"/>
      <c r="EX33" s="125" t="n"/>
      <c r="EY33" s="124" t="n"/>
      <c r="EZ33" s="125" t="n"/>
      <c r="FA33" s="124" t="n"/>
      <c r="FB33" s="125" t="n"/>
      <c r="FC33" s="126" t="n"/>
      <c r="FD33" s="127" t="n"/>
      <c r="FE33" s="128" t="n"/>
      <c r="FF33" s="127" t="n"/>
      <c r="FG33" s="128" t="n"/>
      <c r="FH33" s="127" t="n"/>
      <c r="FI33" s="128" t="n"/>
      <c r="FJ33" s="127" t="n"/>
      <c r="FK33" s="128" t="n"/>
      <c r="FL33" s="127" t="n"/>
      <c r="FM33" s="128" t="n"/>
      <c r="FN33" s="127" t="n"/>
      <c r="FO33" s="128" t="n"/>
      <c r="FP33" s="127" t="n"/>
      <c r="FQ33" s="128" t="n"/>
      <c r="FR33" s="127" t="n"/>
      <c r="FS33" s="128" t="n"/>
      <c r="FT33" s="129" t="n"/>
      <c r="FU33" s="130" t="n"/>
      <c r="FV33" s="131" t="n"/>
      <c r="FW33" s="130" t="n"/>
      <c r="FX33" s="131" t="n"/>
      <c r="FY33" s="130" t="n"/>
      <c r="FZ33" s="131" t="n"/>
      <c r="GA33" s="130" t="n"/>
      <c r="GB33" s="131" t="n"/>
      <c r="GC33" s="130" t="n"/>
      <c r="GD33" s="131" t="n"/>
      <c r="GE33" s="130" t="n"/>
      <c r="GF33" s="131" t="n"/>
      <c r="GG33" s="130" t="n"/>
      <c r="GH33" s="131" t="n"/>
      <c r="GI33" s="130" t="n"/>
      <c r="GJ33" s="131" t="n"/>
      <c r="GK33" s="132" t="n"/>
      <c r="GL33" s="133" t="n"/>
      <c r="GM33" s="134" t="n"/>
      <c r="GN33" s="133" t="n"/>
      <c r="GO33" s="134" t="n"/>
      <c r="GP33" s="133" t="n"/>
      <c r="GQ33" s="134" t="n"/>
      <c r="GR33" s="133" t="n"/>
      <c r="GS33" s="134" t="n"/>
      <c r="GT33" s="133" t="n"/>
      <c r="GU33" s="134" t="n"/>
      <c r="GV33" s="133" t="n"/>
      <c r="GW33" s="134" t="n"/>
      <c r="GX33" s="133" t="n"/>
      <c r="GY33" s="134" t="n"/>
      <c r="GZ33" s="133" t="n"/>
      <c r="HA33" s="134" t="n"/>
      <c r="HB33" s="135" t="n"/>
      <c r="HC33">
        <f>COUNTIFS($G$3:$HB$3,"ح",$G33:$HB33,TRUE)</f>
        <v>0</v>
      </c>
      <c r="HD33">
        <f>COUNTIFS($G$3:$HB$3,"دفع",$G33:$HB33,TRUE)</f>
        <v>0</v>
      </c>
      <c r="HE33">
        <f>8*$HD33-$HC33</f>
        <v>0</v>
      </c>
    </row>
    <row r="34" ht="10.5" customHeight="1"/>
    <row r="35" ht="21" customHeight="1">
      <c r="A35" s="76" t="inlineStr">
        <is>
          <t>الدرجات</t>
        </is>
      </c>
      <c r="B35" s="4" t="n"/>
      <c r="C35" s="156" t="inlineStr">
        <is>
          <t>اكتبي الدرجة، وجنبها النهائية (من)</t>
        </is>
      </c>
      <c r="D35" s="13" t="n"/>
      <c r="E35" s="13" t="n"/>
      <c r="F35" s="4" t="n"/>
      <c r="G35" s="59" t="inlineStr">
        <is>
          <t>حصة 1</t>
        </is>
      </c>
      <c r="H35" s="4" t="n"/>
      <c r="I35" s="59" t="inlineStr">
        <is>
          <t>حصة 2</t>
        </is>
      </c>
      <c r="J35" s="4" t="n"/>
      <c r="K35" s="59" t="inlineStr">
        <is>
          <t>حصة 3</t>
        </is>
      </c>
      <c r="L35" s="4" t="n"/>
      <c r="M35" s="59" t="inlineStr">
        <is>
          <t>حصة 4</t>
        </is>
      </c>
      <c r="N35" s="4" t="n"/>
      <c r="O35" s="59" t="inlineStr">
        <is>
          <t>حصة 5</t>
        </is>
      </c>
      <c r="P35" s="4" t="n"/>
      <c r="Q35" s="59" t="inlineStr">
        <is>
          <t>حصة 6</t>
        </is>
      </c>
      <c r="R35" s="4" t="n"/>
      <c r="S35" s="59" t="inlineStr">
        <is>
          <t>حصة 7</t>
        </is>
      </c>
      <c r="T35" s="4" t="n"/>
      <c r="U35" s="59" t="inlineStr">
        <is>
          <t>حصة 8</t>
        </is>
      </c>
      <c r="V35" s="4" t="n"/>
      <c r="W35" s="59" t="inlineStr">
        <is>
          <t>ملاحظات</t>
        </is>
      </c>
      <c r="X35" s="60" t="inlineStr">
        <is>
          <t>حصة 1</t>
        </is>
      </c>
      <c r="Y35" s="4" t="n"/>
      <c r="Z35" s="60" t="inlineStr">
        <is>
          <t>حصة 2</t>
        </is>
      </c>
      <c r="AA35" s="4" t="n"/>
      <c r="AB35" s="60" t="inlineStr">
        <is>
          <t>حصة 3</t>
        </is>
      </c>
      <c r="AC35" s="4" t="n"/>
      <c r="AD35" s="60" t="inlineStr">
        <is>
          <t>حصة 4</t>
        </is>
      </c>
      <c r="AE35" s="4" t="n"/>
      <c r="AF35" s="60" t="inlineStr">
        <is>
          <t>حصة 5</t>
        </is>
      </c>
      <c r="AG35" s="4" t="n"/>
      <c r="AH35" s="60" t="inlineStr">
        <is>
          <t>حصة 6</t>
        </is>
      </c>
      <c r="AI35" s="4" t="n"/>
      <c r="AJ35" s="60" t="inlineStr">
        <is>
          <t>حصة 7</t>
        </is>
      </c>
      <c r="AK35" s="4" t="n"/>
      <c r="AL35" s="60" t="inlineStr">
        <is>
          <t>حصة 8</t>
        </is>
      </c>
      <c r="AM35" s="4" t="n"/>
      <c r="AN35" s="60" t="inlineStr">
        <is>
          <t>ملاحظات</t>
        </is>
      </c>
      <c r="AO35" s="61" t="inlineStr">
        <is>
          <t>حصة 1</t>
        </is>
      </c>
      <c r="AP35" s="4" t="n"/>
      <c r="AQ35" s="61" t="inlineStr">
        <is>
          <t>حصة 2</t>
        </is>
      </c>
      <c r="AR35" s="4" t="n"/>
      <c r="AS35" s="61" t="inlineStr">
        <is>
          <t>حصة 3</t>
        </is>
      </c>
      <c r="AT35" s="4" t="n"/>
      <c r="AU35" s="61" t="inlineStr">
        <is>
          <t>حصة 4</t>
        </is>
      </c>
      <c r="AV35" s="4" t="n"/>
      <c r="AW35" s="61" t="inlineStr">
        <is>
          <t>حصة 5</t>
        </is>
      </c>
      <c r="AX35" s="4" t="n"/>
      <c r="AY35" s="61" t="inlineStr">
        <is>
          <t>حصة 6</t>
        </is>
      </c>
      <c r="AZ35" s="4" t="n"/>
      <c r="BA35" s="61" t="inlineStr">
        <is>
          <t>حصة 7</t>
        </is>
      </c>
      <c r="BB35" s="4" t="n"/>
      <c r="BC35" s="61" t="inlineStr">
        <is>
          <t>حصة 8</t>
        </is>
      </c>
      <c r="BD35" s="4" t="n"/>
      <c r="BE35" s="61" t="inlineStr">
        <is>
          <t>ملاحظات</t>
        </is>
      </c>
      <c r="BF35" s="62" t="inlineStr">
        <is>
          <t>حصة 1</t>
        </is>
      </c>
      <c r="BG35" s="4" t="n"/>
      <c r="BH35" s="62" t="inlineStr">
        <is>
          <t>حصة 2</t>
        </is>
      </c>
      <c r="BI35" s="4" t="n"/>
      <c r="BJ35" s="62" t="inlineStr">
        <is>
          <t>حصة 3</t>
        </is>
      </c>
      <c r="BK35" s="4" t="n"/>
      <c r="BL35" s="62" t="inlineStr">
        <is>
          <t>حصة 4</t>
        </is>
      </c>
      <c r="BM35" s="4" t="n"/>
      <c r="BN35" s="62" t="inlineStr">
        <is>
          <t>حصة 5</t>
        </is>
      </c>
      <c r="BO35" s="4" t="n"/>
      <c r="BP35" s="62" t="inlineStr">
        <is>
          <t>حصة 6</t>
        </is>
      </c>
      <c r="BQ35" s="4" t="n"/>
      <c r="BR35" s="62" t="inlineStr">
        <is>
          <t>حصة 7</t>
        </is>
      </c>
      <c r="BS35" s="4" t="n"/>
      <c r="BT35" s="62" t="inlineStr">
        <is>
          <t>حصة 8</t>
        </is>
      </c>
      <c r="BU35" s="4" t="n"/>
      <c r="BV35" s="62" t="inlineStr">
        <is>
          <t>ملاحظات</t>
        </is>
      </c>
      <c r="BW35" s="63" t="inlineStr">
        <is>
          <t>حصة 1</t>
        </is>
      </c>
      <c r="BX35" s="4" t="n"/>
      <c r="BY35" s="63" t="inlineStr">
        <is>
          <t>حصة 2</t>
        </is>
      </c>
      <c r="BZ35" s="4" t="n"/>
      <c r="CA35" s="63" t="inlineStr">
        <is>
          <t>حصة 3</t>
        </is>
      </c>
      <c r="CB35" s="4" t="n"/>
      <c r="CC35" s="63" t="inlineStr">
        <is>
          <t>حصة 4</t>
        </is>
      </c>
      <c r="CD35" s="4" t="n"/>
      <c r="CE35" s="63" t="inlineStr">
        <is>
          <t>حصة 5</t>
        </is>
      </c>
      <c r="CF35" s="4" t="n"/>
      <c r="CG35" s="63" t="inlineStr">
        <is>
          <t>حصة 6</t>
        </is>
      </c>
      <c r="CH35" s="4" t="n"/>
      <c r="CI35" s="63" t="inlineStr">
        <is>
          <t>حصة 7</t>
        </is>
      </c>
      <c r="CJ35" s="4" t="n"/>
      <c r="CK35" s="63" t="inlineStr">
        <is>
          <t>حصة 8</t>
        </is>
      </c>
      <c r="CL35" s="4" t="n"/>
      <c r="CM35" s="63" t="inlineStr">
        <is>
          <t>ملاحظات</t>
        </is>
      </c>
      <c r="CN35" s="64" t="inlineStr">
        <is>
          <t>حصة 1</t>
        </is>
      </c>
      <c r="CO35" s="4" t="n"/>
      <c r="CP35" s="64" t="inlineStr">
        <is>
          <t>حصة 2</t>
        </is>
      </c>
      <c r="CQ35" s="4" t="n"/>
      <c r="CR35" s="64" t="inlineStr">
        <is>
          <t>حصة 3</t>
        </is>
      </c>
      <c r="CS35" s="4" t="n"/>
      <c r="CT35" s="64" t="inlineStr">
        <is>
          <t>حصة 4</t>
        </is>
      </c>
      <c r="CU35" s="4" t="n"/>
      <c r="CV35" s="64" t="inlineStr">
        <is>
          <t>حصة 5</t>
        </is>
      </c>
      <c r="CW35" s="4" t="n"/>
      <c r="CX35" s="64" t="inlineStr">
        <is>
          <t>حصة 6</t>
        </is>
      </c>
      <c r="CY35" s="4" t="n"/>
      <c r="CZ35" s="64" t="inlineStr">
        <is>
          <t>حصة 7</t>
        </is>
      </c>
      <c r="DA35" s="4" t="n"/>
      <c r="DB35" s="64" t="inlineStr">
        <is>
          <t>حصة 8</t>
        </is>
      </c>
      <c r="DC35" s="4" t="n"/>
      <c r="DD35" s="64" t="inlineStr">
        <is>
          <t>ملاحظات</t>
        </is>
      </c>
      <c r="DE35" s="65" t="inlineStr">
        <is>
          <t>حصة 1</t>
        </is>
      </c>
      <c r="DF35" s="4" t="n"/>
      <c r="DG35" s="65" t="inlineStr">
        <is>
          <t>حصة 2</t>
        </is>
      </c>
      <c r="DH35" s="4" t="n"/>
      <c r="DI35" s="65" t="inlineStr">
        <is>
          <t>حصة 3</t>
        </is>
      </c>
      <c r="DJ35" s="4" t="n"/>
      <c r="DK35" s="65" t="inlineStr">
        <is>
          <t>حصة 4</t>
        </is>
      </c>
      <c r="DL35" s="4" t="n"/>
      <c r="DM35" s="65" t="inlineStr">
        <is>
          <t>حصة 5</t>
        </is>
      </c>
      <c r="DN35" s="4" t="n"/>
      <c r="DO35" s="65" t="inlineStr">
        <is>
          <t>حصة 6</t>
        </is>
      </c>
      <c r="DP35" s="4" t="n"/>
      <c r="DQ35" s="65" t="inlineStr">
        <is>
          <t>حصة 7</t>
        </is>
      </c>
      <c r="DR35" s="4" t="n"/>
      <c r="DS35" s="65" t="inlineStr">
        <is>
          <t>حصة 8</t>
        </is>
      </c>
      <c r="DT35" s="4" t="n"/>
      <c r="DU35" s="65" t="inlineStr">
        <is>
          <t>ملاحظات</t>
        </is>
      </c>
      <c r="DV35" s="66" t="inlineStr">
        <is>
          <t>حصة 1</t>
        </is>
      </c>
      <c r="DW35" s="4" t="n"/>
      <c r="DX35" s="66" t="inlineStr">
        <is>
          <t>حصة 2</t>
        </is>
      </c>
      <c r="DY35" s="4" t="n"/>
      <c r="DZ35" s="66" t="inlineStr">
        <is>
          <t>حصة 3</t>
        </is>
      </c>
      <c r="EA35" s="4" t="n"/>
      <c r="EB35" s="66" t="inlineStr">
        <is>
          <t>حصة 4</t>
        </is>
      </c>
      <c r="EC35" s="4" t="n"/>
      <c r="ED35" s="66" t="inlineStr">
        <is>
          <t>حصة 5</t>
        </is>
      </c>
      <c r="EE35" s="4" t="n"/>
      <c r="EF35" s="66" t="inlineStr">
        <is>
          <t>حصة 6</t>
        </is>
      </c>
      <c r="EG35" s="4" t="n"/>
      <c r="EH35" s="66" t="inlineStr">
        <is>
          <t>حصة 7</t>
        </is>
      </c>
      <c r="EI35" s="4" t="n"/>
      <c r="EJ35" s="66" t="inlineStr">
        <is>
          <t>حصة 8</t>
        </is>
      </c>
      <c r="EK35" s="4" t="n"/>
      <c r="EL35" s="66" t="inlineStr">
        <is>
          <t>ملاحظات</t>
        </is>
      </c>
      <c r="EM35" s="67" t="inlineStr">
        <is>
          <t>حصة 1</t>
        </is>
      </c>
      <c r="EN35" s="4" t="n"/>
      <c r="EO35" s="67" t="inlineStr">
        <is>
          <t>حصة 2</t>
        </is>
      </c>
      <c r="EP35" s="4" t="n"/>
      <c r="EQ35" s="67" t="inlineStr">
        <is>
          <t>حصة 3</t>
        </is>
      </c>
      <c r="ER35" s="4" t="n"/>
      <c r="ES35" s="67" t="inlineStr">
        <is>
          <t>حصة 4</t>
        </is>
      </c>
      <c r="ET35" s="4" t="n"/>
      <c r="EU35" s="67" t="inlineStr">
        <is>
          <t>حصة 5</t>
        </is>
      </c>
      <c r="EV35" s="4" t="n"/>
      <c r="EW35" s="67" t="inlineStr">
        <is>
          <t>حصة 6</t>
        </is>
      </c>
      <c r="EX35" s="4" t="n"/>
      <c r="EY35" s="67" t="inlineStr">
        <is>
          <t>حصة 7</t>
        </is>
      </c>
      <c r="EZ35" s="4" t="n"/>
      <c r="FA35" s="67" t="inlineStr">
        <is>
          <t>حصة 8</t>
        </is>
      </c>
      <c r="FB35" s="4" t="n"/>
      <c r="FC35" s="67" t="inlineStr">
        <is>
          <t>ملاحظات</t>
        </is>
      </c>
      <c r="FD35" s="68" t="inlineStr">
        <is>
          <t>حصة 1</t>
        </is>
      </c>
      <c r="FE35" s="4" t="n"/>
      <c r="FF35" s="68" t="inlineStr">
        <is>
          <t>حصة 2</t>
        </is>
      </c>
      <c r="FG35" s="4" t="n"/>
      <c r="FH35" s="68" t="inlineStr">
        <is>
          <t>حصة 3</t>
        </is>
      </c>
      <c r="FI35" s="4" t="n"/>
      <c r="FJ35" s="68" t="inlineStr">
        <is>
          <t>حصة 4</t>
        </is>
      </c>
      <c r="FK35" s="4" t="n"/>
      <c r="FL35" s="68" t="inlineStr">
        <is>
          <t>حصة 5</t>
        </is>
      </c>
      <c r="FM35" s="4" t="n"/>
      <c r="FN35" s="68" t="inlineStr">
        <is>
          <t>حصة 6</t>
        </is>
      </c>
      <c r="FO35" s="4" t="n"/>
      <c r="FP35" s="68" t="inlineStr">
        <is>
          <t>حصة 7</t>
        </is>
      </c>
      <c r="FQ35" s="4" t="n"/>
      <c r="FR35" s="68" t="inlineStr">
        <is>
          <t>حصة 8</t>
        </is>
      </c>
      <c r="FS35" s="4" t="n"/>
      <c r="FT35" s="68" t="inlineStr">
        <is>
          <t>ملاحظات</t>
        </is>
      </c>
      <c r="FU35" s="69" t="inlineStr">
        <is>
          <t>حصة 1</t>
        </is>
      </c>
      <c r="FV35" s="4" t="n"/>
      <c r="FW35" s="69" t="inlineStr">
        <is>
          <t>حصة 2</t>
        </is>
      </c>
      <c r="FX35" s="4" t="n"/>
      <c r="FY35" s="69" t="inlineStr">
        <is>
          <t>حصة 3</t>
        </is>
      </c>
      <c r="FZ35" s="4" t="n"/>
      <c r="GA35" s="69" t="inlineStr">
        <is>
          <t>حصة 4</t>
        </is>
      </c>
      <c r="GB35" s="4" t="n"/>
      <c r="GC35" s="69" t="inlineStr">
        <is>
          <t>حصة 5</t>
        </is>
      </c>
      <c r="GD35" s="4" t="n"/>
      <c r="GE35" s="69" t="inlineStr">
        <is>
          <t>حصة 6</t>
        </is>
      </c>
      <c r="GF35" s="4" t="n"/>
      <c r="GG35" s="69" t="inlineStr">
        <is>
          <t>حصة 7</t>
        </is>
      </c>
      <c r="GH35" s="4" t="n"/>
      <c r="GI35" s="69" t="inlineStr">
        <is>
          <t>حصة 8</t>
        </is>
      </c>
      <c r="GJ35" s="4" t="n"/>
      <c r="GK35" s="69" t="inlineStr">
        <is>
          <t>ملاحظات</t>
        </is>
      </c>
      <c r="GL35" s="70" t="inlineStr">
        <is>
          <t>حصة 1</t>
        </is>
      </c>
      <c r="GM35" s="4" t="n"/>
      <c r="GN35" s="70" t="inlineStr">
        <is>
          <t>حصة 2</t>
        </is>
      </c>
      <c r="GO35" s="4" t="n"/>
      <c r="GP35" s="70" t="inlineStr">
        <is>
          <t>حصة 3</t>
        </is>
      </c>
      <c r="GQ35" s="4" t="n"/>
      <c r="GR35" s="70" t="inlineStr">
        <is>
          <t>حصة 4</t>
        </is>
      </c>
      <c r="GS35" s="4" t="n"/>
      <c r="GT35" s="70" t="inlineStr">
        <is>
          <t>حصة 5</t>
        </is>
      </c>
      <c r="GU35" s="4" t="n"/>
      <c r="GV35" s="70" t="inlineStr">
        <is>
          <t>حصة 6</t>
        </is>
      </c>
      <c r="GW35" s="4" t="n"/>
      <c r="GX35" s="70" t="inlineStr">
        <is>
          <t>حصة 7</t>
        </is>
      </c>
      <c r="GY35" s="4" t="n"/>
      <c r="GZ35" s="70" t="inlineStr">
        <is>
          <t>حصة 8</t>
        </is>
      </c>
      <c r="HA35" s="4" t="n"/>
      <c r="HB35" s="70" t="inlineStr">
        <is>
          <t>ملاحظات</t>
        </is>
      </c>
    </row>
    <row r="36" ht="16.5" customHeight="1">
      <c r="A36" s="76" t="inlineStr">
        <is>
          <t>م</t>
        </is>
      </c>
      <c r="B36" s="76" t="inlineStr">
        <is>
          <t>الاسم</t>
        </is>
      </c>
      <c r="C36" s="76" t="inlineStr">
        <is>
          <t>المجموع</t>
        </is>
      </c>
      <c r="D36" s="76" t="inlineStr">
        <is>
          <t>%</t>
        </is>
      </c>
      <c r="E36" s="76" t="inlineStr"/>
      <c r="F36" s="76" t="inlineStr">
        <is>
          <t>التقدير</t>
        </is>
      </c>
      <c r="G36" s="157" t="inlineStr">
        <is>
          <t>درجة</t>
        </is>
      </c>
      <c r="H36" s="158" t="inlineStr">
        <is>
          <t>من</t>
        </is>
      </c>
      <c r="I36" s="157" t="inlineStr">
        <is>
          <t>درجة</t>
        </is>
      </c>
      <c r="J36" s="158" t="inlineStr">
        <is>
          <t>من</t>
        </is>
      </c>
      <c r="K36" s="157" t="inlineStr">
        <is>
          <t>درجة</t>
        </is>
      </c>
      <c r="L36" s="158" t="inlineStr">
        <is>
          <t>من</t>
        </is>
      </c>
      <c r="M36" s="157" t="inlineStr">
        <is>
          <t>درجة</t>
        </is>
      </c>
      <c r="N36" s="158" t="inlineStr">
        <is>
          <t>من</t>
        </is>
      </c>
      <c r="O36" s="157" t="inlineStr">
        <is>
          <t>درجة</t>
        </is>
      </c>
      <c r="P36" s="158" t="inlineStr">
        <is>
          <t>من</t>
        </is>
      </c>
      <c r="Q36" s="157" t="inlineStr">
        <is>
          <t>درجة</t>
        </is>
      </c>
      <c r="R36" s="158" t="inlineStr">
        <is>
          <t>من</t>
        </is>
      </c>
      <c r="S36" s="157" t="inlineStr">
        <is>
          <t>درجة</t>
        </is>
      </c>
      <c r="T36" s="158" t="inlineStr">
        <is>
          <t>من</t>
        </is>
      </c>
      <c r="U36" s="157" t="inlineStr">
        <is>
          <t>درجة</t>
        </is>
      </c>
      <c r="V36" s="158" t="inlineStr">
        <is>
          <t>من</t>
        </is>
      </c>
      <c r="W36" s="59" t="inlineStr">
        <is>
          <t>ملاحظات</t>
        </is>
      </c>
      <c r="X36" s="159" t="inlineStr">
        <is>
          <t>درجة</t>
        </is>
      </c>
      <c r="Y36" s="160" t="inlineStr">
        <is>
          <t>من</t>
        </is>
      </c>
      <c r="Z36" s="159" t="inlineStr">
        <is>
          <t>درجة</t>
        </is>
      </c>
      <c r="AA36" s="160" t="inlineStr">
        <is>
          <t>من</t>
        </is>
      </c>
      <c r="AB36" s="159" t="inlineStr">
        <is>
          <t>درجة</t>
        </is>
      </c>
      <c r="AC36" s="160" t="inlineStr">
        <is>
          <t>من</t>
        </is>
      </c>
      <c r="AD36" s="159" t="inlineStr">
        <is>
          <t>درجة</t>
        </is>
      </c>
      <c r="AE36" s="160" t="inlineStr">
        <is>
          <t>من</t>
        </is>
      </c>
      <c r="AF36" s="159" t="inlineStr">
        <is>
          <t>درجة</t>
        </is>
      </c>
      <c r="AG36" s="160" t="inlineStr">
        <is>
          <t>من</t>
        </is>
      </c>
      <c r="AH36" s="159" t="inlineStr">
        <is>
          <t>درجة</t>
        </is>
      </c>
      <c r="AI36" s="160" t="inlineStr">
        <is>
          <t>من</t>
        </is>
      </c>
      <c r="AJ36" s="159" t="inlineStr">
        <is>
          <t>درجة</t>
        </is>
      </c>
      <c r="AK36" s="160" t="inlineStr">
        <is>
          <t>من</t>
        </is>
      </c>
      <c r="AL36" s="159" t="inlineStr">
        <is>
          <t>درجة</t>
        </is>
      </c>
      <c r="AM36" s="160" t="inlineStr">
        <is>
          <t>من</t>
        </is>
      </c>
      <c r="AN36" s="60" t="inlineStr">
        <is>
          <t>ملاحظات</t>
        </is>
      </c>
      <c r="AO36" s="161" t="inlineStr">
        <is>
          <t>درجة</t>
        </is>
      </c>
      <c r="AP36" s="162" t="inlineStr">
        <is>
          <t>من</t>
        </is>
      </c>
      <c r="AQ36" s="161" t="inlineStr">
        <is>
          <t>درجة</t>
        </is>
      </c>
      <c r="AR36" s="162" t="inlineStr">
        <is>
          <t>من</t>
        </is>
      </c>
      <c r="AS36" s="161" t="inlineStr">
        <is>
          <t>درجة</t>
        </is>
      </c>
      <c r="AT36" s="162" t="inlineStr">
        <is>
          <t>من</t>
        </is>
      </c>
      <c r="AU36" s="161" t="inlineStr">
        <is>
          <t>درجة</t>
        </is>
      </c>
      <c r="AV36" s="162" t="inlineStr">
        <is>
          <t>من</t>
        </is>
      </c>
      <c r="AW36" s="161" t="inlineStr">
        <is>
          <t>درجة</t>
        </is>
      </c>
      <c r="AX36" s="162" t="inlineStr">
        <is>
          <t>من</t>
        </is>
      </c>
      <c r="AY36" s="161" t="inlineStr">
        <is>
          <t>درجة</t>
        </is>
      </c>
      <c r="AZ36" s="162" t="inlineStr">
        <is>
          <t>من</t>
        </is>
      </c>
      <c r="BA36" s="161" t="inlineStr">
        <is>
          <t>درجة</t>
        </is>
      </c>
      <c r="BB36" s="162" t="inlineStr">
        <is>
          <t>من</t>
        </is>
      </c>
      <c r="BC36" s="161" t="inlineStr">
        <is>
          <t>درجة</t>
        </is>
      </c>
      <c r="BD36" s="162" t="inlineStr">
        <is>
          <t>من</t>
        </is>
      </c>
      <c r="BE36" s="61" t="inlineStr">
        <is>
          <t>ملاحظات</t>
        </is>
      </c>
      <c r="BF36" s="163" t="inlineStr">
        <is>
          <t>درجة</t>
        </is>
      </c>
      <c r="BG36" s="164" t="inlineStr">
        <is>
          <t>من</t>
        </is>
      </c>
      <c r="BH36" s="163" t="inlineStr">
        <is>
          <t>درجة</t>
        </is>
      </c>
      <c r="BI36" s="164" t="inlineStr">
        <is>
          <t>من</t>
        </is>
      </c>
      <c r="BJ36" s="163" t="inlineStr">
        <is>
          <t>درجة</t>
        </is>
      </c>
      <c r="BK36" s="164" t="inlineStr">
        <is>
          <t>من</t>
        </is>
      </c>
      <c r="BL36" s="163" t="inlineStr">
        <is>
          <t>درجة</t>
        </is>
      </c>
      <c r="BM36" s="164" t="inlineStr">
        <is>
          <t>من</t>
        </is>
      </c>
      <c r="BN36" s="163" t="inlineStr">
        <is>
          <t>درجة</t>
        </is>
      </c>
      <c r="BO36" s="164" t="inlineStr">
        <is>
          <t>من</t>
        </is>
      </c>
      <c r="BP36" s="163" t="inlineStr">
        <is>
          <t>درجة</t>
        </is>
      </c>
      <c r="BQ36" s="164" t="inlineStr">
        <is>
          <t>من</t>
        </is>
      </c>
      <c r="BR36" s="163" t="inlineStr">
        <is>
          <t>درجة</t>
        </is>
      </c>
      <c r="BS36" s="164" t="inlineStr">
        <is>
          <t>من</t>
        </is>
      </c>
      <c r="BT36" s="163" t="inlineStr">
        <is>
          <t>درجة</t>
        </is>
      </c>
      <c r="BU36" s="164" t="inlineStr">
        <is>
          <t>من</t>
        </is>
      </c>
      <c r="BV36" s="62" t="inlineStr">
        <is>
          <t>ملاحظات</t>
        </is>
      </c>
      <c r="BW36" s="165" t="inlineStr">
        <is>
          <t>درجة</t>
        </is>
      </c>
      <c r="BX36" s="166" t="inlineStr">
        <is>
          <t>من</t>
        </is>
      </c>
      <c r="BY36" s="165" t="inlineStr">
        <is>
          <t>درجة</t>
        </is>
      </c>
      <c r="BZ36" s="166" t="inlineStr">
        <is>
          <t>من</t>
        </is>
      </c>
      <c r="CA36" s="165" t="inlineStr">
        <is>
          <t>درجة</t>
        </is>
      </c>
      <c r="CB36" s="166" t="inlineStr">
        <is>
          <t>من</t>
        </is>
      </c>
      <c r="CC36" s="165" t="inlineStr">
        <is>
          <t>درجة</t>
        </is>
      </c>
      <c r="CD36" s="166" t="inlineStr">
        <is>
          <t>من</t>
        </is>
      </c>
      <c r="CE36" s="165" t="inlineStr">
        <is>
          <t>درجة</t>
        </is>
      </c>
      <c r="CF36" s="166" t="inlineStr">
        <is>
          <t>من</t>
        </is>
      </c>
      <c r="CG36" s="165" t="inlineStr">
        <is>
          <t>درجة</t>
        </is>
      </c>
      <c r="CH36" s="166" t="inlineStr">
        <is>
          <t>من</t>
        </is>
      </c>
      <c r="CI36" s="165" t="inlineStr">
        <is>
          <t>درجة</t>
        </is>
      </c>
      <c r="CJ36" s="166" t="inlineStr">
        <is>
          <t>من</t>
        </is>
      </c>
      <c r="CK36" s="165" t="inlineStr">
        <is>
          <t>درجة</t>
        </is>
      </c>
      <c r="CL36" s="166" t="inlineStr">
        <is>
          <t>من</t>
        </is>
      </c>
      <c r="CM36" s="63" t="inlineStr">
        <is>
          <t>ملاحظات</t>
        </is>
      </c>
      <c r="CN36" s="167" t="inlineStr">
        <is>
          <t>درجة</t>
        </is>
      </c>
      <c r="CO36" s="168" t="inlineStr">
        <is>
          <t>من</t>
        </is>
      </c>
      <c r="CP36" s="167" t="inlineStr">
        <is>
          <t>درجة</t>
        </is>
      </c>
      <c r="CQ36" s="168" t="inlineStr">
        <is>
          <t>من</t>
        </is>
      </c>
      <c r="CR36" s="167" t="inlineStr">
        <is>
          <t>درجة</t>
        </is>
      </c>
      <c r="CS36" s="168" t="inlineStr">
        <is>
          <t>من</t>
        </is>
      </c>
      <c r="CT36" s="167" t="inlineStr">
        <is>
          <t>درجة</t>
        </is>
      </c>
      <c r="CU36" s="168" t="inlineStr">
        <is>
          <t>من</t>
        </is>
      </c>
      <c r="CV36" s="167" t="inlineStr">
        <is>
          <t>درجة</t>
        </is>
      </c>
      <c r="CW36" s="168" t="inlineStr">
        <is>
          <t>من</t>
        </is>
      </c>
      <c r="CX36" s="167" t="inlineStr">
        <is>
          <t>درجة</t>
        </is>
      </c>
      <c r="CY36" s="168" t="inlineStr">
        <is>
          <t>من</t>
        </is>
      </c>
      <c r="CZ36" s="167" t="inlineStr">
        <is>
          <t>درجة</t>
        </is>
      </c>
      <c r="DA36" s="168" t="inlineStr">
        <is>
          <t>من</t>
        </is>
      </c>
      <c r="DB36" s="167" t="inlineStr">
        <is>
          <t>درجة</t>
        </is>
      </c>
      <c r="DC36" s="168" t="inlineStr">
        <is>
          <t>من</t>
        </is>
      </c>
      <c r="DD36" s="64" t="inlineStr">
        <is>
          <t>ملاحظات</t>
        </is>
      </c>
      <c r="DE36" s="169" t="inlineStr">
        <is>
          <t>درجة</t>
        </is>
      </c>
      <c r="DF36" s="170" t="inlineStr">
        <is>
          <t>من</t>
        </is>
      </c>
      <c r="DG36" s="169" t="inlineStr">
        <is>
          <t>درجة</t>
        </is>
      </c>
      <c r="DH36" s="170" t="inlineStr">
        <is>
          <t>من</t>
        </is>
      </c>
      <c r="DI36" s="169" t="inlineStr">
        <is>
          <t>درجة</t>
        </is>
      </c>
      <c r="DJ36" s="170" t="inlineStr">
        <is>
          <t>من</t>
        </is>
      </c>
      <c r="DK36" s="169" t="inlineStr">
        <is>
          <t>درجة</t>
        </is>
      </c>
      <c r="DL36" s="170" t="inlineStr">
        <is>
          <t>من</t>
        </is>
      </c>
      <c r="DM36" s="169" t="inlineStr">
        <is>
          <t>درجة</t>
        </is>
      </c>
      <c r="DN36" s="170" t="inlineStr">
        <is>
          <t>من</t>
        </is>
      </c>
      <c r="DO36" s="169" t="inlineStr">
        <is>
          <t>درجة</t>
        </is>
      </c>
      <c r="DP36" s="170" t="inlineStr">
        <is>
          <t>من</t>
        </is>
      </c>
      <c r="DQ36" s="169" t="inlineStr">
        <is>
          <t>درجة</t>
        </is>
      </c>
      <c r="DR36" s="170" t="inlineStr">
        <is>
          <t>من</t>
        </is>
      </c>
      <c r="DS36" s="169" t="inlineStr">
        <is>
          <t>درجة</t>
        </is>
      </c>
      <c r="DT36" s="170" t="inlineStr">
        <is>
          <t>من</t>
        </is>
      </c>
      <c r="DU36" s="65" t="inlineStr">
        <is>
          <t>ملاحظات</t>
        </is>
      </c>
      <c r="DV36" s="171" t="inlineStr">
        <is>
          <t>درجة</t>
        </is>
      </c>
      <c r="DW36" s="172" t="inlineStr">
        <is>
          <t>من</t>
        </is>
      </c>
      <c r="DX36" s="171" t="inlineStr">
        <is>
          <t>درجة</t>
        </is>
      </c>
      <c r="DY36" s="172" t="inlineStr">
        <is>
          <t>من</t>
        </is>
      </c>
      <c r="DZ36" s="171" t="inlineStr">
        <is>
          <t>درجة</t>
        </is>
      </c>
      <c r="EA36" s="172" t="inlineStr">
        <is>
          <t>من</t>
        </is>
      </c>
      <c r="EB36" s="171" t="inlineStr">
        <is>
          <t>درجة</t>
        </is>
      </c>
      <c r="EC36" s="172" t="inlineStr">
        <is>
          <t>من</t>
        </is>
      </c>
      <c r="ED36" s="171" t="inlineStr">
        <is>
          <t>درجة</t>
        </is>
      </c>
      <c r="EE36" s="172" t="inlineStr">
        <is>
          <t>من</t>
        </is>
      </c>
      <c r="EF36" s="171" t="inlineStr">
        <is>
          <t>درجة</t>
        </is>
      </c>
      <c r="EG36" s="172" t="inlineStr">
        <is>
          <t>من</t>
        </is>
      </c>
      <c r="EH36" s="171" t="inlineStr">
        <is>
          <t>درجة</t>
        </is>
      </c>
      <c r="EI36" s="172" t="inlineStr">
        <is>
          <t>من</t>
        </is>
      </c>
      <c r="EJ36" s="171" t="inlineStr">
        <is>
          <t>درجة</t>
        </is>
      </c>
      <c r="EK36" s="172" t="inlineStr">
        <is>
          <t>من</t>
        </is>
      </c>
      <c r="EL36" s="66" t="inlineStr">
        <is>
          <t>ملاحظات</t>
        </is>
      </c>
      <c r="EM36" s="173" t="inlineStr">
        <is>
          <t>درجة</t>
        </is>
      </c>
      <c r="EN36" s="174" t="inlineStr">
        <is>
          <t>من</t>
        </is>
      </c>
      <c r="EO36" s="173" t="inlineStr">
        <is>
          <t>درجة</t>
        </is>
      </c>
      <c r="EP36" s="174" t="inlineStr">
        <is>
          <t>من</t>
        </is>
      </c>
      <c r="EQ36" s="173" t="inlineStr">
        <is>
          <t>درجة</t>
        </is>
      </c>
      <c r="ER36" s="174" t="inlineStr">
        <is>
          <t>من</t>
        </is>
      </c>
      <c r="ES36" s="173" t="inlineStr">
        <is>
          <t>درجة</t>
        </is>
      </c>
      <c r="ET36" s="174" t="inlineStr">
        <is>
          <t>من</t>
        </is>
      </c>
      <c r="EU36" s="173" t="inlineStr">
        <is>
          <t>درجة</t>
        </is>
      </c>
      <c r="EV36" s="174" t="inlineStr">
        <is>
          <t>من</t>
        </is>
      </c>
      <c r="EW36" s="173" t="inlineStr">
        <is>
          <t>درجة</t>
        </is>
      </c>
      <c r="EX36" s="174" t="inlineStr">
        <is>
          <t>من</t>
        </is>
      </c>
      <c r="EY36" s="173" t="inlineStr">
        <is>
          <t>درجة</t>
        </is>
      </c>
      <c r="EZ36" s="174" t="inlineStr">
        <is>
          <t>من</t>
        </is>
      </c>
      <c r="FA36" s="173" t="inlineStr">
        <is>
          <t>درجة</t>
        </is>
      </c>
      <c r="FB36" s="174" t="inlineStr">
        <is>
          <t>من</t>
        </is>
      </c>
      <c r="FC36" s="67" t="inlineStr">
        <is>
          <t>ملاحظات</t>
        </is>
      </c>
      <c r="FD36" s="175" t="inlineStr">
        <is>
          <t>درجة</t>
        </is>
      </c>
      <c r="FE36" s="176" t="inlineStr">
        <is>
          <t>من</t>
        </is>
      </c>
      <c r="FF36" s="175" t="inlineStr">
        <is>
          <t>درجة</t>
        </is>
      </c>
      <c r="FG36" s="176" t="inlineStr">
        <is>
          <t>من</t>
        </is>
      </c>
      <c r="FH36" s="175" t="inlineStr">
        <is>
          <t>درجة</t>
        </is>
      </c>
      <c r="FI36" s="176" t="inlineStr">
        <is>
          <t>من</t>
        </is>
      </c>
      <c r="FJ36" s="175" t="inlineStr">
        <is>
          <t>درجة</t>
        </is>
      </c>
      <c r="FK36" s="176" t="inlineStr">
        <is>
          <t>من</t>
        </is>
      </c>
      <c r="FL36" s="175" t="inlineStr">
        <is>
          <t>درجة</t>
        </is>
      </c>
      <c r="FM36" s="176" t="inlineStr">
        <is>
          <t>من</t>
        </is>
      </c>
      <c r="FN36" s="175" t="inlineStr">
        <is>
          <t>درجة</t>
        </is>
      </c>
      <c r="FO36" s="176" t="inlineStr">
        <is>
          <t>من</t>
        </is>
      </c>
      <c r="FP36" s="175" t="inlineStr">
        <is>
          <t>درجة</t>
        </is>
      </c>
      <c r="FQ36" s="176" t="inlineStr">
        <is>
          <t>من</t>
        </is>
      </c>
      <c r="FR36" s="175" t="inlineStr">
        <is>
          <t>درجة</t>
        </is>
      </c>
      <c r="FS36" s="176" t="inlineStr">
        <is>
          <t>من</t>
        </is>
      </c>
      <c r="FT36" s="68" t="inlineStr">
        <is>
          <t>ملاحظات</t>
        </is>
      </c>
      <c r="FU36" s="177" t="inlineStr">
        <is>
          <t>درجة</t>
        </is>
      </c>
      <c r="FV36" s="178" t="inlineStr">
        <is>
          <t>من</t>
        </is>
      </c>
      <c r="FW36" s="177" t="inlineStr">
        <is>
          <t>درجة</t>
        </is>
      </c>
      <c r="FX36" s="178" t="inlineStr">
        <is>
          <t>من</t>
        </is>
      </c>
      <c r="FY36" s="177" t="inlineStr">
        <is>
          <t>درجة</t>
        </is>
      </c>
      <c r="FZ36" s="178" t="inlineStr">
        <is>
          <t>من</t>
        </is>
      </c>
      <c r="GA36" s="177" t="inlineStr">
        <is>
          <t>درجة</t>
        </is>
      </c>
      <c r="GB36" s="178" t="inlineStr">
        <is>
          <t>من</t>
        </is>
      </c>
      <c r="GC36" s="177" t="inlineStr">
        <is>
          <t>درجة</t>
        </is>
      </c>
      <c r="GD36" s="178" t="inlineStr">
        <is>
          <t>من</t>
        </is>
      </c>
      <c r="GE36" s="177" t="inlineStr">
        <is>
          <t>درجة</t>
        </is>
      </c>
      <c r="GF36" s="178" t="inlineStr">
        <is>
          <t>من</t>
        </is>
      </c>
      <c r="GG36" s="177" t="inlineStr">
        <is>
          <t>درجة</t>
        </is>
      </c>
      <c r="GH36" s="178" t="inlineStr">
        <is>
          <t>من</t>
        </is>
      </c>
      <c r="GI36" s="177" t="inlineStr">
        <is>
          <t>درجة</t>
        </is>
      </c>
      <c r="GJ36" s="178" t="inlineStr">
        <is>
          <t>من</t>
        </is>
      </c>
      <c r="GK36" s="69" t="inlineStr">
        <is>
          <t>ملاحظات</t>
        </is>
      </c>
      <c r="GL36" s="179" t="inlineStr">
        <is>
          <t>درجة</t>
        </is>
      </c>
      <c r="GM36" s="180" t="inlineStr">
        <is>
          <t>من</t>
        </is>
      </c>
      <c r="GN36" s="179" t="inlineStr">
        <is>
          <t>درجة</t>
        </is>
      </c>
      <c r="GO36" s="180" t="inlineStr">
        <is>
          <t>من</t>
        </is>
      </c>
      <c r="GP36" s="179" t="inlineStr">
        <is>
          <t>درجة</t>
        </is>
      </c>
      <c r="GQ36" s="180" t="inlineStr">
        <is>
          <t>من</t>
        </is>
      </c>
      <c r="GR36" s="179" t="inlineStr">
        <is>
          <t>درجة</t>
        </is>
      </c>
      <c r="GS36" s="180" t="inlineStr">
        <is>
          <t>من</t>
        </is>
      </c>
      <c r="GT36" s="179" t="inlineStr">
        <is>
          <t>درجة</t>
        </is>
      </c>
      <c r="GU36" s="180" t="inlineStr">
        <is>
          <t>من</t>
        </is>
      </c>
      <c r="GV36" s="179" t="inlineStr">
        <is>
          <t>درجة</t>
        </is>
      </c>
      <c r="GW36" s="180" t="inlineStr">
        <is>
          <t>من</t>
        </is>
      </c>
      <c r="GX36" s="179" t="inlineStr">
        <is>
          <t>درجة</t>
        </is>
      </c>
      <c r="GY36" s="180" t="inlineStr">
        <is>
          <t>من</t>
        </is>
      </c>
      <c r="GZ36" s="179" t="inlineStr">
        <is>
          <t>درجة</t>
        </is>
      </c>
      <c r="HA36" s="180" t="inlineStr">
        <is>
          <t>من</t>
        </is>
      </c>
      <c r="HB36" s="70" t="inlineStr">
        <is>
          <t>ملاحظات</t>
        </is>
      </c>
    </row>
    <row r="37" ht="22.5" customHeight="1">
      <c r="A37" s="36" t="n">
        <v>1</v>
      </c>
      <c r="B37" s="181" t="str">
        <f>IF($B4="","",$B4)</f>
        <v/>
      </c>
      <c r="C37" s="136" t="str">
        <f>IF(OR($B37="",$HD37=0),"",ROUND($HC37,2)&amp;" / "&amp;$HD37)</f>
        <v/>
      </c>
      <c r="D37" s="182" t="str">
        <f>IF(OR($B37="",$HD37=0),"",$HC37/$HD37)</f>
        <v/>
      </c>
      <c r="E37" s="136" t="n"/>
      <c r="F37" s="99" t="str">
        <f>IF($D37="","",IF($D37&gt;=0.85,"ممتاز",IF($D37&gt;=0.75,"جيد جداً",IF($D37&gt;=0.65,"جيد",IF($D37&gt;=0.5,"مقبول","ضعيف")))))</f>
        <v/>
      </c>
      <c r="G37" s="100" t="n"/>
      <c r="H37" s="101" t="n"/>
      <c r="I37" s="100" t="n"/>
      <c r="J37" s="101" t="n"/>
      <c r="K37" s="100" t="n"/>
      <c r="L37" s="101" t="n"/>
      <c r="M37" s="100" t="n"/>
      <c r="N37" s="101" t="n"/>
      <c r="O37" s="100" t="n"/>
      <c r="P37" s="101" t="n"/>
      <c r="Q37" s="100" t="n"/>
      <c r="R37" s="101" t="n"/>
      <c r="S37" s="100" t="n"/>
      <c r="T37" s="101" t="n"/>
      <c r="U37" s="100" t="n"/>
      <c r="V37" s="101" t="n"/>
      <c r="W37" s="183" t="n"/>
      <c r="X37" s="103" t="n"/>
      <c r="Y37" s="104" t="n"/>
      <c r="Z37" s="103" t="n"/>
      <c r="AA37" s="104" t="n"/>
      <c r="AB37" s="103" t="n"/>
      <c r="AC37" s="104" t="n"/>
      <c r="AD37" s="103" t="n"/>
      <c r="AE37" s="104" t="n"/>
      <c r="AF37" s="103" t="n"/>
      <c r="AG37" s="104" t="n"/>
      <c r="AH37" s="103" t="n"/>
      <c r="AI37" s="104" t="n"/>
      <c r="AJ37" s="103" t="n"/>
      <c r="AK37" s="104" t="n"/>
      <c r="AL37" s="103" t="n"/>
      <c r="AM37" s="104" t="n"/>
      <c r="AN37" s="184" t="n"/>
      <c r="AO37" s="106" t="n"/>
      <c r="AP37" s="107" t="n"/>
      <c r="AQ37" s="106" t="n"/>
      <c r="AR37" s="107" t="n"/>
      <c r="AS37" s="106" t="n"/>
      <c r="AT37" s="107" t="n"/>
      <c r="AU37" s="106" t="n"/>
      <c r="AV37" s="107" t="n"/>
      <c r="AW37" s="106" t="n"/>
      <c r="AX37" s="107" t="n"/>
      <c r="AY37" s="106" t="n"/>
      <c r="AZ37" s="107" t="n"/>
      <c r="BA37" s="106" t="n"/>
      <c r="BB37" s="107" t="n"/>
      <c r="BC37" s="106" t="n"/>
      <c r="BD37" s="107" t="n"/>
      <c r="BE37" s="185" t="n"/>
      <c r="BF37" s="109" t="n"/>
      <c r="BG37" s="110" t="n"/>
      <c r="BH37" s="109" t="n"/>
      <c r="BI37" s="110" t="n"/>
      <c r="BJ37" s="109" t="n"/>
      <c r="BK37" s="110" t="n"/>
      <c r="BL37" s="109" t="n"/>
      <c r="BM37" s="110" t="n"/>
      <c r="BN37" s="109" t="n"/>
      <c r="BO37" s="110" t="n"/>
      <c r="BP37" s="109" t="n"/>
      <c r="BQ37" s="110" t="n"/>
      <c r="BR37" s="109" t="n"/>
      <c r="BS37" s="110" t="n"/>
      <c r="BT37" s="109" t="n"/>
      <c r="BU37" s="110" t="n"/>
      <c r="BV37" s="186" t="n"/>
      <c r="BW37" s="112" t="n"/>
      <c r="BX37" s="113" t="n"/>
      <c r="BY37" s="112" t="n"/>
      <c r="BZ37" s="113" t="n"/>
      <c r="CA37" s="112" t="n"/>
      <c r="CB37" s="113" t="n"/>
      <c r="CC37" s="112" t="n"/>
      <c r="CD37" s="113" t="n"/>
      <c r="CE37" s="112" t="n"/>
      <c r="CF37" s="113" t="n"/>
      <c r="CG37" s="112" t="n"/>
      <c r="CH37" s="113" t="n"/>
      <c r="CI37" s="112" t="n"/>
      <c r="CJ37" s="113" t="n"/>
      <c r="CK37" s="112" t="n"/>
      <c r="CL37" s="113" t="n"/>
      <c r="CM37" s="187" t="n"/>
      <c r="CN37" s="115" t="n"/>
      <c r="CO37" s="116" t="n"/>
      <c r="CP37" s="115" t="n"/>
      <c r="CQ37" s="116" t="n"/>
      <c r="CR37" s="115" t="n"/>
      <c r="CS37" s="116" t="n"/>
      <c r="CT37" s="115" t="n"/>
      <c r="CU37" s="116" t="n"/>
      <c r="CV37" s="115" t="n"/>
      <c r="CW37" s="116" t="n"/>
      <c r="CX37" s="115" t="n"/>
      <c r="CY37" s="116" t="n"/>
      <c r="CZ37" s="115" t="n"/>
      <c r="DA37" s="116" t="n"/>
      <c r="DB37" s="115" t="n"/>
      <c r="DC37" s="116" t="n"/>
      <c r="DD37" s="188" t="n"/>
      <c r="DE37" s="118" t="n"/>
      <c r="DF37" s="119" t="n"/>
      <c r="DG37" s="118" t="n"/>
      <c r="DH37" s="119" t="n"/>
      <c r="DI37" s="118" t="n"/>
      <c r="DJ37" s="119" t="n"/>
      <c r="DK37" s="118" t="n"/>
      <c r="DL37" s="119" t="n"/>
      <c r="DM37" s="118" t="n"/>
      <c r="DN37" s="119" t="n"/>
      <c r="DO37" s="118" t="n"/>
      <c r="DP37" s="119" t="n"/>
      <c r="DQ37" s="118" t="n"/>
      <c r="DR37" s="119" t="n"/>
      <c r="DS37" s="118" t="n"/>
      <c r="DT37" s="119" t="n"/>
      <c r="DU37" s="189" t="n"/>
      <c r="DV37" s="121" t="n"/>
      <c r="DW37" s="122" t="n"/>
      <c r="DX37" s="121" t="n"/>
      <c r="DY37" s="122" t="n"/>
      <c r="DZ37" s="121" t="n"/>
      <c r="EA37" s="122" t="n"/>
      <c r="EB37" s="121" t="n"/>
      <c r="EC37" s="122" t="n"/>
      <c r="ED37" s="121" t="n"/>
      <c r="EE37" s="122" t="n"/>
      <c r="EF37" s="121" t="n"/>
      <c r="EG37" s="122" t="n"/>
      <c r="EH37" s="121" t="n"/>
      <c r="EI37" s="122" t="n"/>
      <c r="EJ37" s="121" t="n"/>
      <c r="EK37" s="122" t="n"/>
      <c r="EL37" s="190" t="n"/>
      <c r="EM37" s="124" t="n"/>
      <c r="EN37" s="125" t="n"/>
      <c r="EO37" s="124" t="n"/>
      <c r="EP37" s="125" t="n"/>
      <c r="EQ37" s="124" t="n"/>
      <c r="ER37" s="125" t="n"/>
      <c r="ES37" s="124" t="n"/>
      <c r="ET37" s="125" t="n"/>
      <c r="EU37" s="124" t="n"/>
      <c r="EV37" s="125" t="n"/>
      <c r="EW37" s="124" t="n"/>
      <c r="EX37" s="125" t="n"/>
      <c r="EY37" s="124" t="n"/>
      <c r="EZ37" s="125" t="n"/>
      <c r="FA37" s="124" t="n"/>
      <c r="FB37" s="125" t="n"/>
      <c r="FC37" s="191" t="n"/>
      <c r="FD37" s="127" t="n"/>
      <c r="FE37" s="128" t="n"/>
      <c r="FF37" s="127" t="n"/>
      <c r="FG37" s="128" t="n"/>
      <c r="FH37" s="127" t="n"/>
      <c r="FI37" s="128" t="n"/>
      <c r="FJ37" s="127" t="n"/>
      <c r="FK37" s="128" t="n"/>
      <c r="FL37" s="127" t="n"/>
      <c r="FM37" s="128" t="n"/>
      <c r="FN37" s="127" t="n"/>
      <c r="FO37" s="128" t="n"/>
      <c r="FP37" s="127" t="n"/>
      <c r="FQ37" s="128" t="n"/>
      <c r="FR37" s="127" t="n"/>
      <c r="FS37" s="128" t="n"/>
      <c r="FT37" s="192" t="n"/>
      <c r="FU37" s="130" t="n"/>
      <c r="FV37" s="131" t="n"/>
      <c r="FW37" s="130" t="n"/>
      <c r="FX37" s="131" t="n"/>
      <c r="FY37" s="130" t="n"/>
      <c r="FZ37" s="131" t="n"/>
      <c r="GA37" s="130" t="n"/>
      <c r="GB37" s="131" t="n"/>
      <c r="GC37" s="130" t="n"/>
      <c r="GD37" s="131" t="n"/>
      <c r="GE37" s="130" t="n"/>
      <c r="GF37" s="131" t="n"/>
      <c r="GG37" s="130" t="n"/>
      <c r="GH37" s="131" t="n"/>
      <c r="GI37" s="130" t="n"/>
      <c r="GJ37" s="131" t="n"/>
      <c r="GK37" s="193" t="n"/>
      <c r="GL37" s="133" t="n"/>
      <c r="GM37" s="134" t="n"/>
      <c r="GN37" s="133" t="n"/>
      <c r="GO37" s="134" t="n"/>
      <c r="GP37" s="133" t="n"/>
      <c r="GQ37" s="134" t="n"/>
      <c r="GR37" s="133" t="n"/>
      <c r="GS37" s="134" t="n"/>
      <c r="GT37" s="133" t="n"/>
      <c r="GU37" s="134" t="n"/>
      <c r="GV37" s="133" t="n"/>
      <c r="GW37" s="134" t="n"/>
      <c r="GX37" s="133" t="n"/>
      <c r="GY37" s="134" t="n"/>
      <c r="GZ37" s="133" t="n"/>
      <c r="HA37" s="134" t="n"/>
      <c r="HB37" s="194" t="n"/>
      <c r="HC37">
        <f>SUMIFS($G37:$HA37,$G$36:$HA$36,"درجة",$H37:$HB37,"&gt;0")</f>
        <v>0</v>
      </c>
      <c r="HD37">
        <f>SUMIFS($H37:$HB37,$G$36:$HA$36,"درجة",$G37:$HA37,"&gt;=0")</f>
        <v>0</v>
      </c>
    </row>
    <row r="38" ht="22.5" customHeight="1">
      <c r="A38" s="36" t="n">
        <v>2</v>
      </c>
      <c r="B38" s="181" t="str">
        <f>IF($B5="","",$B5)</f>
        <v/>
      </c>
      <c r="C38" s="136" t="str">
        <f>IF(OR($B38="",$HD38=0),"",ROUND($HC38,2)&amp;" / "&amp;$HD38)</f>
        <v/>
      </c>
      <c r="D38" s="182" t="str">
        <f>IF(OR($B38="",$HD38=0),"",$HC38/$HD38)</f>
        <v/>
      </c>
      <c r="E38" s="136" t="n"/>
      <c r="F38" s="99" t="str">
        <f>IF($D38="","",IF($D38&gt;=0.85,"ممتاز",IF($D38&gt;=0.75,"جيد جداً",IF($D38&gt;=0.65,"جيد",IF($D38&gt;=0.5,"مقبول","ضعيف")))))</f>
        <v/>
      </c>
      <c r="G38" s="100" t="n"/>
      <c r="H38" s="101" t="n"/>
      <c r="I38" s="100" t="n"/>
      <c r="J38" s="101" t="n"/>
      <c r="K38" s="100" t="n"/>
      <c r="L38" s="101" t="n"/>
      <c r="M38" s="100" t="n"/>
      <c r="N38" s="101" t="n"/>
      <c r="O38" s="100" t="n"/>
      <c r="P38" s="101" t="n"/>
      <c r="Q38" s="100" t="n"/>
      <c r="R38" s="101" t="n"/>
      <c r="S38" s="100" t="n"/>
      <c r="T38" s="101" t="n"/>
      <c r="U38" s="100" t="n"/>
      <c r="V38" s="101" t="n"/>
      <c r="W38" s="183" t="n"/>
      <c r="X38" s="103" t="n"/>
      <c r="Y38" s="104" t="n"/>
      <c r="Z38" s="103" t="n"/>
      <c r="AA38" s="104" t="n"/>
      <c r="AB38" s="103" t="n"/>
      <c r="AC38" s="104" t="n"/>
      <c r="AD38" s="103" t="n"/>
      <c r="AE38" s="104" t="n"/>
      <c r="AF38" s="103" t="n"/>
      <c r="AG38" s="104" t="n"/>
      <c r="AH38" s="103" t="n"/>
      <c r="AI38" s="104" t="n"/>
      <c r="AJ38" s="103" t="n"/>
      <c r="AK38" s="104" t="n"/>
      <c r="AL38" s="103" t="n"/>
      <c r="AM38" s="104" t="n"/>
      <c r="AN38" s="184" t="n"/>
      <c r="AO38" s="106" t="n"/>
      <c r="AP38" s="107" t="n"/>
      <c r="AQ38" s="106" t="n"/>
      <c r="AR38" s="107" t="n"/>
      <c r="AS38" s="106" t="n"/>
      <c r="AT38" s="107" t="n"/>
      <c r="AU38" s="106" t="n"/>
      <c r="AV38" s="107" t="n"/>
      <c r="AW38" s="106" t="n"/>
      <c r="AX38" s="107" t="n"/>
      <c r="AY38" s="106" t="n"/>
      <c r="AZ38" s="107" t="n"/>
      <c r="BA38" s="106" t="n"/>
      <c r="BB38" s="107" t="n"/>
      <c r="BC38" s="106" t="n"/>
      <c r="BD38" s="107" t="n"/>
      <c r="BE38" s="185" t="n"/>
      <c r="BF38" s="109" t="n"/>
      <c r="BG38" s="110" t="n"/>
      <c r="BH38" s="109" t="n"/>
      <c r="BI38" s="110" t="n"/>
      <c r="BJ38" s="109" t="n"/>
      <c r="BK38" s="110" t="n"/>
      <c r="BL38" s="109" t="n"/>
      <c r="BM38" s="110" t="n"/>
      <c r="BN38" s="109" t="n"/>
      <c r="BO38" s="110" t="n"/>
      <c r="BP38" s="109" t="n"/>
      <c r="BQ38" s="110" t="n"/>
      <c r="BR38" s="109" t="n"/>
      <c r="BS38" s="110" t="n"/>
      <c r="BT38" s="109" t="n"/>
      <c r="BU38" s="110" t="n"/>
      <c r="BV38" s="186" t="n"/>
      <c r="BW38" s="112" t="n"/>
      <c r="BX38" s="113" t="n"/>
      <c r="BY38" s="112" t="n"/>
      <c r="BZ38" s="113" t="n"/>
      <c r="CA38" s="112" t="n"/>
      <c r="CB38" s="113" t="n"/>
      <c r="CC38" s="112" t="n"/>
      <c r="CD38" s="113" t="n"/>
      <c r="CE38" s="112" t="n"/>
      <c r="CF38" s="113" t="n"/>
      <c r="CG38" s="112" t="n"/>
      <c r="CH38" s="113" t="n"/>
      <c r="CI38" s="112" t="n"/>
      <c r="CJ38" s="113" t="n"/>
      <c r="CK38" s="112" t="n"/>
      <c r="CL38" s="113" t="n"/>
      <c r="CM38" s="187" t="n"/>
      <c r="CN38" s="115" t="n"/>
      <c r="CO38" s="116" t="n"/>
      <c r="CP38" s="115" t="n"/>
      <c r="CQ38" s="116" t="n"/>
      <c r="CR38" s="115" t="n"/>
      <c r="CS38" s="116" t="n"/>
      <c r="CT38" s="115" t="n"/>
      <c r="CU38" s="116" t="n"/>
      <c r="CV38" s="115" t="n"/>
      <c r="CW38" s="116" t="n"/>
      <c r="CX38" s="115" t="n"/>
      <c r="CY38" s="116" t="n"/>
      <c r="CZ38" s="115" t="n"/>
      <c r="DA38" s="116" t="n"/>
      <c r="DB38" s="115" t="n"/>
      <c r="DC38" s="116" t="n"/>
      <c r="DD38" s="188" t="n"/>
      <c r="DE38" s="118" t="n"/>
      <c r="DF38" s="119" t="n"/>
      <c r="DG38" s="118" t="n"/>
      <c r="DH38" s="119" t="n"/>
      <c r="DI38" s="118" t="n"/>
      <c r="DJ38" s="119" t="n"/>
      <c r="DK38" s="118" t="n"/>
      <c r="DL38" s="119" t="n"/>
      <c r="DM38" s="118" t="n"/>
      <c r="DN38" s="119" t="n"/>
      <c r="DO38" s="118" t="n"/>
      <c r="DP38" s="119" t="n"/>
      <c r="DQ38" s="118" t="n"/>
      <c r="DR38" s="119" t="n"/>
      <c r="DS38" s="118" t="n"/>
      <c r="DT38" s="119" t="n"/>
      <c r="DU38" s="189" t="n"/>
      <c r="DV38" s="121" t="n"/>
      <c r="DW38" s="122" t="n"/>
      <c r="DX38" s="121" t="n"/>
      <c r="DY38" s="122" t="n"/>
      <c r="DZ38" s="121" t="n"/>
      <c r="EA38" s="122" t="n"/>
      <c r="EB38" s="121" t="n"/>
      <c r="EC38" s="122" t="n"/>
      <c r="ED38" s="121" t="n"/>
      <c r="EE38" s="122" t="n"/>
      <c r="EF38" s="121" t="n"/>
      <c r="EG38" s="122" t="n"/>
      <c r="EH38" s="121" t="n"/>
      <c r="EI38" s="122" t="n"/>
      <c r="EJ38" s="121" t="n"/>
      <c r="EK38" s="122" t="n"/>
      <c r="EL38" s="190" t="n"/>
      <c r="EM38" s="124" t="n"/>
      <c r="EN38" s="125" t="n"/>
      <c r="EO38" s="124" t="n"/>
      <c r="EP38" s="125" t="n"/>
      <c r="EQ38" s="124" t="n"/>
      <c r="ER38" s="125" t="n"/>
      <c r="ES38" s="124" t="n"/>
      <c r="ET38" s="125" t="n"/>
      <c r="EU38" s="124" t="n"/>
      <c r="EV38" s="125" t="n"/>
      <c r="EW38" s="124" t="n"/>
      <c r="EX38" s="125" t="n"/>
      <c r="EY38" s="124" t="n"/>
      <c r="EZ38" s="125" t="n"/>
      <c r="FA38" s="124" t="n"/>
      <c r="FB38" s="125" t="n"/>
      <c r="FC38" s="191" t="n"/>
      <c r="FD38" s="127" t="n"/>
      <c r="FE38" s="128" t="n"/>
      <c r="FF38" s="127" t="n"/>
      <c r="FG38" s="128" t="n"/>
      <c r="FH38" s="127" t="n"/>
      <c r="FI38" s="128" t="n"/>
      <c r="FJ38" s="127" t="n"/>
      <c r="FK38" s="128" t="n"/>
      <c r="FL38" s="127" t="n"/>
      <c r="FM38" s="128" t="n"/>
      <c r="FN38" s="127" t="n"/>
      <c r="FO38" s="128" t="n"/>
      <c r="FP38" s="127" t="n"/>
      <c r="FQ38" s="128" t="n"/>
      <c r="FR38" s="127" t="n"/>
      <c r="FS38" s="128" t="n"/>
      <c r="FT38" s="192" t="n"/>
      <c r="FU38" s="130" t="n"/>
      <c r="FV38" s="131" t="n"/>
      <c r="FW38" s="130" t="n"/>
      <c r="FX38" s="131" t="n"/>
      <c r="FY38" s="130" t="n"/>
      <c r="FZ38" s="131" t="n"/>
      <c r="GA38" s="130" t="n"/>
      <c r="GB38" s="131" t="n"/>
      <c r="GC38" s="130" t="n"/>
      <c r="GD38" s="131" t="n"/>
      <c r="GE38" s="130" t="n"/>
      <c r="GF38" s="131" t="n"/>
      <c r="GG38" s="130" t="n"/>
      <c r="GH38" s="131" t="n"/>
      <c r="GI38" s="130" t="n"/>
      <c r="GJ38" s="131" t="n"/>
      <c r="GK38" s="193" t="n"/>
      <c r="GL38" s="133" t="n"/>
      <c r="GM38" s="134" t="n"/>
      <c r="GN38" s="133" t="n"/>
      <c r="GO38" s="134" t="n"/>
      <c r="GP38" s="133" t="n"/>
      <c r="GQ38" s="134" t="n"/>
      <c r="GR38" s="133" t="n"/>
      <c r="GS38" s="134" t="n"/>
      <c r="GT38" s="133" t="n"/>
      <c r="GU38" s="134" t="n"/>
      <c r="GV38" s="133" t="n"/>
      <c r="GW38" s="134" t="n"/>
      <c r="GX38" s="133" t="n"/>
      <c r="GY38" s="134" t="n"/>
      <c r="GZ38" s="133" t="n"/>
      <c r="HA38" s="134" t="n"/>
      <c r="HB38" s="194" t="n"/>
      <c r="HC38">
        <f>SUMIFS($G38:$HA38,$G$36:$HA$36,"درجة",$H38:$HB38,"&gt;0")</f>
        <v>0</v>
      </c>
      <c r="HD38">
        <f>SUMIFS($H38:$HB38,$G$36:$HA$36,"درجة",$G38:$HA38,"&gt;=0")</f>
        <v>0</v>
      </c>
    </row>
    <row r="39" ht="22.5" customHeight="1">
      <c r="A39" s="36" t="n">
        <v>3</v>
      </c>
      <c r="B39" s="181" t="str">
        <f>IF($B6="","",$B6)</f>
        <v/>
      </c>
      <c r="C39" s="136" t="str">
        <f>IF(OR($B39="",$HD39=0),"",ROUND($HC39,2)&amp;" / "&amp;$HD39)</f>
        <v/>
      </c>
      <c r="D39" s="182" t="str">
        <f>IF(OR($B39="",$HD39=0),"",$HC39/$HD39)</f>
        <v/>
      </c>
      <c r="E39" s="136" t="n"/>
      <c r="F39" s="99" t="str">
        <f>IF($D39="","",IF($D39&gt;=0.85,"ممتاز",IF($D39&gt;=0.75,"جيد جداً",IF($D39&gt;=0.65,"جيد",IF($D39&gt;=0.5,"مقبول","ضعيف")))))</f>
        <v/>
      </c>
      <c r="G39" s="100" t="n"/>
      <c r="H39" s="101" t="n"/>
      <c r="I39" s="100" t="n"/>
      <c r="J39" s="101" t="n"/>
      <c r="K39" s="100" t="n"/>
      <c r="L39" s="101" t="n"/>
      <c r="M39" s="100" t="n"/>
      <c r="N39" s="101" t="n"/>
      <c r="O39" s="100" t="n"/>
      <c r="P39" s="101" t="n"/>
      <c r="Q39" s="100" t="n"/>
      <c r="R39" s="101" t="n"/>
      <c r="S39" s="100" t="n"/>
      <c r="T39" s="101" t="n"/>
      <c r="U39" s="100" t="n"/>
      <c r="V39" s="101" t="n"/>
      <c r="W39" s="183" t="n"/>
      <c r="X39" s="103" t="n"/>
      <c r="Y39" s="104" t="n"/>
      <c r="Z39" s="103" t="n"/>
      <c r="AA39" s="104" t="n"/>
      <c r="AB39" s="103" t="n"/>
      <c r="AC39" s="104" t="n"/>
      <c r="AD39" s="103" t="n"/>
      <c r="AE39" s="104" t="n"/>
      <c r="AF39" s="103" t="n"/>
      <c r="AG39" s="104" t="n"/>
      <c r="AH39" s="103" t="n"/>
      <c r="AI39" s="104" t="n"/>
      <c r="AJ39" s="103" t="n"/>
      <c r="AK39" s="104" t="n"/>
      <c r="AL39" s="103" t="n"/>
      <c r="AM39" s="104" t="n"/>
      <c r="AN39" s="184" t="n"/>
      <c r="AO39" s="106" t="n"/>
      <c r="AP39" s="107" t="n"/>
      <c r="AQ39" s="106" t="n"/>
      <c r="AR39" s="107" t="n"/>
      <c r="AS39" s="106" t="n"/>
      <c r="AT39" s="107" t="n"/>
      <c r="AU39" s="106" t="n"/>
      <c r="AV39" s="107" t="n"/>
      <c r="AW39" s="106" t="n"/>
      <c r="AX39" s="107" t="n"/>
      <c r="AY39" s="106" t="n"/>
      <c r="AZ39" s="107" t="n"/>
      <c r="BA39" s="106" t="n"/>
      <c r="BB39" s="107" t="n"/>
      <c r="BC39" s="106" t="n"/>
      <c r="BD39" s="107" t="n"/>
      <c r="BE39" s="185" t="n"/>
      <c r="BF39" s="109" t="n"/>
      <c r="BG39" s="110" t="n"/>
      <c r="BH39" s="109" t="n"/>
      <c r="BI39" s="110" t="n"/>
      <c r="BJ39" s="109" t="n"/>
      <c r="BK39" s="110" t="n"/>
      <c r="BL39" s="109" t="n"/>
      <c r="BM39" s="110" t="n"/>
      <c r="BN39" s="109" t="n"/>
      <c r="BO39" s="110" t="n"/>
      <c r="BP39" s="109" t="n"/>
      <c r="BQ39" s="110" t="n"/>
      <c r="BR39" s="109" t="n"/>
      <c r="BS39" s="110" t="n"/>
      <c r="BT39" s="109" t="n"/>
      <c r="BU39" s="110" t="n"/>
      <c r="BV39" s="186" t="n"/>
      <c r="BW39" s="112" t="n"/>
      <c r="BX39" s="113" t="n"/>
      <c r="BY39" s="112" t="n"/>
      <c r="BZ39" s="113" t="n"/>
      <c r="CA39" s="112" t="n"/>
      <c r="CB39" s="113" t="n"/>
      <c r="CC39" s="112" t="n"/>
      <c r="CD39" s="113" t="n"/>
      <c r="CE39" s="112" t="n"/>
      <c r="CF39" s="113" t="n"/>
      <c r="CG39" s="112" t="n"/>
      <c r="CH39" s="113" t="n"/>
      <c r="CI39" s="112" t="n"/>
      <c r="CJ39" s="113" t="n"/>
      <c r="CK39" s="112" t="n"/>
      <c r="CL39" s="113" t="n"/>
      <c r="CM39" s="187" t="n"/>
      <c r="CN39" s="115" t="n"/>
      <c r="CO39" s="116" t="n"/>
      <c r="CP39" s="115" t="n"/>
      <c r="CQ39" s="116" t="n"/>
      <c r="CR39" s="115" t="n"/>
      <c r="CS39" s="116" t="n"/>
      <c r="CT39" s="115" t="n"/>
      <c r="CU39" s="116" t="n"/>
      <c r="CV39" s="115" t="n"/>
      <c r="CW39" s="116" t="n"/>
      <c r="CX39" s="115" t="n"/>
      <c r="CY39" s="116" t="n"/>
      <c r="CZ39" s="115" t="n"/>
      <c r="DA39" s="116" t="n"/>
      <c r="DB39" s="115" t="n"/>
      <c r="DC39" s="116" t="n"/>
      <c r="DD39" s="188" t="n"/>
      <c r="DE39" s="118" t="n"/>
      <c r="DF39" s="119" t="n"/>
      <c r="DG39" s="118" t="n"/>
      <c r="DH39" s="119" t="n"/>
      <c r="DI39" s="118" t="n"/>
      <c r="DJ39" s="119" t="n"/>
      <c r="DK39" s="118" t="n"/>
      <c r="DL39" s="119" t="n"/>
      <c r="DM39" s="118" t="n"/>
      <c r="DN39" s="119" t="n"/>
      <c r="DO39" s="118" t="n"/>
      <c r="DP39" s="119" t="n"/>
      <c r="DQ39" s="118" t="n"/>
      <c r="DR39" s="119" t="n"/>
      <c r="DS39" s="118" t="n"/>
      <c r="DT39" s="119" t="n"/>
      <c r="DU39" s="189" t="n"/>
      <c r="DV39" s="121" t="n"/>
      <c r="DW39" s="122" t="n"/>
      <c r="DX39" s="121" t="n"/>
      <c r="DY39" s="122" t="n"/>
      <c r="DZ39" s="121" t="n"/>
      <c r="EA39" s="122" t="n"/>
      <c r="EB39" s="121" t="n"/>
      <c r="EC39" s="122" t="n"/>
      <c r="ED39" s="121" t="n"/>
      <c r="EE39" s="122" t="n"/>
      <c r="EF39" s="121" t="n"/>
      <c r="EG39" s="122" t="n"/>
      <c r="EH39" s="121" t="n"/>
      <c r="EI39" s="122" t="n"/>
      <c r="EJ39" s="121" t="n"/>
      <c r="EK39" s="122" t="n"/>
      <c r="EL39" s="190" t="n"/>
      <c r="EM39" s="124" t="n"/>
      <c r="EN39" s="125" t="n"/>
      <c r="EO39" s="124" t="n"/>
      <c r="EP39" s="125" t="n"/>
      <c r="EQ39" s="124" t="n"/>
      <c r="ER39" s="125" t="n"/>
      <c r="ES39" s="124" t="n"/>
      <c r="ET39" s="125" t="n"/>
      <c r="EU39" s="124" t="n"/>
      <c r="EV39" s="125" t="n"/>
      <c r="EW39" s="124" t="n"/>
      <c r="EX39" s="125" t="n"/>
      <c r="EY39" s="124" t="n"/>
      <c r="EZ39" s="125" t="n"/>
      <c r="FA39" s="124" t="n"/>
      <c r="FB39" s="125" t="n"/>
      <c r="FC39" s="191" t="n"/>
      <c r="FD39" s="127" t="n"/>
      <c r="FE39" s="128" t="n"/>
      <c r="FF39" s="127" t="n"/>
      <c r="FG39" s="128" t="n"/>
      <c r="FH39" s="127" t="n"/>
      <c r="FI39" s="128" t="n"/>
      <c r="FJ39" s="127" t="n"/>
      <c r="FK39" s="128" t="n"/>
      <c r="FL39" s="127" t="n"/>
      <c r="FM39" s="128" t="n"/>
      <c r="FN39" s="127" t="n"/>
      <c r="FO39" s="128" t="n"/>
      <c r="FP39" s="127" t="n"/>
      <c r="FQ39" s="128" t="n"/>
      <c r="FR39" s="127" t="n"/>
      <c r="FS39" s="128" t="n"/>
      <c r="FT39" s="192" t="n"/>
      <c r="FU39" s="130" t="n"/>
      <c r="FV39" s="131" t="n"/>
      <c r="FW39" s="130" t="n"/>
      <c r="FX39" s="131" t="n"/>
      <c r="FY39" s="130" t="n"/>
      <c r="FZ39" s="131" t="n"/>
      <c r="GA39" s="130" t="n"/>
      <c r="GB39" s="131" t="n"/>
      <c r="GC39" s="130" t="n"/>
      <c r="GD39" s="131" t="n"/>
      <c r="GE39" s="130" t="n"/>
      <c r="GF39" s="131" t="n"/>
      <c r="GG39" s="130" t="n"/>
      <c r="GH39" s="131" t="n"/>
      <c r="GI39" s="130" t="n"/>
      <c r="GJ39" s="131" t="n"/>
      <c r="GK39" s="193" t="n"/>
      <c r="GL39" s="133" t="n"/>
      <c r="GM39" s="134" t="n"/>
      <c r="GN39" s="133" t="n"/>
      <c r="GO39" s="134" t="n"/>
      <c r="GP39" s="133" t="n"/>
      <c r="GQ39" s="134" t="n"/>
      <c r="GR39" s="133" t="n"/>
      <c r="GS39" s="134" t="n"/>
      <c r="GT39" s="133" t="n"/>
      <c r="GU39" s="134" t="n"/>
      <c r="GV39" s="133" t="n"/>
      <c r="GW39" s="134" t="n"/>
      <c r="GX39" s="133" t="n"/>
      <c r="GY39" s="134" t="n"/>
      <c r="GZ39" s="133" t="n"/>
      <c r="HA39" s="134" t="n"/>
      <c r="HB39" s="194" t="n"/>
      <c r="HC39">
        <f>SUMIFS($G39:$HA39,$G$36:$HA$36,"درجة",$H39:$HB39,"&gt;0")</f>
        <v>0</v>
      </c>
      <c r="HD39">
        <f>SUMIFS($H39:$HB39,$G$36:$HA$36,"درجة",$G39:$HA39,"&gt;=0")</f>
        <v>0</v>
      </c>
    </row>
    <row r="40" ht="22.5" customHeight="1">
      <c r="A40" s="36" t="n">
        <v>4</v>
      </c>
      <c r="B40" s="181" t="str">
        <f>IF($B7="","",$B7)</f>
        <v/>
      </c>
      <c r="C40" s="136" t="str">
        <f>IF(OR($B40="",$HD40=0),"",ROUND($HC40,2)&amp;" / "&amp;$HD40)</f>
        <v/>
      </c>
      <c r="D40" s="182" t="str">
        <f>IF(OR($B40="",$HD40=0),"",$HC40/$HD40)</f>
        <v/>
      </c>
      <c r="E40" s="136" t="n"/>
      <c r="F40" s="99" t="str">
        <f>IF($D40="","",IF($D40&gt;=0.85,"ممتاز",IF($D40&gt;=0.75,"جيد جداً",IF($D40&gt;=0.65,"جيد",IF($D40&gt;=0.5,"مقبول","ضعيف")))))</f>
        <v/>
      </c>
      <c r="G40" s="100" t="n"/>
      <c r="H40" s="101" t="n"/>
      <c r="I40" s="100" t="n"/>
      <c r="J40" s="101" t="n"/>
      <c r="K40" s="100" t="n"/>
      <c r="L40" s="101" t="n"/>
      <c r="M40" s="100" t="n"/>
      <c r="N40" s="101" t="n"/>
      <c r="O40" s="100" t="n"/>
      <c r="P40" s="101" t="n"/>
      <c r="Q40" s="100" t="n"/>
      <c r="R40" s="101" t="n"/>
      <c r="S40" s="100" t="n"/>
      <c r="T40" s="101" t="n"/>
      <c r="U40" s="100" t="n"/>
      <c r="V40" s="101" t="n"/>
      <c r="W40" s="183" t="n"/>
      <c r="X40" s="103" t="n"/>
      <c r="Y40" s="104" t="n"/>
      <c r="Z40" s="103" t="n"/>
      <c r="AA40" s="104" t="n"/>
      <c r="AB40" s="103" t="n"/>
      <c r="AC40" s="104" t="n"/>
      <c r="AD40" s="103" t="n"/>
      <c r="AE40" s="104" t="n"/>
      <c r="AF40" s="103" t="n"/>
      <c r="AG40" s="104" t="n"/>
      <c r="AH40" s="103" t="n"/>
      <c r="AI40" s="104" t="n"/>
      <c r="AJ40" s="103" t="n"/>
      <c r="AK40" s="104" t="n"/>
      <c r="AL40" s="103" t="n"/>
      <c r="AM40" s="104" t="n"/>
      <c r="AN40" s="184" t="n"/>
      <c r="AO40" s="106" t="n"/>
      <c r="AP40" s="107" t="n"/>
      <c r="AQ40" s="106" t="n"/>
      <c r="AR40" s="107" t="n"/>
      <c r="AS40" s="106" t="n"/>
      <c r="AT40" s="107" t="n"/>
      <c r="AU40" s="106" t="n"/>
      <c r="AV40" s="107" t="n"/>
      <c r="AW40" s="106" t="n"/>
      <c r="AX40" s="107" t="n"/>
      <c r="AY40" s="106" t="n"/>
      <c r="AZ40" s="107" t="n"/>
      <c r="BA40" s="106" t="n"/>
      <c r="BB40" s="107" t="n"/>
      <c r="BC40" s="106" t="n"/>
      <c r="BD40" s="107" t="n"/>
      <c r="BE40" s="185" t="n"/>
      <c r="BF40" s="109" t="n"/>
      <c r="BG40" s="110" t="n"/>
      <c r="BH40" s="109" t="n"/>
      <c r="BI40" s="110" t="n"/>
      <c r="BJ40" s="109" t="n"/>
      <c r="BK40" s="110" t="n"/>
      <c r="BL40" s="109" t="n"/>
      <c r="BM40" s="110" t="n"/>
      <c r="BN40" s="109" t="n"/>
      <c r="BO40" s="110" t="n"/>
      <c r="BP40" s="109" t="n"/>
      <c r="BQ40" s="110" t="n"/>
      <c r="BR40" s="109" t="n"/>
      <c r="BS40" s="110" t="n"/>
      <c r="BT40" s="109" t="n"/>
      <c r="BU40" s="110" t="n"/>
      <c r="BV40" s="186" t="n"/>
      <c r="BW40" s="112" t="n"/>
      <c r="BX40" s="113" t="n"/>
      <c r="BY40" s="112" t="n"/>
      <c r="BZ40" s="113" t="n"/>
      <c r="CA40" s="112" t="n"/>
      <c r="CB40" s="113" t="n"/>
      <c r="CC40" s="112" t="n"/>
      <c r="CD40" s="113" t="n"/>
      <c r="CE40" s="112" t="n"/>
      <c r="CF40" s="113" t="n"/>
      <c r="CG40" s="112" t="n"/>
      <c r="CH40" s="113" t="n"/>
      <c r="CI40" s="112" t="n"/>
      <c r="CJ40" s="113" t="n"/>
      <c r="CK40" s="112" t="n"/>
      <c r="CL40" s="113" t="n"/>
      <c r="CM40" s="187" t="n"/>
      <c r="CN40" s="115" t="n"/>
      <c r="CO40" s="116" t="n"/>
      <c r="CP40" s="115" t="n"/>
      <c r="CQ40" s="116" t="n"/>
      <c r="CR40" s="115" t="n"/>
      <c r="CS40" s="116" t="n"/>
      <c r="CT40" s="115" t="n"/>
      <c r="CU40" s="116" t="n"/>
      <c r="CV40" s="115" t="n"/>
      <c r="CW40" s="116" t="n"/>
      <c r="CX40" s="115" t="n"/>
      <c r="CY40" s="116" t="n"/>
      <c r="CZ40" s="115" t="n"/>
      <c r="DA40" s="116" t="n"/>
      <c r="DB40" s="115" t="n"/>
      <c r="DC40" s="116" t="n"/>
      <c r="DD40" s="188" t="n"/>
      <c r="DE40" s="118" t="n"/>
      <c r="DF40" s="119" t="n"/>
      <c r="DG40" s="118" t="n"/>
      <c r="DH40" s="119" t="n"/>
      <c r="DI40" s="118" t="n"/>
      <c r="DJ40" s="119" t="n"/>
      <c r="DK40" s="118" t="n"/>
      <c r="DL40" s="119" t="n"/>
      <c r="DM40" s="118" t="n"/>
      <c r="DN40" s="119" t="n"/>
      <c r="DO40" s="118" t="n"/>
      <c r="DP40" s="119" t="n"/>
      <c r="DQ40" s="118" t="n"/>
      <c r="DR40" s="119" t="n"/>
      <c r="DS40" s="118" t="n"/>
      <c r="DT40" s="119" t="n"/>
      <c r="DU40" s="189" t="n"/>
      <c r="DV40" s="121" t="n"/>
      <c r="DW40" s="122" t="n"/>
      <c r="DX40" s="121" t="n"/>
      <c r="DY40" s="122" t="n"/>
      <c r="DZ40" s="121" t="n"/>
      <c r="EA40" s="122" t="n"/>
      <c r="EB40" s="121" t="n"/>
      <c r="EC40" s="122" t="n"/>
      <c r="ED40" s="121" t="n"/>
      <c r="EE40" s="122" t="n"/>
      <c r="EF40" s="121" t="n"/>
      <c r="EG40" s="122" t="n"/>
      <c r="EH40" s="121" t="n"/>
      <c r="EI40" s="122" t="n"/>
      <c r="EJ40" s="121" t="n"/>
      <c r="EK40" s="122" t="n"/>
      <c r="EL40" s="190" t="n"/>
      <c r="EM40" s="124" t="n"/>
      <c r="EN40" s="125" t="n"/>
      <c r="EO40" s="124" t="n"/>
      <c r="EP40" s="125" t="n"/>
      <c r="EQ40" s="124" t="n"/>
      <c r="ER40" s="125" t="n"/>
      <c r="ES40" s="124" t="n"/>
      <c r="ET40" s="125" t="n"/>
      <c r="EU40" s="124" t="n"/>
      <c r="EV40" s="125" t="n"/>
      <c r="EW40" s="124" t="n"/>
      <c r="EX40" s="125" t="n"/>
      <c r="EY40" s="124" t="n"/>
      <c r="EZ40" s="125" t="n"/>
      <c r="FA40" s="124" t="n"/>
      <c r="FB40" s="125" t="n"/>
      <c r="FC40" s="191" t="n"/>
      <c r="FD40" s="127" t="n"/>
      <c r="FE40" s="128" t="n"/>
      <c r="FF40" s="127" t="n"/>
      <c r="FG40" s="128" t="n"/>
      <c r="FH40" s="127" t="n"/>
      <c r="FI40" s="128" t="n"/>
      <c r="FJ40" s="127" t="n"/>
      <c r="FK40" s="128" t="n"/>
      <c r="FL40" s="127" t="n"/>
      <c r="FM40" s="128" t="n"/>
      <c r="FN40" s="127" t="n"/>
      <c r="FO40" s="128" t="n"/>
      <c r="FP40" s="127" t="n"/>
      <c r="FQ40" s="128" t="n"/>
      <c r="FR40" s="127" t="n"/>
      <c r="FS40" s="128" t="n"/>
      <c r="FT40" s="192" t="n"/>
      <c r="FU40" s="130" t="n"/>
      <c r="FV40" s="131" t="n"/>
      <c r="FW40" s="130" t="n"/>
      <c r="FX40" s="131" t="n"/>
      <c r="FY40" s="130" t="n"/>
      <c r="FZ40" s="131" t="n"/>
      <c r="GA40" s="130" t="n"/>
      <c r="GB40" s="131" t="n"/>
      <c r="GC40" s="130" t="n"/>
      <c r="GD40" s="131" t="n"/>
      <c r="GE40" s="130" t="n"/>
      <c r="GF40" s="131" t="n"/>
      <c r="GG40" s="130" t="n"/>
      <c r="GH40" s="131" t="n"/>
      <c r="GI40" s="130" t="n"/>
      <c r="GJ40" s="131" t="n"/>
      <c r="GK40" s="193" t="n"/>
      <c r="GL40" s="133" t="n"/>
      <c r="GM40" s="134" t="n"/>
      <c r="GN40" s="133" t="n"/>
      <c r="GO40" s="134" t="n"/>
      <c r="GP40" s="133" t="n"/>
      <c r="GQ40" s="134" t="n"/>
      <c r="GR40" s="133" t="n"/>
      <c r="GS40" s="134" t="n"/>
      <c r="GT40" s="133" t="n"/>
      <c r="GU40" s="134" t="n"/>
      <c r="GV40" s="133" t="n"/>
      <c r="GW40" s="134" t="n"/>
      <c r="GX40" s="133" t="n"/>
      <c r="GY40" s="134" t="n"/>
      <c r="GZ40" s="133" t="n"/>
      <c r="HA40" s="134" t="n"/>
      <c r="HB40" s="194" t="n"/>
      <c r="HC40">
        <f>SUMIFS($G40:$HA40,$G$36:$HA$36,"درجة",$H40:$HB40,"&gt;0")</f>
        <v>0</v>
      </c>
      <c r="HD40">
        <f>SUMIFS($H40:$HB40,$G$36:$HA$36,"درجة",$G40:$HA40,"&gt;=0")</f>
        <v>0</v>
      </c>
    </row>
    <row r="41" ht="22.5" customHeight="1">
      <c r="A41" s="36" t="n">
        <v>5</v>
      </c>
      <c r="B41" s="181" t="str">
        <f>IF($B8="","",$B8)</f>
        <v/>
      </c>
      <c r="C41" s="136" t="str">
        <f>IF(OR($B41="",$HD41=0),"",ROUND($HC41,2)&amp;" / "&amp;$HD41)</f>
        <v/>
      </c>
      <c r="D41" s="182" t="str">
        <f>IF(OR($B41="",$HD41=0),"",$HC41/$HD41)</f>
        <v/>
      </c>
      <c r="E41" s="136" t="n"/>
      <c r="F41" s="99" t="str">
        <f>IF($D41="","",IF($D41&gt;=0.85,"ممتاز",IF($D41&gt;=0.75,"جيد جداً",IF($D41&gt;=0.65,"جيد",IF($D41&gt;=0.5,"مقبول","ضعيف")))))</f>
        <v/>
      </c>
      <c r="G41" s="100" t="n"/>
      <c r="H41" s="101" t="n"/>
      <c r="I41" s="100" t="n"/>
      <c r="J41" s="101" t="n"/>
      <c r="K41" s="100" t="n"/>
      <c r="L41" s="101" t="n"/>
      <c r="M41" s="100" t="n"/>
      <c r="N41" s="101" t="n"/>
      <c r="O41" s="100" t="n"/>
      <c r="P41" s="101" t="n"/>
      <c r="Q41" s="100" t="n"/>
      <c r="R41" s="101" t="n"/>
      <c r="S41" s="100" t="n"/>
      <c r="T41" s="101" t="n"/>
      <c r="U41" s="100" t="n"/>
      <c r="V41" s="101" t="n"/>
      <c r="W41" s="183" t="n"/>
      <c r="X41" s="103" t="n"/>
      <c r="Y41" s="104" t="n"/>
      <c r="Z41" s="103" t="n"/>
      <c r="AA41" s="104" t="n"/>
      <c r="AB41" s="103" t="n"/>
      <c r="AC41" s="104" t="n"/>
      <c r="AD41" s="103" t="n"/>
      <c r="AE41" s="104" t="n"/>
      <c r="AF41" s="103" t="n"/>
      <c r="AG41" s="104" t="n"/>
      <c r="AH41" s="103" t="n"/>
      <c r="AI41" s="104" t="n"/>
      <c r="AJ41" s="103" t="n"/>
      <c r="AK41" s="104" t="n"/>
      <c r="AL41" s="103" t="n"/>
      <c r="AM41" s="104" t="n"/>
      <c r="AN41" s="184" t="n"/>
      <c r="AO41" s="106" t="n"/>
      <c r="AP41" s="107" t="n"/>
      <c r="AQ41" s="106" t="n"/>
      <c r="AR41" s="107" t="n"/>
      <c r="AS41" s="106" t="n"/>
      <c r="AT41" s="107" t="n"/>
      <c r="AU41" s="106" t="n"/>
      <c r="AV41" s="107" t="n"/>
      <c r="AW41" s="106" t="n"/>
      <c r="AX41" s="107" t="n"/>
      <c r="AY41" s="106" t="n"/>
      <c r="AZ41" s="107" t="n"/>
      <c r="BA41" s="106" t="n"/>
      <c r="BB41" s="107" t="n"/>
      <c r="BC41" s="106" t="n"/>
      <c r="BD41" s="107" t="n"/>
      <c r="BE41" s="185" t="n"/>
      <c r="BF41" s="109" t="n"/>
      <c r="BG41" s="110" t="n"/>
      <c r="BH41" s="109" t="n"/>
      <c r="BI41" s="110" t="n"/>
      <c r="BJ41" s="109" t="n"/>
      <c r="BK41" s="110" t="n"/>
      <c r="BL41" s="109" t="n"/>
      <c r="BM41" s="110" t="n"/>
      <c r="BN41" s="109" t="n"/>
      <c r="BO41" s="110" t="n"/>
      <c r="BP41" s="109" t="n"/>
      <c r="BQ41" s="110" t="n"/>
      <c r="BR41" s="109" t="n"/>
      <c r="BS41" s="110" t="n"/>
      <c r="BT41" s="109" t="n"/>
      <c r="BU41" s="110" t="n"/>
      <c r="BV41" s="186" t="n"/>
      <c r="BW41" s="112" t="n"/>
      <c r="BX41" s="113" t="n"/>
      <c r="BY41" s="112" t="n"/>
      <c r="BZ41" s="113" t="n"/>
      <c r="CA41" s="112" t="n"/>
      <c r="CB41" s="113" t="n"/>
      <c r="CC41" s="112" t="n"/>
      <c r="CD41" s="113" t="n"/>
      <c r="CE41" s="112" t="n"/>
      <c r="CF41" s="113" t="n"/>
      <c r="CG41" s="112" t="n"/>
      <c r="CH41" s="113" t="n"/>
      <c r="CI41" s="112" t="n"/>
      <c r="CJ41" s="113" t="n"/>
      <c r="CK41" s="112" t="n"/>
      <c r="CL41" s="113" t="n"/>
      <c r="CM41" s="187" t="n"/>
      <c r="CN41" s="115" t="n"/>
      <c r="CO41" s="116" t="n"/>
      <c r="CP41" s="115" t="n"/>
      <c r="CQ41" s="116" t="n"/>
      <c r="CR41" s="115" t="n"/>
      <c r="CS41" s="116" t="n"/>
      <c r="CT41" s="115" t="n"/>
      <c r="CU41" s="116" t="n"/>
      <c r="CV41" s="115" t="n"/>
      <c r="CW41" s="116" t="n"/>
      <c r="CX41" s="115" t="n"/>
      <c r="CY41" s="116" t="n"/>
      <c r="CZ41" s="115" t="n"/>
      <c r="DA41" s="116" t="n"/>
      <c r="DB41" s="115" t="n"/>
      <c r="DC41" s="116" t="n"/>
      <c r="DD41" s="188" t="n"/>
      <c r="DE41" s="118" t="n"/>
      <c r="DF41" s="119" t="n"/>
      <c r="DG41" s="118" t="n"/>
      <c r="DH41" s="119" t="n"/>
      <c r="DI41" s="118" t="n"/>
      <c r="DJ41" s="119" t="n"/>
      <c r="DK41" s="118" t="n"/>
      <c r="DL41" s="119" t="n"/>
      <c r="DM41" s="118" t="n"/>
      <c r="DN41" s="119" t="n"/>
      <c r="DO41" s="118" t="n"/>
      <c r="DP41" s="119" t="n"/>
      <c r="DQ41" s="118" t="n"/>
      <c r="DR41" s="119" t="n"/>
      <c r="DS41" s="118" t="n"/>
      <c r="DT41" s="119" t="n"/>
      <c r="DU41" s="189" t="n"/>
      <c r="DV41" s="121" t="n"/>
      <c r="DW41" s="122" t="n"/>
      <c r="DX41" s="121" t="n"/>
      <c r="DY41" s="122" t="n"/>
      <c r="DZ41" s="121" t="n"/>
      <c r="EA41" s="122" t="n"/>
      <c r="EB41" s="121" t="n"/>
      <c r="EC41" s="122" t="n"/>
      <c r="ED41" s="121" t="n"/>
      <c r="EE41" s="122" t="n"/>
      <c r="EF41" s="121" t="n"/>
      <c r="EG41" s="122" t="n"/>
      <c r="EH41" s="121" t="n"/>
      <c r="EI41" s="122" t="n"/>
      <c r="EJ41" s="121" t="n"/>
      <c r="EK41" s="122" t="n"/>
      <c r="EL41" s="190" t="n"/>
      <c r="EM41" s="124" t="n"/>
      <c r="EN41" s="125" t="n"/>
      <c r="EO41" s="124" t="n"/>
      <c r="EP41" s="125" t="n"/>
      <c r="EQ41" s="124" t="n"/>
      <c r="ER41" s="125" t="n"/>
      <c r="ES41" s="124" t="n"/>
      <c r="ET41" s="125" t="n"/>
      <c r="EU41" s="124" t="n"/>
      <c r="EV41" s="125" t="n"/>
      <c r="EW41" s="124" t="n"/>
      <c r="EX41" s="125" t="n"/>
      <c r="EY41" s="124" t="n"/>
      <c r="EZ41" s="125" t="n"/>
      <c r="FA41" s="124" t="n"/>
      <c r="FB41" s="125" t="n"/>
      <c r="FC41" s="191" t="n"/>
      <c r="FD41" s="127" t="n"/>
      <c r="FE41" s="128" t="n"/>
      <c r="FF41" s="127" t="n"/>
      <c r="FG41" s="128" t="n"/>
      <c r="FH41" s="127" t="n"/>
      <c r="FI41" s="128" t="n"/>
      <c r="FJ41" s="127" t="n"/>
      <c r="FK41" s="128" t="n"/>
      <c r="FL41" s="127" t="n"/>
      <c r="FM41" s="128" t="n"/>
      <c r="FN41" s="127" t="n"/>
      <c r="FO41" s="128" t="n"/>
      <c r="FP41" s="127" t="n"/>
      <c r="FQ41" s="128" t="n"/>
      <c r="FR41" s="127" t="n"/>
      <c r="FS41" s="128" t="n"/>
      <c r="FT41" s="192" t="n"/>
      <c r="FU41" s="130" t="n"/>
      <c r="FV41" s="131" t="n"/>
      <c r="FW41" s="130" t="n"/>
      <c r="FX41" s="131" t="n"/>
      <c r="FY41" s="130" t="n"/>
      <c r="FZ41" s="131" t="n"/>
      <c r="GA41" s="130" t="n"/>
      <c r="GB41" s="131" t="n"/>
      <c r="GC41" s="130" t="n"/>
      <c r="GD41" s="131" t="n"/>
      <c r="GE41" s="130" t="n"/>
      <c r="GF41" s="131" t="n"/>
      <c r="GG41" s="130" t="n"/>
      <c r="GH41" s="131" t="n"/>
      <c r="GI41" s="130" t="n"/>
      <c r="GJ41" s="131" t="n"/>
      <c r="GK41" s="193" t="n"/>
      <c r="GL41" s="133" t="n"/>
      <c r="GM41" s="134" t="n"/>
      <c r="GN41" s="133" t="n"/>
      <c r="GO41" s="134" t="n"/>
      <c r="GP41" s="133" t="n"/>
      <c r="GQ41" s="134" t="n"/>
      <c r="GR41" s="133" t="n"/>
      <c r="GS41" s="134" t="n"/>
      <c r="GT41" s="133" t="n"/>
      <c r="GU41" s="134" t="n"/>
      <c r="GV41" s="133" t="n"/>
      <c r="GW41" s="134" t="n"/>
      <c r="GX41" s="133" t="n"/>
      <c r="GY41" s="134" t="n"/>
      <c r="GZ41" s="133" t="n"/>
      <c r="HA41" s="134" t="n"/>
      <c r="HB41" s="194" t="n"/>
      <c r="HC41">
        <f>SUMIFS($G41:$HA41,$G$36:$HA$36,"درجة",$H41:$HB41,"&gt;0")</f>
        <v>0</v>
      </c>
      <c r="HD41">
        <f>SUMIFS($H41:$HB41,$G$36:$HA$36,"درجة",$G41:$HA41,"&gt;=0")</f>
        <v>0</v>
      </c>
    </row>
    <row r="42" ht="22.5" customHeight="1">
      <c r="A42" s="36" t="n">
        <v>6</v>
      </c>
      <c r="B42" s="181" t="str">
        <f>IF($B9="","",$B9)</f>
        <v/>
      </c>
      <c r="C42" s="136" t="str">
        <f>IF(OR($B42="",$HD42=0),"",ROUND($HC42,2)&amp;" / "&amp;$HD42)</f>
        <v/>
      </c>
      <c r="D42" s="182" t="str">
        <f>IF(OR($B42="",$HD42=0),"",$HC42/$HD42)</f>
        <v/>
      </c>
      <c r="E42" s="136" t="n"/>
      <c r="F42" s="99" t="str">
        <f>IF($D42="","",IF($D42&gt;=0.85,"ممتاز",IF($D42&gt;=0.75,"جيد جداً",IF($D42&gt;=0.65,"جيد",IF($D42&gt;=0.5,"مقبول","ضعيف")))))</f>
        <v/>
      </c>
      <c r="G42" s="100" t="n"/>
      <c r="H42" s="101" t="n"/>
      <c r="I42" s="100" t="n"/>
      <c r="J42" s="101" t="n"/>
      <c r="K42" s="100" t="n"/>
      <c r="L42" s="101" t="n"/>
      <c r="M42" s="100" t="n"/>
      <c r="N42" s="101" t="n"/>
      <c r="O42" s="100" t="n"/>
      <c r="P42" s="101" t="n"/>
      <c r="Q42" s="100" t="n"/>
      <c r="R42" s="101" t="n"/>
      <c r="S42" s="100" t="n"/>
      <c r="T42" s="101" t="n"/>
      <c r="U42" s="100" t="n"/>
      <c r="V42" s="101" t="n"/>
      <c r="W42" s="183" t="n"/>
      <c r="X42" s="103" t="n"/>
      <c r="Y42" s="104" t="n"/>
      <c r="Z42" s="103" t="n"/>
      <c r="AA42" s="104" t="n"/>
      <c r="AB42" s="103" t="n"/>
      <c r="AC42" s="104" t="n"/>
      <c r="AD42" s="103" t="n"/>
      <c r="AE42" s="104" t="n"/>
      <c r="AF42" s="103" t="n"/>
      <c r="AG42" s="104" t="n"/>
      <c r="AH42" s="103" t="n"/>
      <c r="AI42" s="104" t="n"/>
      <c r="AJ42" s="103" t="n"/>
      <c r="AK42" s="104" t="n"/>
      <c r="AL42" s="103" t="n"/>
      <c r="AM42" s="104" t="n"/>
      <c r="AN42" s="184" t="n"/>
      <c r="AO42" s="106" t="n"/>
      <c r="AP42" s="107" t="n"/>
      <c r="AQ42" s="106" t="n"/>
      <c r="AR42" s="107" t="n"/>
      <c r="AS42" s="106" t="n"/>
      <c r="AT42" s="107" t="n"/>
      <c r="AU42" s="106" t="n"/>
      <c r="AV42" s="107" t="n"/>
      <c r="AW42" s="106" t="n"/>
      <c r="AX42" s="107" t="n"/>
      <c r="AY42" s="106" t="n"/>
      <c r="AZ42" s="107" t="n"/>
      <c r="BA42" s="106" t="n"/>
      <c r="BB42" s="107" t="n"/>
      <c r="BC42" s="106" t="n"/>
      <c r="BD42" s="107" t="n"/>
      <c r="BE42" s="185" t="n"/>
      <c r="BF42" s="109" t="n"/>
      <c r="BG42" s="110" t="n"/>
      <c r="BH42" s="109" t="n"/>
      <c r="BI42" s="110" t="n"/>
      <c r="BJ42" s="109" t="n"/>
      <c r="BK42" s="110" t="n"/>
      <c r="BL42" s="109" t="n"/>
      <c r="BM42" s="110" t="n"/>
      <c r="BN42" s="109" t="n"/>
      <c r="BO42" s="110" t="n"/>
      <c r="BP42" s="109" t="n"/>
      <c r="BQ42" s="110" t="n"/>
      <c r="BR42" s="109" t="n"/>
      <c r="BS42" s="110" t="n"/>
      <c r="BT42" s="109" t="n"/>
      <c r="BU42" s="110" t="n"/>
      <c r="BV42" s="186" t="n"/>
      <c r="BW42" s="112" t="n"/>
      <c r="BX42" s="113" t="n"/>
      <c r="BY42" s="112" t="n"/>
      <c r="BZ42" s="113" t="n"/>
      <c r="CA42" s="112" t="n"/>
      <c r="CB42" s="113" t="n"/>
      <c r="CC42" s="112" t="n"/>
      <c r="CD42" s="113" t="n"/>
      <c r="CE42" s="112" t="n"/>
      <c r="CF42" s="113" t="n"/>
      <c r="CG42" s="112" t="n"/>
      <c r="CH42" s="113" t="n"/>
      <c r="CI42" s="112" t="n"/>
      <c r="CJ42" s="113" t="n"/>
      <c r="CK42" s="112" t="n"/>
      <c r="CL42" s="113" t="n"/>
      <c r="CM42" s="187" t="n"/>
      <c r="CN42" s="115" t="n"/>
      <c r="CO42" s="116" t="n"/>
      <c r="CP42" s="115" t="n"/>
      <c r="CQ42" s="116" t="n"/>
      <c r="CR42" s="115" t="n"/>
      <c r="CS42" s="116" t="n"/>
      <c r="CT42" s="115" t="n"/>
      <c r="CU42" s="116" t="n"/>
      <c r="CV42" s="115" t="n"/>
      <c r="CW42" s="116" t="n"/>
      <c r="CX42" s="115" t="n"/>
      <c r="CY42" s="116" t="n"/>
      <c r="CZ42" s="115" t="n"/>
      <c r="DA42" s="116" t="n"/>
      <c r="DB42" s="115" t="n"/>
      <c r="DC42" s="116" t="n"/>
      <c r="DD42" s="188" t="n"/>
      <c r="DE42" s="118" t="n"/>
      <c r="DF42" s="119" t="n"/>
      <c r="DG42" s="118" t="n"/>
      <c r="DH42" s="119" t="n"/>
      <c r="DI42" s="118" t="n"/>
      <c r="DJ42" s="119" t="n"/>
      <c r="DK42" s="118" t="n"/>
      <c r="DL42" s="119" t="n"/>
      <c r="DM42" s="118" t="n"/>
      <c r="DN42" s="119" t="n"/>
      <c r="DO42" s="118" t="n"/>
      <c r="DP42" s="119" t="n"/>
      <c r="DQ42" s="118" t="n"/>
      <c r="DR42" s="119" t="n"/>
      <c r="DS42" s="118" t="n"/>
      <c r="DT42" s="119" t="n"/>
      <c r="DU42" s="189" t="n"/>
      <c r="DV42" s="121" t="n"/>
      <c r="DW42" s="122" t="n"/>
      <c r="DX42" s="121" t="n"/>
      <c r="DY42" s="122" t="n"/>
      <c r="DZ42" s="121" t="n"/>
      <c r="EA42" s="122" t="n"/>
      <c r="EB42" s="121" t="n"/>
      <c r="EC42" s="122" t="n"/>
      <c r="ED42" s="121" t="n"/>
      <c r="EE42" s="122" t="n"/>
      <c r="EF42" s="121" t="n"/>
      <c r="EG42" s="122" t="n"/>
      <c r="EH42" s="121" t="n"/>
      <c r="EI42" s="122" t="n"/>
      <c r="EJ42" s="121" t="n"/>
      <c r="EK42" s="122" t="n"/>
      <c r="EL42" s="190" t="n"/>
      <c r="EM42" s="124" t="n"/>
      <c r="EN42" s="125" t="n"/>
      <c r="EO42" s="124" t="n"/>
      <c r="EP42" s="125" t="n"/>
      <c r="EQ42" s="124" t="n"/>
      <c r="ER42" s="125" t="n"/>
      <c r="ES42" s="124" t="n"/>
      <c r="ET42" s="125" t="n"/>
      <c r="EU42" s="124" t="n"/>
      <c r="EV42" s="125" t="n"/>
      <c r="EW42" s="124" t="n"/>
      <c r="EX42" s="125" t="n"/>
      <c r="EY42" s="124" t="n"/>
      <c r="EZ42" s="125" t="n"/>
      <c r="FA42" s="124" t="n"/>
      <c r="FB42" s="125" t="n"/>
      <c r="FC42" s="191" t="n"/>
      <c r="FD42" s="127" t="n"/>
      <c r="FE42" s="128" t="n"/>
      <c r="FF42" s="127" t="n"/>
      <c r="FG42" s="128" t="n"/>
      <c r="FH42" s="127" t="n"/>
      <c r="FI42" s="128" t="n"/>
      <c r="FJ42" s="127" t="n"/>
      <c r="FK42" s="128" t="n"/>
      <c r="FL42" s="127" t="n"/>
      <c r="FM42" s="128" t="n"/>
      <c r="FN42" s="127" t="n"/>
      <c r="FO42" s="128" t="n"/>
      <c r="FP42" s="127" t="n"/>
      <c r="FQ42" s="128" t="n"/>
      <c r="FR42" s="127" t="n"/>
      <c r="FS42" s="128" t="n"/>
      <c r="FT42" s="192" t="n"/>
      <c r="FU42" s="130" t="n"/>
      <c r="FV42" s="131" t="n"/>
      <c r="FW42" s="130" t="n"/>
      <c r="FX42" s="131" t="n"/>
      <c r="FY42" s="130" t="n"/>
      <c r="FZ42" s="131" t="n"/>
      <c r="GA42" s="130" t="n"/>
      <c r="GB42" s="131" t="n"/>
      <c r="GC42" s="130" t="n"/>
      <c r="GD42" s="131" t="n"/>
      <c r="GE42" s="130" t="n"/>
      <c r="GF42" s="131" t="n"/>
      <c r="GG42" s="130" t="n"/>
      <c r="GH42" s="131" t="n"/>
      <c r="GI42" s="130" t="n"/>
      <c r="GJ42" s="131" t="n"/>
      <c r="GK42" s="193" t="n"/>
      <c r="GL42" s="133" t="n"/>
      <c r="GM42" s="134" t="n"/>
      <c r="GN42" s="133" t="n"/>
      <c r="GO42" s="134" t="n"/>
      <c r="GP42" s="133" t="n"/>
      <c r="GQ42" s="134" t="n"/>
      <c r="GR42" s="133" t="n"/>
      <c r="GS42" s="134" t="n"/>
      <c r="GT42" s="133" t="n"/>
      <c r="GU42" s="134" t="n"/>
      <c r="GV42" s="133" t="n"/>
      <c r="GW42" s="134" t="n"/>
      <c r="GX42" s="133" t="n"/>
      <c r="GY42" s="134" t="n"/>
      <c r="GZ42" s="133" t="n"/>
      <c r="HA42" s="134" t="n"/>
      <c r="HB42" s="194" t="n"/>
      <c r="HC42">
        <f>SUMIFS($G42:$HA42,$G$36:$HA$36,"درجة",$H42:$HB42,"&gt;0")</f>
        <v>0</v>
      </c>
      <c r="HD42">
        <f>SUMIFS($H42:$HB42,$G$36:$HA$36,"درجة",$G42:$HA42,"&gt;=0")</f>
        <v>0</v>
      </c>
    </row>
    <row r="43" ht="22.5" customHeight="1">
      <c r="A43" s="36" t="n">
        <v>7</v>
      </c>
      <c r="B43" s="181" t="str">
        <f>IF($B10="","",$B10)</f>
        <v/>
      </c>
      <c r="C43" s="136" t="str">
        <f>IF(OR($B43="",$HD43=0),"",ROUND($HC43,2)&amp;" / "&amp;$HD43)</f>
        <v/>
      </c>
      <c r="D43" s="182" t="str">
        <f>IF(OR($B43="",$HD43=0),"",$HC43/$HD43)</f>
        <v/>
      </c>
      <c r="E43" s="136" t="n"/>
      <c r="F43" s="99" t="str">
        <f>IF($D43="","",IF($D43&gt;=0.85,"ممتاز",IF($D43&gt;=0.75,"جيد جداً",IF($D43&gt;=0.65,"جيد",IF($D43&gt;=0.5,"مقبول","ضعيف")))))</f>
        <v/>
      </c>
      <c r="G43" s="100" t="n"/>
      <c r="H43" s="101" t="n"/>
      <c r="I43" s="100" t="n"/>
      <c r="J43" s="101" t="n"/>
      <c r="K43" s="100" t="n"/>
      <c r="L43" s="101" t="n"/>
      <c r="M43" s="100" t="n"/>
      <c r="N43" s="101" t="n"/>
      <c r="O43" s="100" t="n"/>
      <c r="P43" s="101" t="n"/>
      <c r="Q43" s="100" t="n"/>
      <c r="R43" s="101" t="n"/>
      <c r="S43" s="100" t="n"/>
      <c r="T43" s="101" t="n"/>
      <c r="U43" s="100" t="n"/>
      <c r="V43" s="101" t="n"/>
      <c r="W43" s="183" t="n"/>
      <c r="X43" s="103" t="n"/>
      <c r="Y43" s="104" t="n"/>
      <c r="Z43" s="103" t="n"/>
      <c r="AA43" s="104" t="n"/>
      <c r="AB43" s="103" t="n"/>
      <c r="AC43" s="104" t="n"/>
      <c r="AD43" s="103" t="n"/>
      <c r="AE43" s="104" t="n"/>
      <c r="AF43" s="103" t="n"/>
      <c r="AG43" s="104" t="n"/>
      <c r="AH43" s="103" t="n"/>
      <c r="AI43" s="104" t="n"/>
      <c r="AJ43" s="103" t="n"/>
      <c r="AK43" s="104" t="n"/>
      <c r="AL43" s="103" t="n"/>
      <c r="AM43" s="104" t="n"/>
      <c r="AN43" s="184" t="n"/>
      <c r="AO43" s="106" t="n"/>
      <c r="AP43" s="107" t="n"/>
      <c r="AQ43" s="106" t="n"/>
      <c r="AR43" s="107" t="n"/>
      <c r="AS43" s="106" t="n"/>
      <c r="AT43" s="107" t="n"/>
      <c r="AU43" s="106" t="n"/>
      <c r="AV43" s="107" t="n"/>
      <c r="AW43" s="106" t="n"/>
      <c r="AX43" s="107" t="n"/>
      <c r="AY43" s="106" t="n"/>
      <c r="AZ43" s="107" t="n"/>
      <c r="BA43" s="106" t="n"/>
      <c r="BB43" s="107" t="n"/>
      <c r="BC43" s="106" t="n"/>
      <c r="BD43" s="107" t="n"/>
      <c r="BE43" s="185" t="n"/>
      <c r="BF43" s="109" t="n"/>
      <c r="BG43" s="110" t="n"/>
      <c r="BH43" s="109" t="n"/>
      <c r="BI43" s="110" t="n"/>
      <c r="BJ43" s="109" t="n"/>
      <c r="BK43" s="110" t="n"/>
      <c r="BL43" s="109" t="n"/>
      <c r="BM43" s="110" t="n"/>
      <c r="BN43" s="109" t="n"/>
      <c r="BO43" s="110" t="n"/>
      <c r="BP43" s="109" t="n"/>
      <c r="BQ43" s="110" t="n"/>
      <c r="BR43" s="109" t="n"/>
      <c r="BS43" s="110" t="n"/>
      <c r="BT43" s="109" t="n"/>
      <c r="BU43" s="110" t="n"/>
      <c r="BV43" s="186" t="n"/>
      <c r="BW43" s="112" t="n"/>
      <c r="BX43" s="113" t="n"/>
      <c r="BY43" s="112" t="n"/>
      <c r="BZ43" s="113" t="n"/>
      <c r="CA43" s="112" t="n"/>
      <c r="CB43" s="113" t="n"/>
      <c r="CC43" s="112" t="n"/>
      <c r="CD43" s="113" t="n"/>
      <c r="CE43" s="112" t="n"/>
      <c r="CF43" s="113" t="n"/>
      <c r="CG43" s="112" t="n"/>
      <c r="CH43" s="113" t="n"/>
      <c r="CI43" s="112" t="n"/>
      <c r="CJ43" s="113" t="n"/>
      <c r="CK43" s="112" t="n"/>
      <c r="CL43" s="113" t="n"/>
      <c r="CM43" s="187" t="n"/>
      <c r="CN43" s="115" t="n"/>
      <c r="CO43" s="116" t="n"/>
      <c r="CP43" s="115" t="n"/>
      <c r="CQ43" s="116" t="n"/>
      <c r="CR43" s="115" t="n"/>
      <c r="CS43" s="116" t="n"/>
      <c r="CT43" s="115" t="n"/>
      <c r="CU43" s="116" t="n"/>
      <c r="CV43" s="115" t="n"/>
      <c r="CW43" s="116" t="n"/>
      <c r="CX43" s="115" t="n"/>
      <c r="CY43" s="116" t="n"/>
      <c r="CZ43" s="115" t="n"/>
      <c r="DA43" s="116" t="n"/>
      <c r="DB43" s="115" t="n"/>
      <c r="DC43" s="116" t="n"/>
      <c r="DD43" s="188" t="n"/>
      <c r="DE43" s="118" t="n"/>
      <c r="DF43" s="119" t="n"/>
      <c r="DG43" s="118" t="n"/>
      <c r="DH43" s="119" t="n"/>
      <c r="DI43" s="118" t="n"/>
      <c r="DJ43" s="119" t="n"/>
      <c r="DK43" s="118" t="n"/>
      <c r="DL43" s="119" t="n"/>
      <c r="DM43" s="118" t="n"/>
      <c r="DN43" s="119" t="n"/>
      <c r="DO43" s="118" t="n"/>
      <c r="DP43" s="119" t="n"/>
      <c r="DQ43" s="118" t="n"/>
      <c r="DR43" s="119" t="n"/>
      <c r="DS43" s="118" t="n"/>
      <c r="DT43" s="119" t="n"/>
      <c r="DU43" s="189" t="n"/>
      <c r="DV43" s="121" t="n"/>
      <c r="DW43" s="122" t="n"/>
      <c r="DX43" s="121" t="n"/>
      <c r="DY43" s="122" t="n"/>
      <c r="DZ43" s="121" t="n"/>
      <c r="EA43" s="122" t="n"/>
      <c r="EB43" s="121" t="n"/>
      <c r="EC43" s="122" t="n"/>
      <c r="ED43" s="121" t="n"/>
      <c r="EE43" s="122" t="n"/>
      <c r="EF43" s="121" t="n"/>
      <c r="EG43" s="122" t="n"/>
      <c r="EH43" s="121" t="n"/>
      <c r="EI43" s="122" t="n"/>
      <c r="EJ43" s="121" t="n"/>
      <c r="EK43" s="122" t="n"/>
      <c r="EL43" s="190" t="n"/>
      <c r="EM43" s="124" t="n"/>
      <c r="EN43" s="125" t="n"/>
      <c r="EO43" s="124" t="n"/>
      <c r="EP43" s="125" t="n"/>
      <c r="EQ43" s="124" t="n"/>
      <c r="ER43" s="125" t="n"/>
      <c r="ES43" s="124" t="n"/>
      <c r="ET43" s="125" t="n"/>
      <c r="EU43" s="124" t="n"/>
      <c r="EV43" s="125" t="n"/>
      <c r="EW43" s="124" t="n"/>
      <c r="EX43" s="125" t="n"/>
      <c r="EY43" s="124" t="n"/>
      <c r="EZ43" s="125" t="n"/>
      <c r="FA43" s="124" t="n"/>
      <c r="FB43" s="125" t="n"/>
      <c r="FC43" s="191" t="n"/>
      <c r="FD43" s="127" t="n"/>
      <c r="FE43" s="128" t="n"/>
      <c r="FF43" s="127" t="n"/>
      <c r="FG43" s="128" t="n"/>
      <c r="FH43" s="127" t="n"/>
      <c r="FI43" s="128" t="n"/>
      <c r="FJ43" s="127" t="n"/>
      <c r="FK43" s="128" t="n"/>
      <c r="FL43" s="127" t="n"/>
      <c r="FM43" s="128" t="n"/>
      <c r="FN43" s="127" t="n"/>
      <c r="FO43" s="128" t="n"/>
      <c r="FP43" s="127" t="n"/>
      <c r="FQ43" s="128" t="n"/>
      <c r="FR43" s="127" t="n"/>
      <c r="FS43" s="128" t="n"/>
      <c r="FT43" s="192" t="n"/>
      <c r="FU43" s="130" t="n"/>
      <c r="FV43" s="131" t="n"/>
      <c r="FW43" s="130" t="n"/>
      <c r="FX43" s="131" t="n"/>
      <c r="FY43" s="130" t="n"/>
      <c r="FZ43" s="131" t="n"/>
      <c r="GA43" s="130" t="n"/>
      <c r="GB43" s="131" t="n"/>
      <c r="GC43" s="130" t="n"/>
      <c r="GD43" s="131" t="n"/>
      <c r="GE43" s="130" t="n"/>
      <c r="GF43" s="131" t="n"/>
      <c r="GG43" s="130" t="n"/>
      <c r="GH43" s="131" t="n"/>
      <c r="GI43" s="130" t="n"/>
      <c r="GJ43" s="131" t="n"/>
      <c r="GK43" s="193" t="n"/>
      <c r="GL43" s="133" t="n"/>
      <c r="GM43" s="134" t="n"/>
      <c r="GN43" s="133" t="n"/>
      <c r="GO43" s="134" t="n"/>
      <c r="GP43" s="133" t="n"/>
      <c r="GQ43" s="134" t="n"/>
      <c r="GR43" s="133" t="n"/>
      <c r="GS43" s="134" t="n"/>
      <c r="GT43" s="133" t="n"/>
      <c r="GU43" s="134" t="n"/>
      <c r="GV43" s="133" t="n"/>
      <c r="GW43" s="134" t="n"/>
      <c r="GX43" s="133" t="n"/>
      <c r="GY43" s="134" t="n"/>
      <c r="GZ43" s="133" t="n"/>
      <c r="HA43" s="134" t="n"/>
      <c r="HB43" s="194" t="n"/>
      <c r="HC43">
        <f>SUMIFS($G43:$HA43,$G$36:$HA$36,"درجة",$H43:$HB43,"&gt;0")</f>
        <v>0</v>
      </c>
      <c r="HD43">
        <f>SUMIFS($H43:$HB43,$G$36:$HA$36,"درجة",$G43:$HA43,"&gt;=0")</f>
        <v>0</v>
      </c>
    </row>
    <row r="44" ht="22.5" customHeight="1">
      <c r="A44" s="36" t="n">
        <v>8</v>
      </c>
      <c r="B44" s="181" t="str">
        <f>IF($B11="","",$B11)</f>
        <v/>
      </c>
      <c r="C44" s="136" t="str">
        <f>IF(OR($B44="",$HD44=0),"",ROUND($HC44,2)&amp;" / "&amp;$HD44)</f>
        <v/>
      </c>
      <c r="D44" s="182" t="str">
        <f>IF(OR($B44="",$HD44=0),"",$HC44/$HD44)</f>
        <v/>
      </c>
      <c r="E44" s="136" t="n"/>
      <c r="F44" s="99" t="str">
        <f>IF($D44="","",IF($D44&gt;=0.85,"ممتاز",IF($D44&gt;=0.75,"جيد جداً",IF($D44&gt;=0.65,"جيد",IF($D44&gt;=0.5,"مقبول","ضعيف")))))</f>
        <v/>
      </c>
      <c r="G44" s="100" t="n"/>
      <c r="H44" s="101" t="n"/>
      <c r="I44" s="100" t="n"/>
      <c r="J44" s="101" t="n"/>
      <c r="K44" s="100" t="n"/>
      <c r="L44" s="101" t="n"/>
      <c r="M44" s="100" t="n"/>
      <c r="N44" s="101" t="n"/>
      <c r="O44" s="100" t="n"/>
      <c r="P44" s="101" t="n"/>
      <c r="Q44" s="100" t="n"/>
      <c r="R44" s="101" t="n"/>
      <c r="S44" s="100" t="n"/>
      <c r="T44" s="101" t="n"/>
      <c r="U44" s="100" t="n"/>
      <c r="V44" s="101" t="n"/>
      <c r="W44" s="183" t="n"/>
      <c r="X44" s="103" t="n"/>
      <c r="Y44" s="104" t="n"/>
      <c r="Z44" s="103" t="n"/>
      <c r="AA44" s="104" t="n"/>
      <c r="AB44" s="103" t="n"/>
      <c r="AC44" s="104" t="n"/>
      <c r="AD44" s="103" t="n"/>
      <c r="AE44" s="104" t="n"/>
      <c r="AF44" s="103" t="n"/>
      <c r="AG44" s="104" t="n"/>
      <c r="AH44" s="103" t="n"/>
      <c r="AI44" s="104" t="n"/>
      <c r="AJ44" s="103" t="n"/>
      <c r="AK44" s="104" t="n"/>
      <c r="AL44" s="103" t="n"/>
      <c r="AM44" s="104" t="n"/>
      <c r="AN44" s="184" t="n"/>
      <c r="AO44" s="106" t="n"/>
      <c r="AP44" s="107" t="n"/>
      <c r="AQ44" s="106" t="n"/>
      <c r="AR44" s="107" t="n"/>
      <c r="AS44" s="106" t="n"/>
      <c r="AT44" s="107" t="n"/>
      <c r="AU44" s="106" t="n"/>
      <c r="AV44" s="107" t="n"/>
      <c r="AW44" s="106" t="n"/>
      <c r="AX44" s="107" t="n"/>
      <c r="AY44" s="106" t="n"/>
      <c r="AZ44" s="107" t="n"/>
      <c r="BA44" s="106" t="n"/>
      <c r="BB44" s="107" t="n"/>
      <c r="BC44" s="106" t="n"/>
      <c r="BD44" s="107" t="n"/>
      <c r="BE44" s="185" t="n"/>
      <c r="BF44" s="109" t="n"/>
      <c r="BG44" s="110" t="n"/>
      <c r="BH44" s="109" t="n"/>
      <c r="BI44" s="110" t="n"/>
      <c r="BJ44" s="109" t="n"/>
      <c r="BK44" s="110" t="n"/>
      <c r="BL44" s="109" t="n"/>
      <c r="BM44" s="110" t="n"/>
      <c r="BN44" s="109" t="n"/>
      <c r="BO44" s="110" t="n"/>
      <c r="BP44" s="109" t="n"/>
      <c r="BQ44" s="110" t="n"/>
      <c r="BR44" s="109" t="n"/>
      <c r="BS44" s="110" t="n"/>
      <c r="BT44" s="109" t="n"/>
      <c r="BU44" s="110" t="n"/>
      <c r="BV44" s="186" t="n"/>
      <c r="BW44" s="112" t="n"/>
      <c r="BX44" s="113" t="n"/>
      <c r="BY44" s="112" t="n"/>
      <c r="BZ44" s="113" t="n"/>
      <c r="CA44" s="112" t="n"/>
      <c r="CB44" s="113" t="n"/>
      <c r="CC44" s="112" t="n"/>
      <c r="CD44" s="113" t="n"/>
      <c r="CE44" s="112" t="n"/>
      <c r="CF44" s="113" t="n"/>
      <c r="CG44" s="112" t="n"/>
      <c r="CH44" s="113" t="n"/>
      <c r="CI44" s="112" t="n"/>
      <c r="CJ44" s="113" t="n"/>
      <c r="CK44" s="112" t="n"/>
      <c r="CL44" s="113" t="n"/>
      <c r="CM44" s="187" t="n"/>
      <c r="CN44" s="115" t="n"/>
      <c r="CO44" s="116" t="n"/>
      <c r="CP44" s="115" t="n"/>
      <c r="CQ44" s="116" t="n"/>
      <c r="CR44" s="115" t="n"/>
      <c r="CS44" s="116" t="n"/>
      <c r="CT44" s="115" t="n"/>
      <c r="CU44" s="116" t="n"/>
      <c r="CV44" s="115" t="n"/>
      <c r="CW44" s="116" t="n"/>
      <c r="CX44" s="115" t="n"/>
      <c r="CY44" s="116" t="n"/>
      <c r="CZ44" s="115" t="n"/>
      <c r="DA44" s="116" t="n"/>
      <c r="DB44" s="115" t="n"/>
      <c r="DC44" s="116" t="n"/>
      <c r="DD44" s="188" t="n"/>
      <c r="DE44" s="118" t="n"/>
      <c r="DF44" s="119" t="n"/>
      <c r="DG44" s="118" t="n"/>
      <c r="DH44" s="119" t="n"/>
      <c r="DI44" s="118" t="n"/>
      <c r="DJ44" s="119" t="n"/>
      <c r="DK44" s="118" t="n"/>
      <c r="DL44" s="119" t="n"/>
      <c r="DM44" s="118" t="n"/>
      <c r="DN44" s="119" t="n"/>
      <c r="DO44" s="118" t="n"/>
      <c r="DP44" s="119" t="n"/>
      <c r="DQ44" s="118" t="n"/>
      <c r="DR44" s="119" t="n"/>
      <c r="DS44" s="118" t="n"/>
      <c r="DT44" s="119" t="n"/>
      <c r="DU44" s="189" t="n"/>
      <c r="DV44" s="121" t="n"/>
      <c r="DW44" s="122" t="n"/>
      <c r="DX44" s="121" t="n"/>
      <c r="DY44" s="122" t="n"/>
      <c r="DZ44" s="121" t="n"/>
      <c r="EA44" s="122" t="n"/>
      <c r="EB44" s="121" t="n"/>
      <c r="EC44" s="122" t="n"/>
      <c r="ED44" s="121" t="n"/>
      <c r="EE44" s="122" t="n"/>
      <c r="EF44" s="121" t="n"/>
      <c r="EG44" s="122" t="n"/>
      <c r="EH44" s="121" t="n"/>
      <c r="EI44" s="122" t="n"/>
      <c r="EJ44" s="121" t="n"/>
      <c r="EK44" s="122" t="n"/>
      <c r="EL44" s="190" t="n"/>
      <c r="EM44" s="124" t="n"/>
      <c r="EN44" s="125" t="n"/>
      <c r="EO44" s="124" t="n"/>
      <c r="EP44" s="125" t="n"/>
      <c r="EQ44" s="124" t="n"/>
      <c r="ER44" s="125" t="n"/>
      <c r="ES44" s="124" t="n"/>
      <c r="ET44" s="125" t="n"/>
      <c r="EU44" s="124" t="n"/>
      <c r="EV44" s="125" t="n"/>
      <c r="EW44" s="124" t="n"/>
      <c r="EX44" s="125" t="n"/>
      <c r="EY44" s="124" t="n"/>
      <c r="EZ44" s="125" t="n"/>
      <c r="FA44" s="124" t="n"/>
      <c r="FB44" s="125" t="n"/>
      <c r="FC44" s="191" t="n"/>
      <c r="FD44" s="127" t="n"/>
      <c r="FE44" s="128" t="n"/>
      <c r="FF44" s="127" t="n"/>
      <c r="FG44" s="128" t="n"/>
      <c r="FH44" s="127" t="n"/>
      <c r="FI44" s="128" t="n"/>
      <c r="FJ44" s="127" t="n"/>
      <c r="FK44" s="128" t="n"/>
      <c r="FL44" s="127" t="n"/>
      <c r="FM44" s="128" t="n"/>
      <c r="FN44" s="127" t="n"/>
      <c r="FO44" s="128" t="n"/>
      <c r="FP44" s="127" t="n"/>
      <c r="FQ44" s="128" t="n"/>
      <c r="FR44" s="127" t="n"/>
      <c r="FS44" s="128" t="n"/>
      <c r="FT44" s="192" t="n"/>
      <c r="FU44" s="130" t="n"/>
      <c r="FV44" s="131" t="n"/>
      <c r="FW44" s="130" t="n"/>
      <c r="FX44" s="131" t="n"/>
      <c r="FY44" s="130" t="n"/>
      <c r="FZ44" s="131" t="n"/>
      <c r="GA44" s="130" t="n"/>
      <c r="GB44" s="131" t="n"/>
      <c r="GC44" s="130" t="n"/>
      <c r="GD44" s="131" t="n"/>
      <c r="GE44" s="130" t="n"/>
      <c r="GF44" s="131" t="n"/>
      <c r="GG44" s="130" t="n"/>
      <c r="GH44" s="131" t="n"/>
      <c r="GI44" s="130" t="n"/>
      <c r="GJ44" s="131" t="n"/>
      <c r="GK44" s="193" t="n"/>
      <c r="GL44" s="133" t="n"/>
      <c r="GM44" s="134" t="n"/>
      <c r="GN44" s="133" t="n"/>
      <c r="GO44" s="134" t="n"/>
      <c r="GP44" s="133" t="n"/>
      <c r="GQ44" s="134" t="n"/>
      <c r="GR44" s="133" t="n"/>
      <c r="GS44" s="134" t="n"/>
      <c r="GT44" s="133" t="n"/>
      <c r="GU44" s="134" t="n"/>
      <c r="GV44" s="133" t="n"/>
      <c r="GW44" s="134" t="n"/>
      <c r="GX44" s="133" t="n"/>
      <c r="GY44" s="134" t="n"/>
      <c r="GZ44" s="133" t="n"/>
      <c r="HA44" s="134" t="n"/>
      <c r="HB44" s="194" t="n"/>
      <c r="HC44">
        <f>SUMIFS($G44:$HA44,$G$36:$HA$36,"درجة",$H44:$HB44,"&gt;0")</f>
        <v>0</v>
      </c>
      <c r="HD44">
        <f>SUMIFS($H44:$HB44,$G$36:$HA$36,"درجة",$G44:$HA44,"&gt;=0")</f>
        <v>0</v>
      </c>
    </row>
    <row r="45" ht="22.5" customHeight="1">
      <c r="A45" s="36" t="n">
        <v>9</v>
      </c>
      <c r="B45" s="181" t="str">
        <f>IF($B12="","",$B12)</f>
        <v/>
      </c>
      <c r="C45" s="136" t="str">
        <f>IF(OR($B45="",$HD45=0),"",ROUND($HC45,2)&amp;" / "&amp;$HD45)</f>
        <v/>
      </c>
      <c r="D45" s="182" t="str">
        <f>IF(OR($B45="",$HD45=0),"",$HC45/$HD45)</f>
        <v/>
      </c>
      <c r="E45" s="136" t="n"/>
      <c r="F45" s="99" t="str">
        <f>IF($D45="","",IF($D45&gt;=0.85,"ممتاز",IF($D45&gt;=0.75,"جيد جداً",IF($D45&gt;=0.65,"جيد",IF($D45&gt;=0.5,"مقبول","ضعيف")))))</f>
        <v/>
      </c>
      <c r="G45" s="100" t="n"/>
      <c r="H45" s="101" t="n"/>
      <c r="I45" s="100" t="n"/>
      <c r="J45" s="101" t="n"/>
      <c r="K45" s="100" t="n"/>
      <c r="L45" s="101" t="n"/>
      <c r="M45" s="100" t="n"/>
      <c r="N45" s="101" t="n"/>
      <c r="O45" s="100" t="n"/>
      <c r="P45" s="101" t="n"/>
      <c r="Q45" s="100" t="n"/>
      <c r="R45" s="101" t="n"/>
      <c r="S45" s="100" t="n"/>
      <c r="T45" s="101" t="n"/>
      <c r="U45" s="100" t="n"/>
      <c r="V45" s="101" t="n"/>
      <c r="W45" s="183" t="n"/>
      <c r="X45" s="103" t="n"/>
      <c r="Y45" s="104" t="n"/>
      <c r="Z45" s="103" t="n"/>
      <c r="AA45" s="104" t="n"/>
      <c r="AB45" s="103" t="n"/>
      <c r="AC45" s="104" t="n"/>
      <c r="AD45" s="103" t="n"/>
      <c r="AE45" s="104" t="n"/>
      <c r="AF45" s="103" t="n"/>
      <c r="AG45" s="104" t="n"/>
      <c r="AH45" s="103" t="n"/>
      <c r="AI45" s="104" t="n"/>
      <c r="AJ45" s="103" t="n"/>
      <c r="AK45" s="104" t="n"/>
      <c r="AL45" s="103" t="n"/>
      <c r="AM45" s="104" t="n"/>
      <c r="AN45" s="184" t="n"/>
      <c r="AO45" s="106" t="n"/>
      <c r="AP45" s="107" t="n"/>
      <c r="AQ45" s="106" t="n"/>
      <c r="AR45" s="107" t="n"/>
      <c r="AS45" s="106" t="n"/>
      <c r="AT45" s="107" t="n"/>
      <c r="AU45" s="106" t="n"/>
      <c r="AV45" s="107" t="n"/>
      <c r="AW45" s="106" t="n"/>
      <c r="AX45" s="107" t="n"/>
      <c r="AY45" s="106" t="n"/>
      <c r="AZ45" s="107" t="n"/>
      <c r="BA45" s="106" t="n"/>
      <c r="BB45" s="107" t="n"/>
      <c r="BC45" s="106" t="n"/>
      <c r="BD45" s="107" t="n"/>
      <c r="BE45" s="185" t="n"/>
      <c r="BF45" s="109" t="n"/>
      <c r="BG45" s="110" t="n"/>
      <c r="BH45" s="109" t="n"/>
      <c r="BI45" s="110" t="n"/>
      <c r="BJ45" s="109" t="n"/>
      <c r="BK45" s="110" t="n"/>
      <c r="BL45" s="109" t="n"/>
      <c r="BM45" s="110" t="n"/>
      <c r="BN45" s="109" t="n"/>
      <c r="BO45" s="110" t="n"/>
      <c r="BP45" s="109" t="n"/>
      <c r="BQ45" s="110" t="n"/>
      <c r="BR45" s="109" t="n"/>
      <c r="BS45" s="110" t="n"/>
      <c r="BT45" s="109" t="n"/>
      <c r="BU45" s="110" t="n"/>
      <c r="BV45" s="186" t="n"/>
      <c r="BW45" s="112" t="n"/>
      <c r="BX45" s="113" t="n"/>
      <c r="BY45" s="112" t="n"/>
      <c r="BZ45" s="113" t="n"/>
      <c r="CA45" s="112" t="n"/>
      <c r="CB45" s="113" t="n"/>
      <c r="CC45" s="112" t="n"/>
      <c r="CD45" s="113" t="n"/>
      <c r="CE45" s="112" t="n"/>
      <c r="CF45" s="113" t="n"/>
      <c r="CG45" s="112" t="n"/>
      <c r="CH45" s="113" t="n"/>
      <c r="CI45" s="112" t="n"/>
      <c r="CJ45" s="113" t="n"/>
      <c r="CK45" s="112" t="n"/>
      <c r="CL45" s="113" t="n"/>
      <c r="CM45" s="187" t="n"/>
      <c r="CN45" s="115" t="n"/>
      <c r="CO45" s="116" t="n"/>
      <c r="CP45" s="115" t="n"/>
      <c r="CQ45" s="116" t="n"/>
      <c r="CR45" s="115" t="n"/>
      <c r="CS45" s="116" t="n"/>
      <c r="CT45" s="115" t="n"/>
      <c r="CU45" s="116" t="n"/>
      <c r="CV45" s="115" t="n"/>
      <c r="CW45" s="116" t="n"/>
      <c r="CX45" s="115" t="n"/>
      <c r="CY45" s="116" t="n"/>
      <c r="CZ45" s="115" t="n"/>
      <c r="DA45" s="116" t="n"/>
      <c r="DB45" s="115" t="n"/>
      <c r="DC45" s="116" t="n"/>
      <c r="DD45" s="188" t="n"/>
      <c r="DE45" s="118" t="n"/>
      <c r="DF45" s="119" t="n"/>
      <c r="DG45" s="118" t="n"/>
      <c r="DH45" s="119" t="n"/>
      <c r="DI45" s="118" t="n"/>
      <c r="DJ45" s="119" t="n"/>
      <c r="DK45" s="118" t="n"/>
      <c r="DL45" s="119" t="n"/>
      <c r="DM45" s="118" t="n"/>
      <c r="DN45" s="119" t="n"/>
      <c r="DO45" s="118" t="n"/>
      <c r="DP45" s="119" t="n"/>
      <c r="DQ45" s="118" t="n"/>
      <c r="DR45" s="119" t="n"/>
      <c r="DS45" s="118" t="n"/>
      <c r="DT45" s="119" t="n"/>
      <c r="DU45" s="189" t="n"/>
      <c r="DV45" s="121" t="n"/>
      <c r="DW45" s="122" t="n"/>
      <c r="DX45" s="121" t="n"/>
      <c r="DY45" s="122" t="n"/>
      <c r="DZ45" s="121" t="n"/>
      <c r="EA45" s="122" t="n"/>
      <c r="EB45" s="121" t="n"/>
      <c r="EC45" s="122" t="n"/>
      <c r="ED45" s="121" t="n"/>
      <c r="EE45" s="122" t="n"/>
      <c r="EF45" s="121" t="n"/>
      <c r="EG45" s="122" t="n"/>
      <c r="EH45" s="121" t="n"/>
      <c r="EI45" s="122" t="n"/>
      <c r="EJ45" s="121" t="n"/>
      <c r="EK45" s="122" t="n"/>
      <c r="EL45" s="190" t="n"/>
      <c r="EM45" s="124" t="n"/>
      <c r="EN45" s="125" t="n"/>
      <c r="EO45" s="124" t="n"/>
      <c r="EP45" s="125" t="n"/>
      <c r="EQ45" s="124" t="n"/>
      <c r="ER45" s="125" t="n"/>
      <c r="ES45" s="124" t="n"/>
      <c r="ET45" s="125" t="n"/>
      <c r="EU45" s="124" t="n"/>
      <c r="EV45" s="125" t="n"/>
      <c r="EW45" s="124" t="n"/>
      <c r="EX45" s="125" t="n"/>
      <c r="EY45" s="124" t="n"/>
      <c r="EZ45" s="125" t="n"/>
      <c r="FA45" s="124" t="n"/>
      <c r="FB45" s="125" t="n"/>
      <c r="FC45" s="191" t="n"/>
      <c r="FD45" s="127" t="n"/>
      <c r="FE45" s="128" t="n"/>
      <c r="FF45" s="127" t="n"/>
      <c r="FG45" s="128" t="n"/>
      <c r="FH45" s="127" t="n"/>
      <c r="FI45" s="128" t="n"/>
      <c r="FJ45" s="127" t="n"/>
      <c r="FK45" s="128" t="n"/>
      <c r="FL45" s="127" t="n"/>
      <c r="FM45" s="128" t="n"/>
      <c r="FN45" s="127" t="n"/>
      <c r="FO45" s="128" t="n"/>
      <c r="FP45" s="127" t="n"/>
      <c r="FQ45" s="128" t="n"/>
      <c r="FR45" s="127" t="n"/>
      <c r="FS45" s="128" t="n"/>
      <c r="FT45" s="192" t="n"/>
      <c r="FU45" s="130" t="n"/>
      <c r="FV45" s="131" t="n"/>
      <c r="FW45" s="130" t="n"/>
      <c r="FX45" s="131" t="n"/>
      <c r="FY45" s="130" t="n"/>
      <c r="FZ45" s="131" t="n"/>
      <c r="GA45" s="130" t="n"/>
      <c r="GB45" s="131" t="n"/>
      <c r="GC45" s="130" t="n"/>
      <c r="GD45" s="131" t="n"/>
      <c r="GE45" s="130" t="n"/>
      <c r="GF45" s="131" t="n"/>
      <c r="GG45" s="130" t="n"/>
      <c r="GH45" s="131" t="n"/>
      <c r="GI45" s="130" t="n"/>
      <c r="GJ45" s="131" t="n"/>
      <c r="GK45" s="193" t="n"/>
      <c r="GL45" s="133" t="n"/>
      <c r="GM45" s="134" t="n"/>
      <c r="GN45" s="133" t="n"/>
      <c r="GO45" s="134" t="n"/>
      <c r="GP45" s="133" t="n"/>
      <c r="GQ45" s="134" t="n"/>
      <c r="GR45" s="133" t="n"/>
      <c r="GS45" s="134" t="n"/>
      <c r="GT45" s="133" t="n"/>
      <c r="GU45" s="134" t="n"/>
      <c r="GV45" s="133" t="n"/>
      <c r="GW45" s="134" t="n"/>
      <c r="GX45" s="133" t="n"/>
      <c r="GY45" s="134" t="n"/>
      <c r="GZ45" s="133" t="n"/>
      <c r="HA45" s="134" t="n"/>
      <c r="HB45" s="194" t="n"/>
      <c r="HC45">
        <f>SUMIFS($G45:$HA45,$G$36:$HA$36,"درجة",$H45:$HB45,"&gt;0")</f>
        <v>0</v>
      </c>
      <c r="HD45">
        <f>SUMIFS($H45:$HB45,$G$36:$HA$36,"درجة",$G45:$HA45,"&gt;=0")</f>
        <v>0</v>
      </c>
    </row>
    <row r="46" ht="22.5" customHeight="1">
      <c r="A46" s="36" t="n">
        <v>10</v>
      </c>
      <c r="B46" s="181" t="str">
        <f>IF($B13="","",$B13)</f>
        <v/>
      </c>
      <c r="C46" s="136" t="str">
        <f>IF(OR($B46="",$HD46=0),"",ROUND($HC46,2)&amp;" / "&amp;$HD46)</f>
        <v/>
      </c>
      <c r="D46" s="182" t="str">
        <f>IF(OR($B46="",$HD46=0),"",$HC46/$HD46)</f>
        <v/>
      </c>
      <c r="E46" s="136" t="n"/>
      <c r="F46" s="99" t="str">
        <f>IF($D46="","",IF($D46&gt;=0.85,"ممتاز",IF($D46&gt;=0.75,"جيد جداً",IF($D46&gt;=0.65,"جيد",IF($D46&gt;=0.5,"مقبول","ضعيف")))))</f>
        <v/>
      </c>
      <c r="G46" s="100" t="n"/>
      <c r="H46" s="101" t="n"/>
      <c r="I46" s="100" t="n"/>
      <c r="J46" s="101" t="n"/>
      <c r="K46" s="100" t="n"/>
      <c r="L46" s="101" t="n"/>
      <c r="M46" s="100" t="n"/>
      <c r="N46" s="101" t="n"/>
      <c r="O46" s="100" t="n"/>
      <c r="P46" s="101" t="n"/>
      <c r="Q46" s="100" t="n"/>
      <c r="R46" s="101" t="n"/>
      <c r="S46" s="100" t="n"/>
      <c r="T46" s="101" t="n"/>
      <c r="U46" s="100" t="n"/>
      <c r="V46" s="101" t="n"/>
      <c r="W46" s="183" t="n"/>
      <c r="X46" s="103" t="n"/>
      <c r="Y46" s="104" t="n"/>
      <c r="Z46" s="103" t="n"/>
      <c r="AA46" s="104" t="n"/>
      <c r="AB46" s="103" t="n"/>
      <c r="AC46" s="104" t="n"/>
      <c r="AD46" s="103" t="n"/>
      <c r="AE46" s="104" t="n"/>
      <c r="AF46" s="103" t="n"/>
      <c r="AG46" s="104" t="n"/>
      <c r="AH46" s="103" t="n"/>
      <c r="AI46" s="104" t="n"/>
      <c r="AJ46" s="103" t="n"/>
      <c r="AK46" s="104" t="n"/>
      <c r="AL46" s="103" t="n"/>
      <c r="AM46" s="104" t="n"/>
      <c r="AN46" s="184" t="n"/>
      <c r="AO46" s="106" t="n"/>
      <c r="AP46" s="107" t="n"/>
      <c r="AQ46" s="106" t="n"/>
      <c r="AR46" s="107" t="n"/>
      <c r="AS46" s="106" t="n"/>
      <c r="AT46" s="107" t="n"/>
      <c r="AU46" s="106" t="n"/>
      <c r="AV46" s="107" t="n"/>
      <c r="AW46" s="106" t="n"/>
      <c r="AX46" s="107" t="n"/>
      <c r="AY46" s="106" t="n"/>
      <c r="AZ46" s="107" t="n"/>
      <c r="BA46" s="106" t="n"/>
      <c r="BB46" s="107" t="n"/>
      <c r="BC46" s="106" t="n"/>
      <c r="BD46" s="107" t="n"/>
      <c r="BE46" s="185" t="n"/>
      <c r="BF46" s="109" t="n"/>
      <c r="BG46" s="110" t="n"/>
      <c r="BH46" s="109" t="n"/>
      <c r="BI46" s="110" t="n"/>
      <c r="BJ46" s="109" t="n"/>
      <c r="BK46" s="110" t="n"/>
      <c r="BL46" s="109" t="n"/>
      <c r="BM46" s="110" t="n"/>
      <c r="BN46" s="109" t="n"/>
      <c r="BO46" s="110" t="n"/>
      <c r="BP46" s="109" t="n"/>
      <c r="BQ46" s="110" t="n"/>
      <c r="BR46" s="109" t="n"/>
      <c r="BS46" s="110" t="n"/>
      <c r="BT46" s="109" t="n"/>
      <c r="BU46" s="110" t="n"/>
      <c r="BV46" s="186" t="n"/>
      <c r="BW46" s="112" t="n"/>
      <c r="BX46" s="113" t="n"/>
      <c r="BY46" s="112" t="n"/>
      <c r="BZ46" s="113" t="n"/>
      <c r="CA46" s="112" t="n"/>
      <c r="CB46" s="113" t="n"/>
      <c r="CC46" s="112" t="n"/>
      <c r="CD46" s="113" t="n"/>
      <c r="CE46" s="112" t="n"/>
      <c r="CF46" s="113" t="n"/>
      <c r="CG46" s="112" t="n"/>
      <c r="CH46" s="113" t="n"/>
      <c r="CI46" s="112" t="n"/>
      <c r="CJ46" s="113" t="n"/>
      <c r="CK46" s="112" t="n"/>
      <c r="CL46" s="113" t="n"/>
      <c r="CM46" s="187" t="n"/>
      <c r="CN46" s="115" t="n"/>
      <c r="CO46" s="116" t="n"/>
      <c r="CP46" s="115" t="n"/>
      <c r="CQ46" s="116" t="n"/>
      <c r="CR46" s="115" t="n"/>
      <c r="CS46" s="116" t="n"/>
      <c r="CT46" s="115" t="n"/>
      <c r="CU46" s="116" t="n"/>
      <c r="CV46" s="115" t="n"/>
      <c r="CW46" s="116" t="n"/>
      <c r="CX46" s="115" t="n"/>
      <c r="CY46" s="116" t="n"/>
      <c r="CZ46" s="115" t="n"/>
      <c r="DA46" s="116" t="n"/>
      <c r="DB46" s="115" t="n"/>
      <c r="DC46" s="116" t="n"/>
      <c r="DD46" s="188" t="n"/>
      <c r="DE46" s="118" t="n"/>
      <c r="DF46" s="119" t="n"/>
      <c r="DG46" s="118" t="n"/>
      <c r="DH46" s="119" t="n"/>
      <c r="DI46" s="118" t="n"/>
      <c r="DJ46" s="119" t="n"/>
      <c r="DK46" s="118" t="n"/>
      <c r="DL46" s="119" t="n"/>
      <c r="DM46" s="118" t="n"/>
      <c r="DN46" s="119" t="n"/>
      <c r="DO46" s="118" t="n"/>
      <c r="DP46" s="119" t="n"/>
      <c r="DQ46" s="118" t="n"/>
      <c r="DR46" s="119" t="n"/>
      <c r="DS46" s="118" t="n"/>
      <c r="DT46" s="119" t="n"/>
      <c r="DU46" s="189" t="n"/>
      <c r="DV46" s="121" t="n"/>
      <c r="DW46" s="122" t="n"/>
      <c r="DX46" s="121" t="n"/>
      <c r="DY46" s="122" t="n"/>
      <c r="DZ46" s="121" t="n"/>
      <c r="EA46" s="122" t="n"/>
      <c r="EB46" s="121" t="n"/>
      <c r="EC46" s="122" t="n"/>
      <c r="ED46" s="121" t="n"/>
      <c r="EE46" s="122" t="n"/>
      <c r="EF46" s="121" t="n"/>
      <c r="EG46" s="122" t="n"/>
      <c r="EH46" s="121" t="n"/>
      <c r="EI46" s="122" t="n"/>
      <c r="EJ46" s="121" t="n"/>
      <c r="EK46" s="122" t="n"/>
      <c r="EL46" s="190" t="n"/>
      <c r="EM46" s="124" t="n"/>
      <c r="EN46" s="125" t="n"/>
      <c r="EO46" s="124" t="n"/>
      <c r="EP46" s="125" t="n"/>
      <c r="EQ46" s="124" t="n"/>
      <c r="ER46" s="125" t="n"/>
      <c r="ES46" s="124" t="n"/>
      <c r="ET46" s="125" t="n"/>
      <c r="EU46" s="124" t="n"/>
      <c r="EV46" s="125" t="n"/>
      <c r="EW46" s="124" t="n"/>
      <c r="EX46" s="125" t="n"/>
      <c r="EY46" s="124" t="n"/>
      <c r="EZ46" s="125" t="n"/>
      <c r="FA46" s="124" t="n"/>
      <c r="FB46" s="125" t="n"/>
      <c r="FC46" s="191" t="n"/>
      <c r="FD46" s="127" t="n"/>
      <c r="FE46" s="128" t="n"/>
      <c r="FF46" s="127" t="n"/>
      <c r="FG46" s="128" t="n"/>
      <c r="FH46" s="127" t="n"/>
      <c r="FI46" s="128" t="n"/>
      <c r="FJ46" s="127" t="n"/>
      <c r="FK46" s="128" t="n"/>
      <c r="FL46" s="127" t="n"/>
      <c r="FM46" s="128" t="n"/>
      <c r="FN46" s="127" t="n"/>
      <c r="FO46" s="128" t="n"/>
      <c r="FP46" s="127" t="n"/>
      <c r="FQ46" s="128" t="n"/>
      <c r="FR46" s="127" t="n"/>
      <c r="FS46" s="128" t="n"/>
      <c r="FT46" s="192" t="n"/>
      <c r="FU46" s="130" t="n"/>
      <c r="FV46" s="131" t="n"/>
      <c r="FW46" s="130" t="n"/>
      <c r="FX46" s="131" t="n"/>
      <c r="FY46" s="130" t="n"/>
      <c r="FZ46" s="131" t="n"/>
      <c r="GA46" s="130" t="n"/>
      <c r="GB46" s="131" t="n"/>
      <c r="GC46" s="130" t="n"/>
      <c r="GD46" s="131" t="n"/>
      <c r="GE46" s="130" t="n"/>
      <c r="GF46" s="131" t="n"/>
      <c r="GG46" s="130" t="n"/>
      <c r="GH46" s="131" t="n"/>
      <c r="GI46" s="130" t="n"/>
      <c r="GJ46" s="131" t="n"/>
      <c r="GK46" s="193" t="n"/>
      <c r="GL46" s="133" t="n"/>
      <c r="GM46" s="134" t="n"/>
      <c r="GN46" s="133" t="n"/>
      <c r="GO46" s="134" t="n"/>
      <c r="GP46" s="133" t="n"/>
      <c r="GQ46" s="134" t="n"/>
      <c r="GR46" s="133" t="n"/>
      <c r="GS46" s="134" t="n"/>
      <c r="GT46" s="133" t="n"/>
      <c r="GU46" s="134" t="n"/>
      <c r="GV46" s="133" t="n"/>
      <c r="GW46" s="134" t="n"/>
      <c r="GX46" s="133" t="n"/>
      <c r="GY46" s="134" t="n"/>
      <c r="GZ46" s="133" t="n"/>
      <c r="HA46" s="134" t="n"/>
      <c r="HB46" s="194" t="n"/>
      <c r="HC46">
        <f>SUMIFS($G46:$HA46,$G$36:$HA$36,"درجة",$H46:$HB46,"&gt;0")</f>
        <v>0</v>
      </c>
      <c r="HD46">
        <f>SUMIFS($H46:$HB46,$G$36:$HA$36,"درجة",$G46:$HA46,"&gt;=0")</f>
        <v>0</v>
      </c>
    </row>
    <row r="47" ht="22.5" customHeight="1">
      <c r="A47" s="36" t="n">
        <v>11</v>
      </c>
      <c r="B47" s="181" t="str">
        <f>IF($B14="","",$B14)</f>
        <v/>
      </c>
      <c r="C47" s="136" t="str">
        <f>IF(OR($B47="",$HD47=0),"",ROUND($HC47,2)&amp;" / "&amp;$HD47)</f>
        <v/>
      </c>
      <c r="D47" s="182" t="str">
        <f>IF(OR($B47="",$HD47=0),"",$HC47/$HD47)</f>
        <v/>
      </c>
      <c r="E47" s="136" t="n"/>
      <c r="F47" s="99" t="str">
        <f>IF($D47="","",IF($D47&gt;=0.85,"ممتاز",IF($D47&gt;=0.75,"جيد جداً",IF($D47&gt;=0.65,"جيد",IF($D47&gt;=0.5,"مقبول","ضعيف")))))</f>
        <v/>
      </c>
      <c r="G47" s="100" t="n"/>
      <c r="H47" s="101" t="n"/>
      <c r="I47" s="100" t="n"/>
      <c r="J47" s="101" t="n"/>
      <c r="K47" s="100" t="n"/>
      <c r="L47" s="101" t="n"/>
      <c r="M47" s="100" t="n"/>
      <c r="N47" s="101" t="n"/>
      <c r="O47" s="100" t="n"/>
      <c r="P47" s="101" t="n"/>
      <c r="Q47" s="100" t="n"/>
      <c r="R47" s="101" t="n"/>
      <c r="S47" s="100" t="n"/>
      <c r="T47" s="101" t="n"/>
      <c r="U47" s="100" t="n"/>
      <c r="V47" s="101" t="n"/>
      <c r="W47" s="183" t="n"/>
      <c r="X47" s="103" t="n"/>
      <c r="Y47" s="104" t="n"/>
      <c r="Z47" s="103" t="n"/>
      <c r="AA47" s="104" t="n"/>
      <c r="AB47" s="103" t="n"/>
      <c r="AC47" s="104" t="n"/>
      <c r="AD47" s="103" t="n"/>
      <c r="AE47" s="104" t="n"/>
      <c r="AF47" s="103" t="n"/>
      <c r="AG47" s="104" t="n"/>
      <c r="AH47" s="103" t="n"/>
      <c r="AI47" s="104" t="n"/>
      <c r="AJ47" s="103" t="n"/>
      <c r="AK47" s="104" t="n"/>
      <c r="AL47" s="103" t="n"/>
      <c r="AM47" s="104" t="n"/>
      <c r="AN47" s="184" t="n"/>
      <c r="AO47" s="106" t="n"/>
      <c r="AP47" s="107" t="n"/>
      <c r="AQ47" s="106" t="n"/>
      <c r="AR47" s="107" t="n"/>
      <c r="AS47" s="106" t="n"/>
      <c r="AT47" s="107" t="n"/>
      <c r="AU47" s="106" t="n"/>
      <c r="AV47" s="107" t="n"/>
      <c r="AW47" s="106" t="n"/>
      <c r="AX47" s="107" t="n"/>
      <c r="AY47" s="106" t="n"/>
      <c r="AZ47" s="107" t="n"/>
      <c r="BA47" s="106" t="n"/>
      <c r="BB47" s="107" t="n"/>
      <c r="BC47" s="106" t="n"/>
      <c r="BD47" s="107" t="n"/>
      <c r="BE47" s="185" t="n"/>
      <c r="BF47" s="109" t="n"/>
      <c r="BG47" s="110" t="n"/>
      <c r="BH47" s="109" t="n"/>
      <c r="BI47" s="110" t="n"/>
      <c r="BJ47" s="109" t="n"/>
      <c r="BK47" s="110" t="n"/>
      <c r="BL47" s="109" t="n"/>
      <c r="BM47" s="110" t="n"/>
      <c r="BN47" s="109" t="n"/>
      <c r="BO47" s="110" t="n"/>
      <c r="BP47" s="109" t="n"/>
      <c r="BQ47" s="110" t="n"/>
      <c r="BR47" s="109" t="n"/>
      <c r="BS47" s="110" t="n"/>
      <c r="BT47" s="109" t="n"/>
      <c r="BU47" s="110" t="n"/>
      <c r="BV47" s="186" t="n"/>
      <c r="BW47" s="112" t="n"/>
      <c r="BX47" s="113" t="n"/>
      <c r="BY47" s="112" t="n"/>
      <c r="BZ47" s="113" t="n"/>
      <c r="CA47" s="112" t="n"/>
      <c r="CB47" s="113" t="n"/>
      <c r="CC47" s="112" t="n"/>
      <c r="CD47" s="113" t="n"/>
      <c r="CE47" s="112" t="n"/>
      <c r="CF47" s="113" t="n"/>
      <c r="CG47" s="112" t="n"/>
      <c r="CH47" s="113" t="n"/>
      <c r="CI47" s="112" t="n"/>
      <c r="CJ47" s="113" t="n"/>
      <c r="CK47" s="112" t="n"/>
      <c r="CL47" s="113" t="n"/>
      <c r="CM47" s="187" t="n"/>
      <c r="CN47" s="115" t="n"/>
      <c r="CO47" s="116" t="n"/>
      <c r="CP47" s="115" t="n"/>
      <c r="CQ47" s="116" t="n"/>
      <c r="CR47" s="115" t="n"/>
      <c r="CS47" s="116" t="n"/>
      <c r="CT47" s="115" t="n"/>
      <c r="CU47" s="116" t="n"/>
      <c r="CV47" s="115" t="n"/>
      <c r="CW47" s="116" t="n"/>
      <c r="CX47" s="115" t="n"/>
      <c r="CY47" s="116" t="n"/>
      <c r="CZ47" s="115" t="n"/>
      <c r="DA47" s="116" t="n"/>
      <c r="DB47" s="115" t="n"/>
      <c r="DC47" s="116" t="n"/>
      <c r="DD47" s="188" t="n"/>
      <c r="DE47" s="118" t="n"/>
      <c r="DF47" s="119" t="n"/>
      <c r="DG47" s="118" t="n"/>
      <c r="DH47" s="119" t="n"/>
      <c r="DI47" s="118" t="n"/>
      <c r="DJ47" s="119" t="n"/>
      <c r="DK47" s="118" t="n"/>
      <c r="DL47" s="119" t="n"/>
      <c r="DM47" s="118" t="n"/>
      <c r="DN47" s="119" t="n"/>
      <c r="DO47" s="118" t="n"/>
      <c r="DP47" s="119" t="n"/>
      <c r="DQ47" s="118" t="n"/>
      <c r="DR47" s="119" t="n"/>
      <c r="DS47" s="118" t="n"/>
      <c r="DT47" s="119" t="n"/>
      <c r="DU47" s="189" t="n"/>
      <c r="DV47" s="121" t="n"/>
      <c r="DW47" s="122" t="n"/>
      <c r="DX47" s="121" t="n"/>
      <c r="DY47" s="122" t="n"/>
      <c r="DZ47" s="121" t="n"/>
      <c r="EA47" s="122" t="n"/>
      <c r="EB47" s="121" t="n"/>
      <c r="EC47" s="122" t="n"/>
      <c r="ED47" s="121" t="n"/>
      <c r="EE47" s="122" t="n"/>
      <c r="EF47" s="121" t="n"/>
      <c r="EG47" s="122" t="n"/>
      <c r="EH47" s="121" t="n"/>
      <c r="EI47" s="122" t="n"/>
      <c r="EJ47" s="121" t="n"/>
      <c r="EK47" s="122" t="n"/>
      <c r="EL47" s="190" t="n"/>
      <c r="EM47" s="124" t="n"/>
      <c r="EN47" s="125" t="n"/>
      <c r="EO47" s="124" t="n"/>
      <c r="EP47" s="125" t="n"/>
      <c r="EQ47" s="124" t="n"/>
      <c r="ER47" s="125" t="n"/>
      <c r="ES47" s="124" t="n"/>
      <c r="ET47" s="125" t="n"/>
      <c r="EU47" s="124" t="n"/>
      <c r="EV47" s="125" t="n"/>
      <c r="EW47" s="124" t="n"/>
      <c r="EX47" s="125" t="n"/>
      <c r="EY47" s="124" t="n"/>
      <c r="EZ47" s="125" t="n"/>
      <c r="FA47" s="124" t="n"/>
      <c r="FB47" s="125" t="n"/>
      <c r="FC47" s="191" t="n"/>
      <c r="FD47" s="127" t="n"/>
      <c r="FE47" s="128" t="n"/>
      <c r="FF47" s="127" t="n"/>
      <c r="FG47" s="128" t="n"/>
      <c r="FH47" s="127" t="n"/>
      <c r="FI47" s="128" t="n"/>
      <c r="FJ47" s="127" t="n"/>
      <c r="FK47" s="128" t="n"/>
      <c r="FL47" s="127" t="n"/>
      <c r="FM47" s="128" t="n"/>
      <c r="FN47" s="127" t="n"/>
      <c r="FO47" s="128" t="n"/>
      <c r="FP47" s="127" t="n"/>
      <c r="FQ47" s="128" t="n"/>
      <c r="FR47" s="127" t="n"/>
      <c r="FS47" s="128" t="n"/>
      <c r="FT47" s="192" t="n"/>
      <c r="FU47" s="130" t="n"/>
      <c r="FV47" s="131" t="n"/>
      <c r="FW47" s="130" t="n"/>
      <c r="FX47" s="131" t="n"/>
      <c r="FY47" s="130" t="n"/>
      <c r="FZ47" s="131" t="n"/>
      <c r="GA47" s="130" t="n"/>
      <c r="GB47" s="131" t="n"/>
      <c r="GC47" s="130" t="n"/>
      <c r="GD47" s="131" t="n"/>
      <c r="GE47" s="130" t="n"/>
      <c r="GF47" s="131" t="n"/>
      <c r="GG47" s="130" t="n"/>
      <c r="GH47" s="131" t="n"/>
      <c r="GI47" s="130" t="n"/>
      <c r="GJ47" s="131" t="n"/>
      <c r="GK47" s="193" t="n"/>
      <c r="GL47" s="133" t="n"/>
      <c r="GM47" s="134" t="n"/>
      <c r="GN47" s="133" t="n"/>
      <c r="GO47" s="134" t="n"/>
      <c r="GP47" s="133" t="n"/>
      <c r="GQ47" s="134" t="n"/>
      <c r="GR47" s="133" t="n"/>
      <c r="GS47" s="134" t="n"/>
      <c r="GT47" s="133" t="n"/>
      <c r="GU47" s="134" t="n"/>
      <c r="GV47" s="133" t="n"/>
      <c r="GW47" s="134" t="n"/>
      <c r="GX47" s="133" t="n"/>
      <c r="GY47" s="134" t="n"/>
      <c r="GZ47" s="133" t="n"/>
      <c r="HA47" s="134" t="n"/>
      <c r="HB47" s="194" t="n"/>
      <c r="HC47">
        <f>SUMIFS($G47:$HA47,$G$36:$HA$36,"درجة",$H47:$HB47,"&gt;0")</f>
        <v>0</v>
      </c>
      <c r="HD47">
        <f>SUMIFS($H47:$HB47,$G$36:$HA$36,"درجة",$G47:$HA47,"&gt;=0")</f>
        <v>0</v>
      </c>
    </row>
    <row r="48" ht="22.5" customHeight="1">
      <c r="A48" s="36" t="n">
        <v>12</v>
      </c>
      <c r="B48" s="181" t="str">
        <f>IF($B15="","",$B15)</f>
        <v/>
      </c>
      <c r="C48" s="136" t="str">
        <f>IF(OR($B48="",$HD48=0),"",ROUND($HC48,2)&amp;" / "&amp;$HD48)</f>
        <v/>
      </c>
      <c r="D48" s="182" t="str">
        <f>IF(OR($B48="",$HD48=0),"",$HC48/$HD48)</f>
        <v/>
      </c>
      <c r="E48" s="136" t="n"/>
      <c r="F48" s="99" t="str">
        <f>IF($D48="","",IF($D48&gt;=0.85,"ممتاز",IF($D48&gt;=0.75,"جيد جداً",IF($D48&gt;=0.65,"جيد",IF($D48&gt;=0.5,"مقبول","ضعيف")))))</f>
        <v/>
      </c>
      <c r="G48" s="100" t="n"/>
      <c r="H48" s="101" t="n"/>
      <c r="I48" s="100" t="n"/>
      <c r="J48" s="101" t="n"/>
      <c r="K48" s="100" t="n"/>
      <c r="L48" s="101" t="n"/>
      <c r="M48" s="100" t="n"/>
      <c r="N48" s="101" t="n"/>
      <c r="O48" s="100" t="n"/>
      <c r="P48" s="101" t="n"/>
      <c r="Q48" s="100" t="n"/>
      <c r="R48" s="101" t="n"/>
      <c r="S48" s="100" t="n"/>
      <c r="T48" s="101" t="n"/>
      <c r="U48" s="100" t="n"/>
      <c r="V48" s="101" t="n"/>
      <c r="W48" s="183" t="n"/>
      <c r="X48" s="103" t="n"/>
      <c r="Y48" s="104" t="n"/>
      <c r="Z48" s="103" t="n"/>
      <c r="AA48" s="104" t="n"/>
      <c r="AB48" s="103" t="n"/>
      <c r="AC48" s="104" t="n"/>
      <c r="AD48" s="103" t="n"/>
      <c r="AE48" s="104" t="n"/>
      <c r="AF48" s="103" t="n"/>
      <c r="AG48" s="104" t="n"/>
      <c r="AH48" s="103" t="n"/>
      <c r="AI48" s="104" t="n"/>
      <c r="AJ48" s="103" t="n"/>
      <c r="AK48" s="104" t="n"/>
      <c r="AL48" s="103" t="n"/>
      <c r="AM48" s="104" t="n"/>
      <c r="AN48" s="184" t="n"/>
      <c r="AO48" s="106" t="n"/>
      <c r="AP48" s="107" t="n"/>
      <c r="AQ48" s="106" t="n"/>
      <c r="AR48" s="107" t="n"/>
      <c r="AS48" s="106" t="n"/>
      <c r="AT48" s="107" t="n"/>
      <c r="AU48" s="106" t="n"/>
      <c r="AV48" s="107" t="n"/>
      <c r="AW48" s="106" t="n"/>
      <c r="AX48" s="107" t="n"/>
      <c r="AY48" s="106" t="n"/>
      <c r="AZ48" s="107" t="n"/>
      <c r="BA48" s="106" t="n"/>
      <c r="BB48" s="107" t="n"/>
      <c r="BC48" s="106" t="n"/>
      <c r="BD48" s="107" t="n"/>
      <c r="BE48" s="185" t="n"/>
      <c r="BF48" s="109" t="n"/>
      <c r="BG48" s="110" t="n"/>
      <c r="BH48" s="109" t="n"/>
      <c r="BI48" s="110" t="n"/>
      <c r="BJ48" s="109" t="n"/>
      <c r="BK48" s="110" t="n"/>
      <c r="BL48" s="109" t="n"/>
      <c r="BM48" s="110" t="n"/>
      <c r="BN48" s="109" t="n"/>
      <c r="BO48" s="110" t="n"/>
      <c r="BP48" s="109" t="n"/>
      <c r="BQ48" s="110" t="n"/>
      <c r="BR48" s="109" t="n"/>
      <c r="BS48" s="110" t="n"/>
      <c r="BT48" s="109" t="n"/>
      <c r="BU48" s="110" t="n"/>
      <c r="BV48" s="186" t="n"/>
      <c r="BW48" s="112" t="n"/>
      <c r="BX48" s="113" t="n"/>
      <c r="BY48" s="112" t="n"/>
      <c r="BZ48" s="113" t="n"/>
      <c r="CA48" s="112" t="n"/>
      <c r="CB48" s="113" t="n"/>
      <c r="CC48" s="112" t="n"/>
      <c r="CD48" s="113" t="n"/>
      <c r="CE48" s="112" t="n"/>
      <c r="CF48" s="113" t="n"/>
      <c r="CG48" s="112" t="n"/>
      <c r="CH48" s="113" t="n"/>
      <c r="CI48" s="112" t="n"/>
      <c r="CJ48" s="113" t="n"/>
      <c r="CK48" s="112" t="n"/>
      <c r="CL48" s="113" t="n"/>
      <c r="CM48" s="187" t="n"/>
      <c r="CN48" s="115" t="n"/>
      <c r="CO48" s="116" t="n"/>
      <c r="CP48" s="115" t="n"/>
      <c r="CQ48" s="116" t="n"/>
      <c r="CR48" s="115" t="n"/>
      <c r="CS48" s="116" t="n"/>
      <c r="CT48" s="115" t="n"/>
      <c r="CU48" s="116" t="n"/>
      <c r="CV48" s="115" t="n"/>
      <c r="CW48" s="116" t="n"/>
      <c r="CX48" s="115" t="n"/>
      <c r="CY48" s="116" t="n"/>
      <c r="CZ48" s="115" t="n"/>
      <c r="DA48" s="116" t="n"/>
      <c r="DB48" s="115" t="n"/>
      <c r="DC48" s="116" t="n"/>
      <c r="DD48" s="188" t="n"/>
      <c r="DE48" s="118" t="n"/>
      <c r="DF48" s="119" t="n"/>
      <c r="DG48" s="118" t="n"/>
      <c r="DH48" s="119" t="n"/>
      <c r="DI48" s="118" t="n"/>
      <c r="DJ48" s="119" t="n"/>
      <c r="DK48" s="118" t="n"/>
      <c r="DL48" s="119" t="n"/>
      <c r="DM48" s="118" t="n"/>
      <c r="DN48" s="119" t="n"/>
      <c r="DO48" s="118" t="n"/>
      <c r="DP48" s="119" t="n"/>
      <c r="DQ48" s="118" t="n"/>
      <c r="DR48" s="119" t="n"/>
      <c r="DS48" s="118" t="n"/>
      <c r="DT48" s="119" t="n"/>
      <c r="DU48" s="189" t="n"/>
      <c r="DV48" s="121" t="n"/>
      <c r="DW48" s="122" t="n"/>
      <c r="DX48" s="121" t="n"/>
      <c r="DY48" s="122" t="n"/>
      <c r="DZ48" s="121" t="n"/>
      <c r="EA48" s="122" t="n"/>
      <c r="EB48" s="121" t="n"/>
      <c r="EC48" s="122" t="n"/>
      <c r="ED48" s="121" t="n"/>
      <c r="EE48" s="122" t="n"/>
      <c r="EF48" s="121" t="n"/>
      <c r="EG48" s="122" t="n"/>
      <c r="EH48" s="121" t="n"/>
      <c r="EI48" s="122" t="n"/>
      <c r="EJ48" s="121" t="n"/>
      <c r="EK48" s="122" t="n"/>
      <c r="EL48" s="190" t="n"/>
      <c r="EM48" s="124" t="n"/>
      <c r="EN48" s="125" t="n"/>
      <c r="EO48" s="124" t="n"/>
      <c r="EP48" s="125" t="n"/>
      <c r="EQ48" s="124" t="n"/>
      <c r="ER48" s="125" t="n"/>
      <c r="ES48" s="124" t="n"/>
      <c r="ET48" s="125" t="n"/>
      <c r="EU48" s="124" t="n"/>
      <c r="EV48" s="125" t="n"/>
      <c r="EW48" s="124" t="n"/>
      <c r="EX48" s="125" t="n"/>
      <c r="EY48" s="124" t="n"/>
      <c r="EZ48" s="125" t="n"/>
      <c r="FA48" s="124" t="n"/>
      <c r="FB48" s="125" t="n"/>
      <c r="FC48" s="191" t="n"/>
      <c r="FD48" s="127" t="n"/>
      <c r="FE48" s="128" t="n"/>
      <c r="FF48" s="127" t="n"/>
      <c r="FG48" s="128" t="n"/>
      <c r="FH48" s="127" t="n"/>
      <c r="FI48" s="128" t="n"/>
      <c r="FJ48" s="127" t="n"/>
      <c r="FK48" s="128" t="n"/>
      <c r="FL48" s="127" t="n"/>
      <c r="FM48" s="128" t="n"/>
      <c r="FN48" s="127" t="n"/>
      <c r="FO48" s="128" t="n"/>
      <c r="FP48" s="127" t="n"/>
      <c r="FQ48" s="128" t="n"/>
      <c r="FR48" s="127" t="n"/>
      <c r="FS48" s="128" t="n"/>
      <c r="FT48" s="192" t="n"/>
      <c r="FU48" s="130" t="n"/>
      <c r="FV48" s="131" t="n"/>
      <c r="FW48" s="130" t="n"/>
      <c r="FX48" s="131" t="n"/>
      <c r="FY48" s="130" t="n"/>
      <c r="FZ48" s="131" t="n"/>
      <c r="GA48" s="130" t="n"/>
      <c r="GB48" s="131" t="n"/>
      <c r="GC48" s="130" t="n"/>
      <c r="GD48" s="131" t="n"/>
      <c r="GE48" s="130" t="n"/>
      <c r="GF48" s="131" t="n"/>
      <c r="GG48" s="130" t="n"/>
      <c r="GH48" s="131" t="n"/>
      <c r="GI48" s="130" t="n"/>
      <c r="GJ48" s="131" t="n"/>
      <c r="GK48" s="193" t="n"/>
      <c r="GL48" s="133" t="n"/>
      <c r="GM48" s="134" t="n"/>
      <c r="GN48" s="133" t="n"/>
      <c r="GO48" s="134" t="n"/>
      <c r="GP48" s="133" t="n"/>
      <c r="GQ48" s="134" t="n"/>
      <c r="GR48" s="133" t="n"/>
      <c r="GS48" s="134" t="n"/>
      <c r="GT48" s="133" t="n"/>
      <c r="GU48" s="134" t="n"/>
      <c r="GV48" s="133" t="n"/>
      <c r="GW48" s="134" t="n"/>
      <c r="GX48" s="133" t="n"/>
      <c r="GY48" s="134" t="n"/>
      <c r="GZ48" s="133" t="n"/>
      <c r="HA48" s="134" t="n"/>
      <c r="HB48" s="194" t="n"/>
      <c r="HC48">
        <f>SUMIFS($G48:$HA48,$G$36:$HA$36,"درجة",$H48:$HB48,"&gt;0")</f>
        <v>0</v>
      </c>
      <c r="HD48">
        <f>SUMIFS($H48:$HB48,$G$36:$HA$36,"درجة",$G48:$HA48,"&gt;=0")</f>
        <v>0</v>
      </c>
    </row>
    <row r="49" ht="22.5" customHeight="1">
      <c r="A49" s="36" t="n">
        <v>13</v>
      </c>
      <c r="B49" s="181" t="str">
        <f>IF($B16="","",$B16)</f>
        <v/>
      </c>
      <c r="C49" s="136" t="str">
        <f>IF(OR($B49="",$HD49=0),"",ROUND($HC49,2)&amp;" / "&amp;$HD49)</f>
        <v/>
      </c>
      <c r="D49" s="182" t="str">
        <f>IF(OR($B49="",$HD49=0),"",$HC49/$HD49)</f>
        <v/>
      </c>
      <c r="E49" s="136" t="n"/>
      <c r="F49" s="99" t="str">
        <f>IF($D49="","",IF($D49&gt;=0.85,"ممتاز",IF($D49&gt;=0.75,"جيد جداً",IF($D49&gt;=0.65,"جيد",IF($D49&gt;=0.5,"مقبول","ضعيف")))))</f>
        <v/>
      </c>
      <c r="G49" s="100" t="n"/>
      <c r="H49" s="101" t="n"/>
      <c r="I49" s="100" t="n"/>
      <c r="J49" s="101" t="n"/>
      <c r="K49" s="100" t="n"/>
      <c r="L49" s="101" t="n"/>
      <c r="M49" s="100" t="n"/>
      <c r="N49" s="101" t="n"/>
      <c r="O49" s="100" t="n"/>
      <c r="P49" s="101" t="n"/>
      <c r="Q49" s="100" t="n"/>
      <c r="R49" s="101" t="n"/>
      <c r="S49" s="100" t="n"/>
      <c r="T49" s="101" t="n"/>
      <c r="U49" s="100" t="n"/>
      <c r="V49" s="101" t="n"/>
      <c r="W49" s="183" t="n"/>
      <c r="X49" s="103" t="n"/>
      <c r="Y49" s="104" t="n"/>
      <c r="Z49" s="103" t="n"/>
      <c r="AA49" s="104" t="n"/>
      <c r="AB49" s="103" t="n"/>
      <c r="AC49" s="104" t="n"/>
      <c r="AD49" s="103" t="n"/>
      <c r="AE49" s="104" t="n"/>
      <c r="AF49" s="103" t="n"/>
      <c r="AG49" s="104" t="n"/>
      <c r="AH49" s="103" t="n"/>
      <c r="AI49" s="104" t="n"/>
      <c r="AJ49" s="103" t="n"/>
      <c r="AK49" s="104" t="n"/>
      <c r="AL49" s="103" t="n"/>
      <c r="AM49" s="104" t="n"/>
      <c r="AN49" s="184" t="n"/>
      <c r="AO49" s="106" t="n"/>
      <c r="AP49" s="107" t="n"/>
      <c r="AQ49" s="106" t="n"/>
      <c r="AR49" s="107" t="n"/>
      <c r="AS49" s="106" t="n"/>
      <c r="AT49" s="107" t="n"/>
      <c r="AU49" s="106" t="n"/>
      <c r="AV49" s="107" t="n"/>
      <c r="AW49" s="106" t="n"/>
      <c r="AX49" s="107" t="n"/>
      <c r="AY49" s="106" t="n"/>
      <c r="AZ49" s="107" t="n"/>
      <c r="BA49" s="106" t="n"/>
      <c r="BB49" s="107" t="n"/>
      <c r="BC49" s="106" t="n"/>
      <c r="BD49" s="107" t="n"/>
      <c r="BE49" s="185" t="n"/>
      <c r="BF49" s="109" t="n"/>
      <c r="BG49" s="110" t="n"/>
      <c r="BH49" s="109" t="n"/>
      <c r="BI49" s="110" t="n"/>
      <c r="BJ49" s="109" t="n"/>
      <c r="BK49" s="110" t="n"/>
      <c r="BL49" s="109" t="n"/>
      <c r="BM49" s="110" t="n"/>
      <c r="BN49" s="109" t="n"/>
      <c r="BO49" s="110" t="n"/>
      <c r="BP49" s="109" t="n"/>
      <c r="BQ49" s="110" t="n"/>
      <c r="BR49" s="109" t="n"/>
      <c r="BS49" s="110" t="n"/>
      <c r="BT49" s="109" t="n"/>
      <c r="BU49" s="110" t="n"/>
      <c r="BV49" s="186" t="n"/>
      <c r="BW49" s="112" t="n"/>
      <c r="BX49" s="113" t="n"/>
      <c r="BY49" s="112" t="n"/>
      <c r="BZ49" s="113" t="n"/>
      <c r="CA49" s="112" t="n"/>
      <c r="CB49" s="113" t="n"/>
      <c r="CC49" s="112" t="n"/>
      <c r="CD49" s="113" t="n"/>
      <c r="CE49" s="112" t="n"/>
      <c r="CF49" s="113" t="n"/>
      <c r="CG49" s="112" t="n"/>
      <c r="CH49" s="113" t="n"/>
      <c r="CI49" s="112" t="n"/>
      <c r="CJ49" s="113" t="n"/>
      <c r="CK49" s="112" t="n"/>
      <c r="CL49" s="113" t="n"/>
      <c r="CM49" s="187" t="n"/>
      <c r="CN49" s="115" t="n"/>
      <c r="CO49" s="116" t="n"/>
      <c r="CP49" s="115" t="n"/>
      <c r="CQ49" s="116" t="n"/>
      <c r="CR49" s="115" t="n"/>
      <c r="CS49" s="116" t="n"/>
      <c r="CT49" s="115" t="n"/>
      <c r="CU49" s="116" t="n"/>
      <c r="CV49" s="115" t="n"/>
      <c r="CW49" s="116" t="n"/>
      <c r="CX49" s="115" t="n"/>
      <c r="CY49" s="116" t="n"/>
      <c r="CZ49" s="115" t="n"/>
      <c r="DA49" s="116" t="n"/>
      <c r="DB49" s="115" t="n"/>
      <c r="DC49" s="116" t="n"/>
      <c r="DD49" s="188" t="n"/>
      <c r="DE49" s="118" t="n"/>
      <c r="DF49" s="119" t="n"/>
      <c r="DG49" s="118" t="n"/>
      <c r="DH49" s="119" t="n"/>
      <c r="DI49" s="118" t="n"/>
      <c r="DJ49" s="119" t="n"/>
      <c r="DK49" s="118" t="n"/>
      <c r="DL49" s="119" t="n"/>
      <c r="DM49" s="118" t="n"/>
      <c r="DN49" s="119" t="n"/>
      <c r="DO49" s="118" t="n"/>
      <c r="DP49" s="119" t="n"/>
      <c r="DQ49" s="118" t="n"/>
      <c r="DR49" s="119" t="n"/>
      <c r="DS49" s="118" t="n"/>
      <c r="DT49" s="119" t="n"/>
      <c r="DU49" s="189" t="n"/>
      <c r="DV49" s="121" t="n"/>
      <c r="DW49" s="122" t="n"/>
      <c r="DX49" s="121" t="n"/>
      <c r="DY49" s="122" t="n"/>
      <c r="DZ49" s="121" t="n"/>
      <c r="EA49" s="122" t="n"/>
      <c r="EB49" s="121" t="n"/>
      <c r="EC49" s="122" t="n"/>
      <c r="ED49" s="121" t="n"/>
      <c r="EE49" s="122" t="n"/>
      <c r="EF49" s="121" t="n"/>
      <c r="EG49" s="122" t="n"/>
      <c r="EH49" s="121" t="n"/>
      <c r="EI49" s="122" t="n"/>
      <c r="EJ49" s="121" t="n"/>
      <c r="EK49" s="122" t="n"/>
      <c r="EL49" s="190" t="n"/>
      <c r="EM49" s="124" t="n"/>
      <c r="EN49" s="125" t="n"/>
      <c r="EO49" s="124" t="n"/>
      <c r="EP49" s="125" t="n"/>
      <c r="EQ49" s="124" t="n"/>
      <c r="ER49" s="125" t="n"/>
      <c r="ES49" s="124" t="n"/>
      <c r="ET49" s="125" t="n"/>
      <c r="EU49" s="124" t="n"/>
      <c r="EV49" s="125" t="n"/>
      <c r="EW49" s="124" t="n"/>
      <c r="EX49" s="125" t="n"/>
      <c r="EY49" s="124" t="n"/>
      <c r="EZ49" s="125" t="n"/>
      <c r="FA49" s="124" t="n"/>
      <c r="FB49" s="125" t="n"/>
      <c r="FC49" s="191" t="n"/>
      <c r="FD49" s="127" t="n"/>
      <c r="FE49" s="128" t="n"/>
      <c r="FF49" s="127" t="n"/>
      <c r="FG49" s="128" t="n"/>
      <c r="FH49" s="127" t="n"/>
      <c r="FI49" s="128" t="n"/>
      <c r="FJ49" s="127" t="n"/>
      <c r="FK49" s="128" t="n"/>
      <c r="FL49" s="127" t="n"/>
      <c r="FM49" s="128" t="n"/>
      <c r="FN49" s="127" t="n"/>
      <c r="FO49" s="128" t="n"/>
      <c r="FP49" s="127" t="n"/>
      <c r="FQ49" s="128" t="n"/>
      <c r="FR49" s="127" t="n"/>
      <c r="FS49" s="128" t="n"/>
      <c r="FT49" s="192" t="n"/>
      <c r="FU49" s="130" t="n"/>
      <c r="FV49" s="131" t="n"/>
      <c r="FW49" s="130" t="n"/>
      <c r="FX49" s="131" t="n"/>
      <c r="FY49" s="130" t="n"/>
      <c r="FZ49" s="131" t="n"/>
      <c r="GA49" s="130" t="n"/>
      <c r="GB49" s="131" t="n"/>
      <c r="GC49" s="130" t="n"/>
      <c r="GD49" s="131" t="n"/>
      <c r="GE49" s="130" t="n"/>
      <c r="GF49" s="131" t="n"/>
      <c r="GG49" s="130" t="n"/>
      <c r="GH49" s="131" t="n"/>
      <c r="GI49" s="130" t="n"/>
      <c r="GJ49" s="131" t="n"/>
      <c r="GK49" s="193" t="n"/>
      <c r="GL49" s="133" t="n"/>
      <c r="GM49" s="134" t="n"/>
      <c r="GN49" s="133" t="n"/>
      <c r="GO49" s="134" t="n"/>
      <c r="GP49" s="133" t="n"/>
      <c r="GQ49" s="134" t="n"/>
      <c r="GR49" s="133" t="n"/>
      <c r="GS49" s="134" t="n"/>
      <c r="GT49" s="133" t="n"/>
      <c r="GU49" s="134" t="n"/>
      <c r="GV49" s="133" t="n"/>
      <c r="GW49" s="134" t="n"/>
      <c r="GX49" s="133" t="n"/>
      <c r="GY49" s="134" t="n"/>
      <c r="GZ49" s="133" t="n"/>
      <c r="HA49" s="134" t="n"/>
      <c r="HB49" s="194" t="n"/>
      <c r="HC49">
        <f>SUMIFS($G49:$HA49,$G$36:$HA$36,"درجة",$H49:$HB49,"&gt;0")</f>
        <v>0</v>
      </c>
      <c r="HD49">
        <f>SUMIFS($H49:$HB49,$G$36:$HA$36,"درجة",$G49:$HA49,"&gt;=0")</f>
        <v>0</v>
      </c>
    </row>
    <row r="50" ht="22.5" customHeight="1">
      <c r="A50" s="36" t="n">
        <v>14</v>
      </c>
      <c r="B50" s="181" t="str">
        <f>IF($B17="","",$B17)</f>
        <v/>
      </c>
      <c r="C50" s="136" t="str">
        <f>IF(OR($B50="",$HD50=0),"",ROUND($HC50,2)&amp;" / "&amp;$HD50)</f>
        <v/>
      </c>
      <c r="D50" s="182" t="str">
        <f>IF(OR($B50="",$HD50=0),"",$HC50/$HD50)</f>
        <v/>
      </c>
      <c r="E50" s="136" t="n"/>
      <c r="F50" s="99" t="str">
        <f>IF($D50="","",IF($D50&gt;=0.85,"ممتاز",IF($D50&gt;=0.75,"جيد جداً",IF($D50&gt;=0.65,"جيد",IF($D50&gt;=0.5,"مقبول","ضعيف")))))</f>
        <v/>
      </c>
      <c r="G50" s="100" t="n"/>
      <c r="H50" s="101" t="n"/>
      <c r="I50" s="100" t="n"/>
      <c r="J50" s="101" t="n"/>
      <c r="K50" s="100" t="n"/>
      <c r="L50" s="101" t="n"/>
      <c r="M50" s="100" t="n"/>
      <c r="N50" s="101" t="n"/>
      <c r="O50" s="100" t="n"/>
      <c r="P50" s="101" t="n"/>
      <c r="Q50" s="100" t="n"/>
      <c r="R50" s="101" t="n"/>
      <c r="S50" s="100" t="n"/>
      <c r="T50" s="101" t="n"/>
      <c r="U50" s="100" t="n"/>
      <c r="V50" s="101" t="n"/>
      <c r="W50" s="183" t="n"/>
      <c r="X50" s="103" t="n"/>
      <c r="Y50" s="104" t="n"/>
      <c r="Z50" s="103" t="n"/>
      <c r="AA50" s="104" t="n"/>
      <c r="AB50" s="103" t="n"/>
      <c r="AC50" s="104" t="n"/>
      <c r="AD50" s="103" t="n"/>
      <c r="AE50" s="104" t="n"/>
      <c r="AF50" s="103" t="n"/>
      <c r="AG50" s="104" t="n"/>
      <c r="AH50" s="103" t="n"/>
      <c r="AI50" s="104" t="n"/>
      <c r="AJ50" s="103" t="n"/>
      <c r="AK50" s="104" t="n"/>
      <c r="AL50" s="103" t="n"/>
      <c r="AM50" s="104" t="n"/>
      <c r="AN50" s="184" t="n"/>
      <c r="AO50" s="106" t="n"/>
      <c r="AP50" s="107" t="n"/>
      <c r="AQ50" s="106" t="n"/>
      <c r="AR50" s="107" t="n"/>
      <c r="AS50" s="106" t="n"/>
      <c r="AT50" s="107" t="n"/>
      <c r="AU50" s="106" t="n"/>
      <c r="AV50" s="107" t="n"/>
      <c r="AW50" s="106" t="n"/>
      <c r="AX50" s="107" t="n"/>
      <c r="AY50" s="106" t="n"/>
      <c r="AZ50" s="107" t="n"/>
      <c r="BA50" s="106" t="n"/>
      <c r="BB50" s="107" t="n"/>
      <c r="BC50" s="106" t="n"/>
      <c r="BD50" s="107" t="n"/>
      <c r="BE50" s="185" t="n"/>
      <c r="BF50" s="109" t="n"/>
      <c r="BG50" s="110" t="n"/>
      <c r="BH50" s="109" t="n"/>
      <c r="BI50" s="110" t="n"/>
      <c r="BJ50" s="109" t="n"/>
      <c r="BK50" s="110" t="n"/>
      <c r="BL50" s="109" t="n"/>
      <c r="BM50" s="110" t="n"/>
      <c r="BN50" s="109" t="n"/>
      <c r="BO50" s="110" t="n"/>
      <c r="BP50" s="109" t="n"/>
      <c r="BQ50" s="110" t="n"/>
      <c r="BR50" s="109" t="n"/>
      <c r="BS50" s="110" t="n"/>
      <c r="BT50" s="109" t="n"/>
      <c r="BU50" s="110" t="n"/>
      <c r="BV50" s="186" t="n"/>
      <c r="BW50" s="112" t="n"/>
      <c r="BX50" s="113" t="n"/>
      <c r="BY50" s="112" t="n"/>
      <c r="BZ50" s="113" t="n"/>
      <c r="CA50" s="112" t="n"/>
      <c r="CB50" s="113" t="n"/>
      <c r="CC50" s="112" t="n"/>
      <c r="CD50" s="113" t="n"/>
      <c r="CE50" s="112" t="n"/>
      <c r="CF50" s="113" t="n"/>
      <c r="CG50" s="112" t="n"/>
      <c r="CH50" s="113" t="n"/>
      <c r="CI50" s="112" t="n"/>
      <c r="CJ50" s="113" t="n"/>
      <c r="CK50" s="112" t="n"/>
      <c r="CL50" s="113" t="n"/>
      <c r="CM50" s="187" t="n"/>
      <c r="CN50" s="115" t="n"/>
      <c r="CO50" s="116" t="n"/>
      <c r="CP50" s="115" t="n"/>
      <c r="CQ50" s="116" t="n"/>
      <c r="CR50" s="115" t="n"/>
      <c r="CS50" s="116" t="n"/>
      <c r="CT50" s="115" t="n"/>
      <c r="CU50" s="116" t="n"/>
      <c r="CV50" s="115" t="n"/>
      <c r="CW50" s="116" t="n"/>
      <c r="CX50" s="115" t="n"/>
      <c r="CY50" s="116" t="n"/>
      <c r="CZ50" s="115" t="n"/>
      <c r="DA50" s="116" t="n"/>
      <c r="DB50" s="115" t="n"/>
      <c r="DC50" s="116" t="n"/>
      <c r="DD50" s="188" t="n"/>
      <c r="DE50" s="118" t="n"/>
      <c r="DF50" s="119" t="n"/>
      <c r="DG50" s="118" t="n"/>
      <c r="DH50" s="119" t="n"/>
      <c r="DI50" s="118" t="n"/>
      <c r="DJ50" s="119" t="n"/>
      <c r="DK50" s="118" t="n"/>
      <c r="DL50" s="119" t="n"/>
      <c r="DM50" s="118" t="n"/>
      <c r="DN50" s="119" t="n"/>
      <c r="DO50" s="118" t="n"/>
      <c r="DP50" s="119" t="n"/>
      <c r="DQ50" s="118" t="n"/>
      <c r="DR50" s="119" t="n"/>
      <c r="DS50" s="118" t="n"/>
      <c r="DT50" s="119" t="n"/>
      <c r="DU50" s="189" t="n"/>
      <c r="DV50" s="121" t="n"/>
      <c r="DW50" s="122" t="n"/>
      <c r="DX50" s="121" t="n"/>
      <c r="DY50" s="122" t="n"/>
      <c r="DZ50" s="121" t="n"/>
      <c r="EA50" s="122" t="n"/>
      <c r="EB50" s="121" t="n"/>
      <c r="EC50" s="122" t="n"/>
      <c r="ED50" s="121" t="n"/>
      <c r="EE50" s="122" t="n"/>
      <c r="EF50" s="121" t="n"/>
      <c r="EG50" s="122" t="n"/>
      <c r="EH50" s="121" t="n"/>
      <c r="EI50" s="122" t="n"/>
      <c r="EJ50" s="121" t="n"/>
      <c r="EK50" s="122" t="n"/>
      <c r="EL50" s="190" t="n"/>
      <c r="EM50" s="124" t="n"/>
      <c r="EN50" s="125" t="n"/>
      <c r="EO50" s="124" t="n"/>
      <c r="EP50" s="125" t="n"/>
      <c r="EQ50" s="124" t="n"/>
      <c r="ER50" s="125" t="n"/>
      <c r="ES50" s="124" t="n"/>
      <c r="ET50" s="125" t="n"/>
      <c r="EU50" s="124" t="n"/>
      <c r="EV50" s="125" t="n"/>
      <c r="EW50" s="124" t="n"/>
      <c r="EX50" s="125" t="n"/>
      <c r="EY50" s="124" t="n"/>
      <c r="EZ50" s="125" t="n"/>
      <c r="FA50" s="124" t="n"/>
      <c r="FB50" s="125" t="n"/>
      <c r="FC50" s="191" t="n"/>
      <c r="FD50" s="127" t="n"/>
      <c r="FE50" s="128" t="n"/>
      <c r="FF50" s="127" t="n"/>
      <c r="FG50" s="128" t="n"/>
      <c r="FH50" s="127" t="n"/>
      <c r="FI50" s="128" t="n"/>
      <c r="FJ50" s="127" t="n"/>
      <c r="FK50" s="128" t="n"/>
      <c r="FL50" s="127" t="n"/>
      <c r="FM50" s="128" t="n"/>
      <c r="FN50" s="127" t="n"/>
      <c r="FO50" s="128" t="n"/>
      <c r="FP50" s="127" t="n"/>
      <c r="FQ50" s="128" t="n"/>
      <c r="FR50" s="127" t="n"/>
      <c r="FS50" s="128" t="n"/>
      <c r="FT50" s="192" t="n"/>
      <c r="FU50" s="130" t="n"/>
      <c r="FV50" s="131" t="n"/>
      <c r="FW50" s="130" t="n"/>
      <c r="FX50" s="131" t="n"/>
      <c r="FY50" s="130" t="n"/>
      <c r="FZ50" s="131" t="n"/>
      <c r="GA50" s="130" t="n"/>
      <c r="GB50" s="131" t="n"/>
      <c r="GC50" s="130" t="n"/>
      <c r="GD50" s="131" t="n"/>
      <c r="GE50" s="130" t="n"/>
      <c r="GF50" s="131" t="n"/>
      <c r="GG50" s="130" t="n"/>
      <c r="GH50" s="131" t="n"/>
      <c r="GI50" s="130" t="n"/>
      <c r="GJ50" s="131" t="n"/>
      <c r="GK50" s="193" t="n"/>
      <c r="GL50" s="133" t="n"/>
      <c r="GM50" s="134" t="n"/>
      <c r="GN50" s="133" t="n"/>
      <c r="GO50" s="134" t="n"/>
      <c r="GP50" s="133" t="n"/>
      <c r="GQ50" s="134" t="n"/>
      <c r="GR50" s="133" t="n"/>
      <c r="GS50" s="134" t="n"/>
      <c r="GT50" s="133" t="n"/>
      <c r="GU50" s="134" t="n"/>
      <c r="GV50" s="133" t="n"/>
      <c r="GW50" s="134" t="n"/>
      <c r="GX50" s="133" t="n"/>
      <c r="GY50" s="134" t="n"/>
      <c r="GZ50" s="133" t="n"/>
      <c r="HA50" s="134" t="n"/>
      <c r="HB50" s="194" t="n"/>
      <c r="HC50">
        <f>SUMIFS($G50:$HA50,$G$36:$HA$36,"درجة",$H50:$HB50,"&gt;0")</f>
        <v>0</v>
      </c>
      <c r="HD50">
        <f>SUMIFS($H50:$HB50,$G$36:$HA$36,"درجة",$G50:$HA50,"&gt;=0")</f>
        <v>0</v>
      </c>
    </row>
    <row r="51" ht="22.5" customHeight="1">
      <c r="A51" s="36" t="n">
        <v>15</v>
      </c>
      <c r="B51" s="181" t="str">
        <f>IF($B18="","",$B18)</f>
        <v/>
      </c>
      <c r="C51" s="136" t="str">
        <f>IF(OR($B51="",$HD51=0),"",ROUND($HC51,2)&amp;" / "&amp;$HD51)</f>
        <v/>
      </c>
      <c r="D51" s="182" t="str">
        <f>IF(OR($B51="",$HD51=0),"",$HC51/$HD51)</f>
        <v/>
      </c>
      <c r="E51" s="136" t="n"/>
      <c r="F51" s="99" t="str">
        <f>IF($D51="","",IF($D51&gt;=0.85,"ممتاز",IF($D51&gt;=0.75,"جيد جداً",IF($D51&gt;=0.65,"جيد",IF($D51&gt;=0.5,"مقبول","ضعيف")))))</f>
        <v/>
      </c>
      <c r="G51" s="100" t="n"/>
      <c r="H51" s="101" t="n"/>
      <c r="I51" s="100" t="n"/>
      <c r="J51" s="101" t="n"/>
      <c r="K51" s="100" t="n"/>
      <c r="L51" s="101" t="n"/>
      <c r="M51" s="100" t="n"/>
      <c r="N51" s="101" t="n"/>
      <c r="O51" s="100" t="n"/>
      <c r="P51" s="101" t="n"/>
      <c r="Q51" s="100" t="n"/>
      <c r="R51" s="101" t="n"/>
      <c r="S51" s="100" t="n"/>
      <c r="T51" s="101" t="n"/>
      <c r="U51" s="100" t="n"/>
      <c r="V51" s="101" t="n"/>
      <c r="W51" s="183" t="n"/>
      <c r="X51" s="103" t="n"/>
      <c r="Y51" s="104" t="n"/>
      <c r="Z51" s="103" t="n"/>
      <c r="AA51" s="104" t="n"/>
      <c r="AB51" s="103" t="n"/>
      <c r="AC51" s="104" t="n"/>
      <c r="AD51" s="103" t="n"/>
      <c r="AE51" s="104" t="n"/>
      <c r="AF51" s="103" t="n"/>
      <c r="AG51" s="104" t="n"/>
      <c r="AH51" s="103" t="n"/>
      <c r="AI51" s="104" t="n"/>
      <c r="AJ51" s="103" t="n"/>
      <c r="AK51" s="104" t="n"/>
      <c r="AL51" s="103" t="n"/>
      <c r="AM51" s="104" t="n"/>
      <c r="AN51" s="184" t="n"/>
      <c r="AO51" s="106" t="n"/>
      <c r="AP51" s="107" t="n"/>
      <c r="AQ51" s="106" t="n"/>
      <c r="AR51" s="107" t="n"/>
      <c r="AS51" s="106" t="n"/>
      <c r="AT51" s="107" t="n"/>
      <c r="AU51" s="106" t="n"/>
      <c r="AV51" s="107" t="n"/>
      <c r="AW51" s="106" t="n"/>
      <c r="AX51" s="107" t="n"/>
      <c r="AY51" s="106" t="n"/>
      <c r="AZ51" s="107" t="n"/>
      <c r="BA51" s="106" t="n"/>
      <c r="BB51" s="107" t="n"/>
      <c r="BC51" s="106" t="n"/>
      <c r="BD51" s="107" t="n"/>
      <c r="BE51" s="185" t="n"/>
      <c r="BF51" s="109" t="n"/>
      <c r="BG51" s="110" t="n"/>
      <c r="BH51" s="109" t="n"/>
      <c r="BI51" s="110" t="n"/>
      <c r="BJ51" s="109" t="n"/>
      <c r="BK51" s="110" t="n"/>
      <c r="BL51" s="109" t="n"/>
      <c r="BM51" s="110" t="n"/>
      <c r="BN51" s="109" t="n"/>
      <c r="BO51" s="110" t="n"/>
      <c r="BP51" s="109" t="n"/>
      <c r="BQ51" s="110" t="n"/>
      <c r="BR51" s="109" t="n"/>
      <c r="BS51" s="110" t="n"/>
      <c r="BT51" s="109" t="n"/>
      <c r="BU51" s="110" t="n"/>
      <c r="BV51" s="186" t="n"/>
      <c r="BW51" s="112" t="n"/>
      <c r="BX51" s="113" t="n"/>
      <c r="BY51" s="112" t="n"/>
      <c r="BZ51" s="113" t="n"/>
      <c r="CA51" s="112" t="n"/>
      <c r="CB51" s="113" t="n"/>
      <c r="CC51" s="112" t="n"/>
      <c r="CD51" s="113" t="n"/>
      <c r="CE51" s="112" t="n"/>
      <c r="CF51" s="113" t="n"/>
      <c r="CG51" s="112" t="n"/>
      <c r="CH51" s="113" t="n"/>
      <c r="CI51" s="112" t="n"/>
      <c r="CJ51" s="113" t="n"/>
      <c r="CK51" s="112" t="n"/>
      <c r="CL51" s="113" t="n"/>
      <c r="CM51" s="187" t="n"/>
      <c r="CN51" s="115" t="n"/>
      <c r="CO51" s="116" t="n"/>
      <c r="CP51" s="115" t="n"/>
      <c r="CQ51" s="116" t="n"/>
      <c r="CR51" s="115" t="n"/>
      <c r="CS51" s="116" t="n"/>
      <c r="CT51" s="115" t="n"/>
      <c r="CU51" s="116" t="n"/>
      <c r="CV51" s="115" t="n"/>
      <c r="CW51" s="116" t="n"/>
      <c r="CX51" s="115" t="n"/>
      <c r="CY51" s="116" t="n"/>
      <c r="CZ51" s="115" t="n"/>
      <c r="DA51" s="116" t="n"/>
      <c r="DB51" s="115" t="n"/>
      <c r="DC51" s="116" t="n"/>
      <c r="DD51" s="188" t="n"/>
      <c r="DE51" s="118" t="n"/>
      <c r="DF51" s="119" t="n"/>
      <c r="DG51" s="118" t="n"/>
      <c r="DH51" s="119" t="n"/>
      <c r="DI51" s="118" t="n"/>
      <c r="DJ51" s="119" t="n"/>
      <c r="DK51" s="118" t="n"/>
      <c r="DL51" s="119" t="n"/>
      <c r="DM51" s="118" t="n"/>
      <c r="DN51" s="119" t="n"/>
      <c r="DO51" s="118" t="n"/>
      <c r="DP51" s="119" t="n"/>
      <c r="DQ51" s="118" t="n"/>
      <c r="DR51" s="119" t="n"/>
      <c r="DS51" s="118" t="n"/>
      <c r="DT51" s="119" t="n"/>
      <c r="DU51" s="189" t="n"/>
      <c r="DV51" s="121" t="n"/>
      <c r="DW51" s="122" t="n"/>
      <c r="DX51" s="121" t="n"/>
      <c r="DY51" s="122" t="n"/>
      <c r="DZ51" s="121" t="n"/>
      <c r="EA51" s="122" t="n"/>
      <c r="EB51" s="121" t="n"/>
      <c r="EC51" s="122" t="n"/>
      <c r="ED51" s="121" t="n"/>
      <c r="EE51" s="122" t="n"/>
      <c r="EF51" s="121" t="n"/>
      <c r="EG51" s="122" t="n"/>
      <c r="EH51" s="121" t="n"/>
      <c r="EI51" s="122" t="n"/>
      <c r="EJ51" s="121" t="n"/>
      <c r="EK51" s="122" t="n"/>
      <c r="EL51" s="190" t="n"/>
      <c r="EM51" s="124" t="n"/>
      <c r="EN51" s="125" t="n"/>
      <c r="EO51" s="124" t="n"/>
      <c r="EP51" s="125" t="n"/>
      <c r="EQ51" s="124" t="n"/>
      <c r="ER51" s="125" t="n"/>
      <c r="ES51" s="124" t="n"/>
      <c r="ET51" s="125" t="n"/>
      <c r="EU51" s="124" t="n"/>
      <c r="EV51" s="125" t="n"/>
      <c r="EW51" s="124" t="n"/>
      <c r="EX51" s="125" t="n"/>
      <c r="EY51" s="124" t="n"/>
      <c r="EZ51" s="125" t="n"/>
      <c r="FA51" s="124" t="n"/>
      <c r="FB51" s="125" t="n"/>
      <c r="FC51" s="191" t="n"/>
      <c r="FD51" s="127" t="n"/>
      <c r="FE51" s="128" t="n"/>
      <c r="FF51" s="127" t="n"/>
      <c r="FG51" s="128" t="n"/>
      <c r="FH51" s="127" t="n"/>
      <c r="FI51" s="128" t="n"/>
      <c r="FJ51" s="127" t="n"/>
      <c r="FK51" s="128" t="n"/>
      <c r="FL51" s="127" t="n"/>
      <c r="FM51" s="128" t="n"/>
      <c r="FN51" s="127" t="n"/>
      <c r="FO51" s="128" t="n"/>
      <c r="FP51" s="127" t="n"/>
      <c r="FQ51" s="128" t="n"/>
      <c r="FR51" s="127" t="n"/>
      <c r="FS51" s="128" t="n"/>
      <c r="FT51" s="192" t="n"/>
      <c r="FU51" s="130" t="n"/>
      <c r="FV51" s="131" t="n"/>
      <c r="FW51" s="130" t="n"/>
      <c r="FX51" s="131" t="n"/>
      <c r="FY51" s="130" t="n"/>
      <c r="FZ51" s="131" t="n"/>
      <c r="GA51" s="130" t="n"/>
      <c r="GB51" s="131" t="n"/>
      <c r="GC51" s="130" t="n"/>
      <c r="GD51" s="131" t="n"/>
      <c r="GE51" s="130" t="n"/>
      <c r="GF51" s="131" t="n"/>
      <c r="GG51" s="130" t="n"/>
      <c r="GH51" s="131" t="n"/>
      <c r="GI51" s="130" t="n"/>
      <c r="GJ51" s="131" t="n"/>
      <c r="GK51" s="193" t="n"/>
      <c r="GL51" s="133" t="n"/>
      <c r="GM51" s="134" t="n"/>
      <c r="GN51" s="133" t="n"/>
      <c r="GO51" s="134" t="n"/>
      <c r="GP51" s="133" t="n"/>
      <c r="GQ51" s="134" t="n"/>
      <c r="GR51" s="133" t="n"/>
      <c r="GS51" s="134" t="n"/>
      <c r="GT51" s="133" t="n"/>
      <c r="GU51" s="134" t="n"/>
      <c r="GV51" s="133" t="n"/>
      <c r="GW51" s="134" t="n"/>
      <c r="GX51" s="133" t="n"/>
      <c r="GY51" s="134" t="n"/>
      <c r="GZ51" s="133" t="n"/>
      <c r="HA51" s="134" t="n"/>
      <c r="HB51" s="194" t="n"/>
      <c r="HC51">
        <f>SUMIFS($G51:$HA51,$G$36:$HA$36,"درجة",$H51:$HB51,"&gt;0")</f>
        <v>0</v>
      </c>
      <c r="HD51">
        <f>SUMIFS($H51:$HB51,$G$36:$HA$36,"درجة",$G51:$HA51,"&gt;=0")</f>
        <v>0</v>
      </c>
    </row>
    <row r="52" ht="22.5" customHeight="1">
      <c r="A52" s="36" t="n">
        <v>16</v>
      </c>
      <c r="B52" s="181" t="str">
        <f>IF($B19="","",$B19)</f>
        <v/>
      </c>
      <c r="C52" s="136" t="str">
        <f>IF(OR($B52="",$HD52=0),"",ROUND($HC52,2)&amp;" / "&amp;$HD52)</f>
        <v/>
      </c>
      <c r="D52" s="182" t="str">
        <f>IF(OR($B52="",$HD52=0),"",$HC52/$HD52)</f>
        <v/>
      </c>
      <c r="E52" s="136" t="n"/>
      <c r="F52" s="99" t="str">
        <f>IF($D52="","",IF($D52&gt;=0.85,"ممتاز",IF($D52&gt;=0.75,"جيد جداً",IF($D52&gt;=0.65,"جيد",IF($D52&gt;=0.5,"مقبول","ضعيف")))))</f>
        <v/>
      </c>
      <c r="G52" s="100" t="n"/>
      <c r="H52" s="101" t="n"/>
      <c r="I52" s="100" t="n"/>
      <c r="J52" s="101" t="n"/>
      <c r="K52" s="100" t="n"/>
      <c r="L52" s="101" t="n"/>
      <c r="M52" s="100" t="n"/>
      <c r="N52" s="101" t="n"/>
      <c r="O52" s="100" t="n"/>
      <c r="P52" s="101" t="n"/>
      <c r="Q52" s="100" t="n"/>
      <c r="R52" s="101" t="n"/>
      <c r="S52" s="100" t="n"/>
      <c r="T52" s="101" t="n"/>
      <c r="U52" s="100" t="n"/>
      <c r="V52" s="101" t="n"/>
      <c r="W52" s="183" t="n"/>
      <c r="X52" s="103" t="n"/>
      <c r="Y52" s="104" t="n"/>
      <c r="Z52" s="103" t="n"/>
      <c r="AA52" s="104" t="n"/>
      <c r="AB52" s="103" t="n"/>
      <c r="AC52" s="104" t="n"/>
      <c r="AD52" s="103" t="n"/>
      <c r="AE52" s="104" t="n"/>
      <c r="AF52" s="103" t="n"/>
      <c r="AG52" s="104" t="n"/>
      <c r="AH52" s="103" t="n"/>
      <c r="AI52" s="104" t="n"/>
      <c r="AJ52" s="103" t="n"/>
      <c r="AK52" s="104" t="n"/>
      <c r="AL52" s="103" t="n"/>
      <c r="AM52" s="104" t="n"/>
      <c r="AN52" s="184" t="n"/>
      <c r="AO52" s="106" t="n"/>
      <c r="AP52" s="107" t="n"/>
      <c r="AQ52" s="106" t="n"/>
      <c r="AR52" s="107" t="n"/>
      <c r="AS52" s="106" t="n"/>
      <c r="AT52" s="107" t="n"/>
      <c r="AU52" s="106" t="n"/>
      <c r="AV52" s="107" t="n"/>
      <c r="AW52" s="106" t="n"/>
      <c r="AX52" s="107" t="n"/>
      <c r="AY52" s="106" t="n"/>
      <c r="AZ52" s="107" t="n"/>
      <c r="BA52" s="106" t="n"/>
      <c r="BB52" s="107" t="n"/>
      <c r="BC52" s="106" t="n"/>
      <c r="BD52" s="107" t="n"/>
      <c r="BE52" s="185" t="n"/>
      <c r="BF52" s="109" t="n"/>
      <c r="BG52" s="110" t="n"/>
      <c r="BH52" s="109" t="n"/>
      <c r="BI52" s="110" t="n"/>
      <c r="BJ52" s="109" t="n"/>
      <c r="BK52" s="110" t="n"/>
      <c r="BL52" s="109" t="n"/>
      <c r="BM52" s="110" t="n"/>
      <c r="BN52" s="109" t="n"/>
      <c r="BO52" s="110" t="n"/>
      <c r="BP52" s="109" t="n"/>
      <c r="BQ52" s="110" t="n"/>
      <c r="BR52" s="109" t="n"/>
      <c r="BS52" s="110" t="n"/>
      <c r="BT52" s="109" t="n"/>
      <c r="BU52" s="110" t="n"/>
      <c r="BV52" s="186" t="n"/>
      <c r="BW52" s="112" t="n"/>
      <c r="BX52" s="113" t="n"/>
      <c r="BY52" s="112" t="n"/>
      <c r="BZ52" s="113" t="n"/>
      <c r="CA52" s="112" t="n"/>
      <c r="CB52" s="113" t="n"/>
      <c r="CC52" s="112" t="n"/>
      <c r="CD52" s="113" t="n"/>
      <c r="CE52" s="112" t="n"/>
      <c r="CF52" s="113" t="n"/>
      <c r="CG52" s="112" t="n"/>
      <c r="CH52" s="113" t="n"/>
      <c r="CI52" s="112" t="n"/>
      <c r="CJ52" s="113" t="n"/>
      <c r="CK52" s="112" t="n"/>
      <c r="CL52" s="113" t="n"/>
      <c r="CM52" s="187" t="n"/>
      <c r="CN52" s="115" t="n"/>
      <c r="CO52" s="116" t="n"/>
      <c r="CP52" s="115" t="n"/>
      <c r="CQ52" s="116" t="n"/>
      <c r="CR52" s="115" t="n"/>
      <c r="CS52" s="116" t="n"/>
      <c r="CT52" s="115" t="n"/>
      <c r="CU52" s="116" t="n"/>
      <c r="CV52" s="115" t="n"/>
      <c r="CW52" s="116" t="n"/>
      <c r="CX52" s="115" t="n"/>
      <c r="CY52" s="116" t="n"/>
      <c r="CZ52" s="115" t="n"/>
      <c r="DA52" s="116" t="n"/>
      <c r="DB52" s="115" t="n"/>
      <c r="DC52" s="116" t="n"/>
      <c r="DD52" s="188" t="n"/>
      <c r="DE52" s="118" t="n"/>
      <c r="DF52" s="119" t="n"/>
      <c r="DG52" s="118" t="n"/>
      <c r="DH52" s="119" t="n"/>
      <c r="DI52" s="118" t="n"/>
      <c r="DJ52" s="119" t="n"/>
      <c r="DK52" s="118" t="n"/>
      <c r="DL52" s="119" t="n"/>
      <c r="DM52" s="118" t="n"/>
      <c r="DN52" s="119" t="n"/>
      <c r="DO52" s="118" t="n"/>
      <c r="DP52" s="119" t="n"/>
      <c r="DQ52" s="118" t="n"/>
      <c r="DR52" s="119" t="n"/>
      <c r="DS52" s="118" t="n"/>
      <c r="DT52" s="119" t="n"/>
      <c r="DU52" s="189" t="n"/>
      <c r="DV52" s="121" t="n"/>
      <c r="DW52" s="122" t="n"/>
      <c r="DX52" s="121" t="n"/>
      <c r="DY52" s="122" t="n"/>
      <c r="DZ52" s="121" t="n"/>
      <c r="EA52" s="122" t="n"/>
      <c r="EB52" s="121" t="n"/>
      <c r="EC52" s="122" t="n"/>
      <c r="ED52" s="121" t="n"/>
      <c r="EE52" s="122" t="n"/>
      <c r="EF52" s="121" t="n"/>
      <c r="EG52" s="122" t="n"/>
      <c r="EH52" s="121" t="n"/>
      <c r="EI52" s="122" t="n"/>
      <c r="EJ52" s="121" t="n"/>
      <c r="EK52" s="122" t="n"/>
      <c r="EL52" s="190" t="n"/>
      <c r="EM52" s="124" t="n"/>
      <c r="EN52" s="125" t="n"/>
      <c r="EO52" s="124" t="n"/>
      <c r="EP52" s="125" t="n"/>
      <c r="EQ52" s="124" t="n"/>
      <c r="ER52" s="125" t="n"/>
      <c r="ES52" s="124" t="n"/>
      <c r="ET52" s="125" t="n"/>
      <c r="EU52" s="124" t="n"/>
      <c r="EV52" s="125" t="n"/>
      <c r="EW52" s="124" t="n"/>
      <c r="EX52" s="125" t="n"/>
      <c r="EY52" s="124" t="n"/>
      <c r="EZ52" s="125" t="n"/>
      <c r="FA52" s="124" t="n"/>
      <c r="FB52" s="125" t="n"/>
      <c r="FC52" s="191" t="n"/>
      <c r="FD52" s="127" t="n"/>
      <c r="FE52" s="128" t="n"/>
      <c r="FF52" s="127" t="n"/>
      <c r="FG52" s="128" t="n"/>
      <c r="FH52" s="127" t="n"/>
      <c r="FI52" s="128" t="n"/>
      <c r="FJ52" s="127" t="n"/>
      <c r="FK52" s="128" t="n"/>
      <c r="FL52" s="127" t="n"/>
      <c r="FM52" s="128" t="n"/>
      <c r="FN52" s="127" t="n"/>
      <c r="FO52" s="128" t="n"/>
      <c r="FP52" s="127" t="n"/>
      <c r="FQ52" s="128" t="n"/>
      <c r="FR52" s="127" t="n"/>
      <c r="FS52" s="128" t="n"/>
      <c r="FT52" s="192" t="n"/>
      <c r="FU52" s="130" t="n"/>
      <c r="FV52" s="131" t="n"/>
      <c r="FW52" s="130" t="n"/>
      <c r="FX52" s="131" t="n"/>
      <c r="FY52" s="130" t="n"/>
      <c r="FZ52" s="131" t="n"/>
      <c r="GA52" s="130" t="n"/>
      <c r="GB52" s="131" t="n"/>
      <c r="GC52" s="130" t="n"/>
      <c r="GD52" s="131" t="n"/>
      <c r="GE52" s="130" t="n"/>
      <c r="GF52" s="131" t="n"/>
      <c r="GG52" s="130" t="n"/>
      <c r="GH52" s="131" t="n"/>
      <c r="GI52" s="130" t="n"/>
      <c r="GJ52" s="131" t="n"/>
      <c r="GK52" s="193" t="n"/>
      <c r="GL52" s="133" t="n"/>
      <c r="GM52" s="134" t="n"/>
      <c r="GN52" s="133" t="n"/>
      <c r="GO52" s="134" t="n"/>
      <c r="GP52" s="133" t="n"/>
      <c r="GQ52" s="134" t="n"/>
      <c r="GR52" s="133" t="n"/>
      <c r="GS52" s="134" t="n"/>
      <c r="GT52" s="133" t="n"/>
      <c r="GU52" s="134" t="n"/>
      <c r="GV52" s="133" t="n"/>
      <c r="GW52" s="134" t="n"/>
      <c r="GX52" s="133" t="n"/>
      <c r="GY52" s="134" t="n"/>
      <c r="GZ52" s="133" t="n"/>
      <c r="HA52" s="134" t="n"/>
      <c r="HB52" s="194" t="n"/>
      <c r="HC52">
        <f>SUMIFS($G52:$HA52,$G$36:$HA$36,"درجة",$H52:$HB52,"&gt;0")</f>
        <v>0</v>
      </c>
      <c r="HD52">
        <f>SUMIFS($H52:$HB52,$G$36:$HA$36,"درجة",$G52:$HA52,"&gt;=0")</f>
        <v>0</v>
      </c>
    </row>
    <row r="53" ht="22.5" customHeight="1">
      <c r="A53" s="36" t="n">
        <v>17</v>
      </c>
      <c r="B53" s="181" t="str">
        <f>IF($B20="","",$B20)</f>
        <v/>
      </c>
      <c r="C53" s="136" t="str">
        <f>IF(OR($B53="",$HD53=0),"",ROUND($HC53,2)&amp;" / "&amp;$HD53)</f>
        <v/>
      </c>
      <c r="D53" s="182" t="str">
        <f>IF(OR($B53="",$HD53=0),"",$HC53/$HD53)</f>
        <v/>
      </c>
      <c r="E53" s="136" t="n"/>
      <c r="F53" s="99" t="str">
        <f>IF($D53="","",IF($D53&gt;=0.85,"ممتاز",IF($D53&gt;=0.75,"جيد جداً",IF($D53&gt;=0.65,"جيد",IF($D53&gt;=0.5,"مقبول","ضعيف")))))</f>
        <v/>
      </c>
      <c r="G53" s="100" t="n"/>
      <c r="H53" s="101" t="n"/>
      <c r="I53" s="100" t="n"/>
      <c r="J53" s="101" t="n"/>
      <c r="K53" s="100" t="n"/>
      <c r="L53" s="101" t="n"/>
      <c r="M53" s="100" t="n"/>
      <c r="N53" s="101" t="n"/>
      <c r="O53" s="100" t="n"/>
      <c r="P53" s="101" t="n"/>
      <c r="Q53" s="100" t="n"/>
      <c r="R53" s="101" t="n"/>
      <c r="S53" s="100" t="n"/>
      <c r="T53" s="101" t="n"/>
      <c r="U53" s="100" t="n"/>
      <c r="V53" s="101" t="n"/>
      <c r="W53" s="183" t="n"/>
      <c r="X53" s="103" t="n"/>
      <c r="Y53" s="104" t="n"/>
      <c r="Z53" s="103" t="n"/>
      <c r="AA53" s="104" t="n"/>
      <c r="AB53" s="103" t="n"/>
      <c r="AC53" s="104" t="n"/>
      <c r="AD53" s="103" t="n"/>
      <c r="AE53" s="104" t="n"/>
      <c r="AF53" s="103" t="n"/>
      <c r="AG53" s="104" t="n"/>
      <c r="AH53" s="103" t="n"/>
      <c r="AI53" s="104" t="n"/>
      <c r="AJ53" s="103" t="n"/>
      <c r="AK53" s="104" t="n"/>
      <c r="AL53" s="103" t="n"/>
      <c r="AM53" s="104" t="n"/>
      <c r="AN53" s="184" t="n"/>
      <c r="AO53" s="106" t="n"/>
      <c r="AP53" s="107" t="n"/>
      <c r="AQ53" s="106" t="n"/>
      <c r="AR53" s="107" t="n"/>
      <c r="AS53" s="106" t="n"/>
      <c r="AT53" s="107" t="n"/>
      <c r="AU53" s="106" t="n"/>
      <c r="AV53" s="107" t="n"/>
      <c r="AW53" s="106" t="n"/>
      <c r="AX53" s="107" t="n"/>
      <c r="AY53" s="106" t="n"/>
      <c r="AZ53" s="107" t="n"/>
      <c r="BA53" s="106" t="n"/>
      <c r="BB53" s="107" t="n"/>
      <c r="BC53" s="106" t="n"/>
      <c r="BD53" s="107" t="n"/>
      <c r="BE53" s="185" t="n"/>
      <c r="BF53" s="109" t="n"/>
      <c r="BG53" s="110" t="n"/>
      <c r="BH53" s="109" t="n"/>
      <c r="BI53" s="110" t="n"/>
      <c r="BJ53" s="109" t="n"/>
      <c r="BK53" s="110" t="n"/>
      <c r="BL53" s="109" t="n"/>
      <c r="BM53" s="110" t="n"/>
      <c r="BN53" s="109" t="n"/>
      <c r="BO53" s="110" t="n"/>
      <c r="BP53" s="109" t="n"/>
      <c r="BQ53" s="110" t="n"/>
      <c r="BR53" s="109" t="n"/>
      <c r="BS53" s="110" t="n"/>
      <c r="BT53" s="109" t="n"/>
      <c r="BU53" s="110" t="n"/>
      <c r="BV53" s="186" t="n"/>
      <c r="BW53" s="112" t="n"/>
      <c r="BX53" s="113" t="n"/>
      <c r="BY53" s="112" t="n"/>
      <c r="BZ53" s="113" t="n"/>
      <c r="CA53" s="112" t="n"/>
      <c r="CB53" s="113" t="n"/>
      <c r="CC53" s="112" t="n"/>
      <c r="CD53" s="113" t="n"/>
      <c r="CE53" s="112" t="n"/>
      <c r="CF53" s="113" t="n"/>
      <c r="CG53" s="112" t="n"/>
      <c r="CH53" s="113" t="n"/>
      <c r="CI53" s="112" t="n"/>
      <c r="CJ53" s="113" t="n"/>
      <c r="CK53" s="112" t="n"/>
      <c r="CL53" s="113" t="n"/>
      <c r="CM53" s="187" t="n"/>
      <c r="CN53" s="115" t="n"/>
      <c r="CO53" s="116" t="n"/>
      <c r="CP53" s="115" t="n"/>
      <c r="CQ53" s="116" t="n"/>
      <c r="CR53" s="115" t="n"/>
      <c r="CS53" s="116" t="n"/>
      <c r="CT53" s="115" t="n"/>
      <c r="CU53" s="116" t="n"/>
      <c r="CV53" s="115" t="n"/>
      <c r="CW53" s="116" t="n"/>
      <c r="CX53" s="115" t="n"/>
      <c r="CY53" s="116" t="n"/>
      <c r="CZ53" s="115" t="n"/>
      <c r="DA53" s="116" t="n"/>
      <c r="DB53" s="115" t="n"/>
      <c r="DC53" s="116" t="n"/>
      <c r="DD53" s="188" t="n"/>
      <c r="DE53" s="118" t="n"/>
      <c r="DF53" s="119" t="n"/>
      <c r="DG53" s="118" t="n"/>
      <c r="DH53" s="119" t="n"/>
      <c r="DI53" s="118" t="n"/>
      <c r="DJ53" s="119" t="n"/>
      <c r="DK53" s="118" t="n"/>
      <c r="DL53" s="119" t="n"/>
      <c r="DM53" s="118" t="n"/>
      <c r="DN53" s="119" t="n"/>
      <c r="DO53" s="118" t="n"/>
      <c r="DP53" s="119" t="n"/>
      <c r="DQ53" s="118" t="n"/>
      <c r="DR53" s="119" t="n"/>
      <c r="DS53" s="118" t="n"/>
      <c r="DT53" s="119" t="n"/>
      <c r="DU53" s="189" t="n"/>
      <c r="DV53" s="121" t="n"/>
      <c r="DW53" s="122" t="n"/>
      <c r="DX53" s="121" t="n"/>
      <c r="DY53" s="122" t="n"/>
      <c r="DZ53" s="121" t="n"/>
      <c r="EA53" s="122" t="n"/>
      <c r="EB53" s="121" t="n"/>
      <c r="EC53" s="122" t="n"/>
      <c r="ED53" s="121" t="n"/>
      <c r="EE53" s="122" t="n"/>
      <c r="EF53" s="121" t="n"/>
      <c r="EG53" s="122" t="n"/>
      <c r="EH53" s="121" t="n"/>
      <c r="EI53" s="122" t="n"/>
      <c r="EJ53" s="121" t="n"/>
      <c r="EK53" s="122" t="n"/>
      <c r="EL53" s="190" t="n"/>
      <c r="EM53" s="124" t="n"/>
      <c r="EN53" s="125" t="n"/>
      <c r="EO53" s="124" t="n"/>
      <c r="EP53" s="125" t="n"/>
      <c r="EQ53" s="124" t="n"/>
      <c r="ER53" s="125" t="n"/>
      <c r="ES53" s="124" t="n"/>
      <c r="ET53" s="125" t="n"/>
      <c r="EU53" s="124" t="n"/>
      <c r="EV53" s="125" t="n"/>
      <c r="EW53" s="124" t="n"/>
      <c r="EX53" s="125" t="n"/>
      <c r="EY53" s="124" t="n"/>
      <c r="EZ53" s="125" t="n"/>
      <c r="FA53" s="124" t="n"/>
      <c r="FB53" s="125" t="n"/>
      <c r="FC53" s="191" t="n"/>
      <c r="FD53" s="127" t="n"/>
      <c r="FE53" s="128" t="n"/>
      <c r="FF53" s="127" t="n"/>
      <c r="FG53" s="128" t="n"/>
      <c r="FH53" s="127" t="n"/>
      <c r="FI53" s="128" t="n"/>
      <c r="FJ53" s="127" t="n"/>
      <c r="FK53" s="128" t="n"/>
      <c r="FL53" s="127" t="n"/>
      <c r="FM53" s="128" t="n"/>
      <c r="FN53" s="127" t="n"/>
      <c r="FO53" s="128" t="n"/>
      <c r="FP53" s="127" t="n"/>
      <c r="FQ53" s="128" t="n"/>
      <c r="FR53" s="127" t="n"/>
      <c r="FS53" s="128" t="n"/>
      <c r="FT53" s="192" t="n"/>
      <c r="FU53" s="130" t="n"/>
      <c r="FV53" s="131" t="n"/>
      <c r="FW53" s="130" t="n"/>
      <c r="FX53" s="131" t="n"/>
      <c r="FY53" s="130" t="n"/>
      <c r="FZ53" s="131" t="n"/>
      <c r="GA53" s="130" t="n"/>
      <c r="GB53" s="131" t="n"/>
      <c r="GC53" s="130" t="n"/>
      <c r="GD53" s="131" t="n"/>
      <c r="GE53" s="130" t="n"/>
      <c r="GF53" s="131" t="n"/>
      <c r="GG53" s="130" t="n"/>
      <c r="GH53" s="131" t="n"/>
      <c r="GI53" s="130" t="n"/>
      <c r="GJ53" s="131" t="n"/>
      <c r="GK53" s="193" t="n"/>
      <c r="GL53" s="133" t="n"/>
      <c r="GM53" s="134" t="n"/>
      <c r="GN53" s="133" t="n"/>
      <c r="GO53" s="134" t="n"/>
      <c r="GP53" s="133" t="n"/>
      <c r="GQ53" s="134" t="n"/>
      <c r="GR53" s="133" t="n"/>
      <c r="GS53" s="134" t="n"/>
      <c r="GT53" s="133" t="n"/>
      <c r="GU53" s="134" t="n"/>
      <c r="GV53" s="133" t="n"/>
      <c r="GW53" s="134" t="n"/>
      <c r="GX53" s="133" t="n"/>
      <c r="GY53" s="134" t="n"/>
      <c r="GZ53" s="133" t="n"/>
      <c r="HA53" s="134" t="n"/>
      <c r="HB53" s="194" t="n"/>
      <c r="HC53">
        <f>SUMIFS($G53:$HA53,$G$36:$HA$36,"درجة",$H53:$HB53,"&gt;0")</f>
        <v>0</v>
      </c>
      <c r="HD53">
        <f>SUMIFS($H53:$HB53,$G$36:$HA$36,"درجة",$G53:$HA53,"&gt;=0")</f>
        <v>0</v>
      </c>
    </row>
    <row r="54" ht="22.5" customHeight="1">
      <c r="A54" s="36" t="n">
        <v>18</v>
      </c>
      <c r="B54" s="181" t="str">
        <f>IF($B21="","",$B21)</f>
        <v/>
      </c>
      <c r="C54" s="136" t="str">
        <f>IF(OR($B54="",$HD54=0),"",ROUND($HC54,2)&amp;" / "&amp;$HD54)</f>
        <v/>
      </c>
      <c r="D54" s="182" t="str">
        <f>IF(OR($B54="",$HD54=0),"",$HC54/$HD54)</f>
        <v/>
      </c>
      <c r="E54" s="136" t="n"/>
      <c r="F54" s="99" t="str">
        <f>IF($D54="","",IF($D54&gt;=0.85,"ممتاز",IF($D54&gt;=0.75,"جيد جداً",IF($D54&gt;=0.65,"جيد",IF($D54&gt;=0.5,"مقبول","ضعيف")))))</f>
        <v/>
      </c>
      <c r="G54" s="100" t="n"/>
      <c r="H54" s="101" t="n"/>
      <c r="I54" s="100" t="n"/>
      <c r="J54" s="101" t="n"/>
      <c r="K54" s="100" t="n"/>
      <c r="L54" s="101" t="n"/>
      <c r="M54" s="100" t="n"/>
      <c r="N54" s="101" t="n"/>
      <c r="O54" s="100" t="n"/>
      <c r="P54" s="101" t="n"/>
      <c r="Q54" s="100" t="n"/>
      <c r="R54" s="101" t="n"/>
      <c r="S54" s="100" t="n"/>
      <c r="T54" s="101" t="n"/>
      <c r="U54" s="100" t="n"/>
      <c r="V54" s="101" t="n"/>
      <c r="W54" s="183" t="n"/>
      <c r="X54" s="103" t="n"/>
      <c r="Y54" s="104" t="n"/>
      <c r="Z54" s="103" t="n"/>
      <c r="AA54" s="104" t="n"/>
      <c r="AB54" s="103" t="n"/>
      <c r="AC54" s="104" t="n"/>
      <c r="AD54" s="103" t="n"/>
      <c r="AE54" s="104" t="n"/>
      <c r="AF54" s="103" t="n"/>
      <c r="AG54" s="104" t="n"/>
      <c r="AH54" s="103" t="n"/>
      <c r="AI54" s="104" t="n"/>
      <c r="AJ54" s="103" t="n"/>
      <c r="AK54" s="104" t="n"/>
      <c r="AL54" s="103" t="n"/>
      <c r="AM54" s="104" t="n"/>
      <c r="AN54" s="184" t="n"/>
      <c r="AO54" s="106" t="n"/>
      <c r="AP54" s="107" t="n"/>
      <c r="AQ54" s="106" t="n"/>
      <c r="AR54" s="107" t="n"/>
      <c r="AS54" s="106" t="n"/>
      <c r="AT54" s="107" t="n"/>
      <c r="AU54" s="106" t="n"/>
      <c r="AV54" s="107" t="n"/>
      <c r="AW54" s="106" t="n"/>
      <c r="AX54" s="107" t="n"/>
      <c r="AY54" s="106" t="n"/>
      <c r="AZ54" s="107" t="n"/>
      <c r="BA54" s="106" t="n"/>
      <c r="BB54" s="107" t="n"/>
      <c r="BC54" s="106" t="n"/>
      <c r="BD54" s="107" t="n"/>
      <c r="BE54" s="185" t="n"/>
      <c r="BF54" s="109" t="n"/>
      <c r="BG54" s="110" t="n"/>
      <c r="BH54" s="109" t="n"/>
      <c r="BI54" s="110" t="n"/>
      <c r="BJ54" s="109" t="n"/>
      <c r="BK54" s="110" t="n"/>
      <c r="BL54" s="109" t="n"/>
      <c r="BM54" s="110" t="n"/>
      <c r="BN54" s="109" t="n"/>
      <c r="BO54" s="110" t="n"/>
      <c r="BP54" s="109" t="n"/>
      <c r="BQ54" s="110" t="n"/>
      <c r="BR54" s="109" t="n"/>
      <c r="BS54" s="110" t="n"/>
      <c r="BT54" s="109" t="n"/>
      <c r="BU54" s="110" t="n"/>
      <c r="BV54" s="186" t="n"/>
      <c r="BW54" s="112" t="n"/>
      <c r="BX54" s="113" t="n"/>
      <c r="BY54" s="112" t="n"/>
      <c r="BZ54" s="113" t="n"/>
      <c r="CA54" s="112" t="n"/>
      <c r="CB54" s="113" t="n"/>
      <c r="CC54" s="112" t="n"/>
      <c r="CD54" s="113" t="n"/>
      <c r="CE54" s="112" t="n"/>
      <c r="CF54" s="113" t="n"/>
      <c r="CG54" s="112" t="n"/>
      <c r="CH54" s="113" t="n"/>
      <c r="CI54" s="112" t="n"/>
      <c r="CJ54" s="113" t="n"/>
      <c r="CK54" s="112" t="n"/>
      <c r="CL54" s="113" t="n"/>
      <c r="CM54" s="187" t="n"/>
      <c r="CN54" s="115" t="n"/>
      <c r="CO54" s="116" t="n"/>
      <c r="CP54" s="115" t="n"/>
      <c r="CQ54" s="116" t="n"/>
      <c r="CR54" s="115" t="n"/>
      <c r="CS54" s="116" t="n"/>
      <c r="CT54" s="115" t="n"/>
      <c r="CU54" s="116" t="n"/>
      <c r="CV54" s="115" t="n"/>
      <c r="CW54" s="116" t="n"/>
      <c r="CX54" s="115" t="n"/>
      <c r="CY54" s="116" t="n"/>
      <c r="CZ54" s="115" t="n"/>
      <c r="DA54" s="116" t="n"/>
      <c r="DB54" s="115" t="n"/>
      <c r="DC54" s="116" t="n"/>
      <c r="DD54" s="188" t="n"/>
      <c r="DE54" s="118" t="n"/>
      <c r="DF54" s="119" t="n"/>
      <c r="DG54" s="118" t="n"/>
      <c r="DH54" s="119" t="n"/>
      <c r="DI54" s="118" t="n"/>
      <c r="DJ54" s="119" t="n"/>
      <c r="DK54" s="118" t="n"/>
      <c r="DL54" s="119" t="n"/>
      <c r="DM54" s="118" t="n"/>
      <c r="DN54" s="119" t="n"/>
      <c r="DO54" s="118" t="n"/>
      <c r="DP54" s="119" t="n"/>
      <c r="DQ54" s="118" t="n"/>
      <c r="DR54" s="119" t="n"/>
      <c r="DS54" s="118" t="n"/>
      <c r="DT54" s="119" t="n"/>
      <c r="DU54" s="189" t="n"/>
      <c r="DV54" s="121" t="n"/>
      <c r="DW54" s="122" t="n"/>
      <c r="DX54" s="121" t="n"/>
      <c r="DY54" s="122" t="n"/>
      <c r="DZ54" s="121" t="n"/>
      <c r="EA54" s="122" t="n"/>
      <c r="EB54" s="121" t="n"/>
      <c r="EC54" s="122" t="n"/>
      <c r="ED54" s="121" t="n"/>
      <c r="EE54" s="122" t="n"/>
      <c r="EF54" s="121" t="n"/>
      <c r="EG54" s="122" t="n"/>
      <c r="EH54" s="121" t="n"/>
      <c r="EI54" s="122" t="n"/>
      <c r="EJ54" s="121" t="n"/>
      <c r="EK54" s="122" t="n"/>
      <c r="EL54" s="190" t="n"/>
      <c r="EM54" s="124" t="n"/>
      <c r="EN54" s="125" t="n"/>
      <c r="EO54" s="124" t="n"/>
      <c r="EP54" s="125" t="n"/>
      <c r="EQ54" s="124" t="n"/>
      <c r="ER54" s="125" t="n"/>
      <c r="ES54" s="124" t="n"/>
      <c r="ET54" s="125" t="n"/>
      <c r="EU54" s="124" t="n"/>
      <c r="EV54" s="125" t="n"/>
      <c r="EW54" s="124" t="n"/>
      <c r="EX54" s="125" t="n"/>
      <c r="EY54" s="124" t="n"/>
      <c r="EZ54" s="125" t="n"/>
      <c r="FA54" s="124" t="n"/>
      <c r="FB54" s="125" t="n"/>
      <c r="FC54" s="191" t="n"/>
      <c r="FD54" s="127" t="n"/>
      <c r="FE54" s="128" t="n"/>
      <c r="FF54" s="127" t="n"/>
      <c r="FG54" s="128" t="n"/>
      <c r="FH54" s="127" t="n"/>
      <c r="FI54" s="128" t="n"/>
      <c r="FJ54" s="127" t="n"/>
      <c r="FK54" s="128" t="n"/>
      <c r="FL54" s="127" t="n"/>
      <c r="FM54" s="128" t="n"/>
      <c r="FN54" s="127" t="n"/>
      <c r="FO54" s="128" t="n"/>
      <c r="FP54" s="127" t="n"/>
      <c r="FQ54" s="128" t="n"/>
      <c r="FR54" s="127" t="n"/>
      <c r="FS54" s="128" t="n"/>
      <c r="FT54" s="192" t="n"/>
      <c r="FU54" s="130" t="n"/>
      <c r="FV54" s="131" t="n"/>
      <c r="FW54" s="130" t="n"/>
      <c r="FX54" s="131" t="n"/>
      <c r="FY54" s="130" t="n"/>
      <c r="FZ54" s="131" t="n"/>
      <c r="GA54" s="130" t="n"/>
      <c r="GB54" s="131" t="n"/>
      <c r="GC54" s="130" t="n"/>
      <c r="GD54" s="131" t="n"/>
      <c r="GE54" s="130" t="n"/>
      <c r="GF54" s="131" t="n"/>
      <c r="GG54" s="130" t="n"/>
      <c r="GH54" s="131" t="n"/>
      <c r="GI54" s="130" t="n"/>
      <c r="GJ54" s="131" t="n"/>
      <c r="GK54" s="193" t="n"/>
      <c r="GL54" s="133" t="n"/>
      <c r="GM54" s="134" t="n"/>
      <c r="GN54" s="133" t="n"/>
      <c r="GO54" s="134" t="n"/>
      <c r="GP54" s="133" t="n"/>
      <c r="GQ54" s="134" t="n"/>
      <c r="GR54" s="133" t="n"/>
      <c r="GS54" s="134" t="n"/>
      <c r="GT54" s="133" t="n"/>
      <c r="GU54" s="134" t="n"/>
      <c r="GV54" s="133" t="n"/>
      <c r="GW54" s="134" t="n"/>
      <c r="GX54" s="133" t="n"/>
      <c r="GY54" s="134" t="n"/>
      <c r="GZ54" s="133" t="n"/>
      <c r="HA54" s="134" t="n"/>
      <c r="HB54" s="194" t="n"/>
      <c r="HC54">
        <f>SUMIFS($G54:$HA54,$G$36:$HA$36,"درجة",$H54:$HB54,"&gt;0")</f>
        <v>0</v>
      </c>
      <c r="HD54">
        <f>SUMIFS($H54:$HB54,$G$36:$HA$36,"درجة",$G54:$HA54,"&gt;=0")</f>
        <v>0</v>
      </c>
    </row>
    <row r="55" ht="22.5" customHeight="1">
      <c r="A55" s="36" t="n">
        <v>19</v>
      </c>
      <c r="B55" s="181" t="str">
        <f>IF($B22="","",$B22)</f>
        <v/>
      </c>
      <c r="C55" s="136" t="str">
        <f>IF(OR($B55="",$HD55=0),"",ROUND($HC55,2)&amp;" / "&amp;$HD55)</f>
        <v/>
      </c>
      <c r="D55" s="182" t="str">
        <f>IF(OR($B55="",$HD55=0),"",$HC55/$HD55)</f>
        <v/>
      </c>
      <c r="E55" s="136" t="n"/>
      <c r="F55" s="99" t="str">
        <f>IF($D55="","",IF($D55&gt;=0.85,"ممتاز",IF($D55&gt;=0.75,"جيد جداً",IF($D55&gt;=0.65,"جيد",IF($D55&gt;=0.5,"مقبول","ضعيف")))))</f>
        <v/>
      </c>
      <c r="G55" s="100" t="n"/>
      <c r="H55" s="101" t="n"/>
      <c r="I55" s="100" t="n"/>
      <c r="J55" s="101" t="n"/>
      <c r="K55" s="100" t="n"/>
      <c r="L55" s="101" t="n"/>
      <c r="M55" s="100" t="n"/>
      <c r="N55" s="101" t="n"/>
      <c r="O55" s="100" t="n"/>
      <c r="P55" s="101" t="n"/>
      <c r="Q55" s="100" t="n"/>
      <c r="R55" s="101" t="n"/>
      <c r="S55" s="100" t="n"/>
      <c r="T55" s="101" t="n"/>
      <c r="U55" s="100" t="n"/>
      <c r="V55" s="101" t="n"/>
      <c r="W55" s="183" t="n"/>
      <c r="X55" s="103" t="n"/>
      <c r="Y55" s="104" t="n"/>
      <c r="Z55" s="103" t="n"/>
      <c r="AA55" s="104" t="n"/>
      <c r="AB55" s="103" t="n"/>
      <c r="AC55" s="104" t="n"/>
      <c r="AD55" s="103" t="n"/>
      <c r="AE55" s="104" t="n"/>
      <c r="AF55" s="103" t="n"/>
      <c r="AG55" s="104" t="n"/>
      <c r="AH55" s="103" t="n"/>
      <c r="AI55" s="104" t="n"/>
      <c r="AJ55" s="103" t="n"/>
      <c r="AK55" s="104" t="n"/>
      <c r="AL55" s="103" t="n"/>
      <c r="AM55" s="104" t="n"/>
      <c r="AN55" s="184" t="n"/>
      <c r="AO55" s="106" t="n"/>
      <c r="AP55" s="107" t="n"/>
      <c r="AQ55" s="106" t="n"/>
      <c r="AR55" s="107" t="n"/>
      <c r="AS55" s="106" t="n"/>
      <c r="AT55" s="107" t="n"/>
      <c r="AU55" s="106" t="n"/>
      <c r="AV55" s="107" t="n"/>
      <c r="AW55" s="106" t="n"/>
      <c r="AX55" s="107" t="n"/>
      <c r="AY55" s="106" t="n"/>
      <c r="AZ55" s="107" t="n"/>
      <c r="BA55" s="106" t="n"/>
      <c r="BB55" s="107" t="n"/>
      <c r="BC55" s="106" t="n"/>
      <c r="BD55" s="107" t="n"/>
      <c r="BE55" s="185" t="n"/>
      <c r="BF55" s="109" t="n"/>
      <c r="BG55" s="110" t="n"/>
      <c r="BH55" s="109" t="n"/>
      <c r="BI55" s="110" t="n"/>
      <c r="BJ55" s="109" t="n"/>
      <c r="BK55" s="110" t="n"/>
      <c r="BL55" s="109" t="n"/>
      <c r="BM55" s="110" t="n"/>
      <c r="BN55" s="109" t="n"/>
      <c r="BO55" s="110" t="n"/>
      <c r="BP55" s="109" t="n"/>
      <c r="BQ55" s="110" t="n"/>
      <c r="BR55" s="109" t="n"/>
      <c r="BS55" s="110" t="n"/>
      <c r="BT55" s="109" t="n"/>
      <c r="BU55" s="110" t="n"/>
      <c r="BV55" s="186" t="n"/>
      <c r="BW55" s="112" t="n"/>
      <c r="BX55" s="113" t="n"/>
      <c r="BY55" s="112" t="n"/>
      <c r="BZ55" s="113" t="n"/>
      <c r="CA55" s="112" t="n"/>
      <c r="CB55" s="113" t="n"/>
      <c r="CC55" s="112" t="n"/>
      <c r="CD55" s="113" t="n"/>
      <c r="CE55" s="112" t="n"/>
      <c r="CF55" s="113" t="n"/>
      <c r="CG55" s="112" t="n"/>
      <c r="CH55" s="113" t="n"/>
      <c r="CI55" s="112" t="n"/>
      <c r="CJ55" s="113" t="n"/>
      <c r="CK55" s="112" t="n"/>
      <c r="CL55" s="113" t="n"/>
      <c r="CM55" s="187" t="n"/>
      <c r="CN55" s="115" t="n"/>
      <c r="CO55" s="116" t="n"/>
      <c r="CP55" s="115" t="n"/>
      <c r="CQ55" s="116" t="n"/>
      <c r="CR55" s="115" t="n"/>
      <c r="CS55" s="116" t="n"/>
      <c r="CT55" s="115" t="n"/>
      <c r="CU55" s="116" t="n"/>
      <c r="CV55" s="115" t="n"/>
      <c r="CW55" s="116" t="n"/>
      <c r="CX55" s="115" t="n"/>
      <c r="CY55" s="116" t="n"/>
      <c r="CZ55" s="115" t="n"/>
      <c r="DA55" s="116" t="n"/>
      <c r="DB55" s="115" t="n"/>
      <c r="DC55" s="116" t="n"/>
      <c r="DD55" s="188" t="n"/>
      <c r="DE55" s="118" t="n"/>
      <c r="DF55" s="119" t="n"/>
      <c r="DG55" s="118" t="n"/>
      <c r="DH55" s="119" t="n"/>
      <c r="DI55" s="118" t="n"/>
      <c r="DJ55" s="119" t="n"/>
      <c r="DK55" s="118" t="n"/>
      <c r="DL55" s="119" t="n"/>
      <c r="DM55" s="118" t="n"/>
      <c r="DN55" s="119" t="n"/>
      <c r="DO55" s="118" t="n"/>
      <c r="DP55" s="119" t="n"/>
      <c r="DQ55" s="118" t="n"/>
      <c r="DR55" s="119" t="n"/>
      <c r="DS55" s="118" t="n"/>
      <c r="DT55" s="119" t="n"/>
      <c r="DU55" s="189" t="n"/>
      <c r="DV55" s="121" t="n"/>
      <c r="DW55" s="122" t="n"/>
      <c r="DX55" s="121" t="n"/>
      <c r="DY55" s="122" t="n"/>
      <c r="DZ55" s="121" t="n"/>
      <c r="EA55" s="122" t="n"/>
      <c r="EB55" s="121" t="n"/>
      <c r="EC55" s="122" t="n"/>
      <c r="ED55" s="121" t="n"/>
      <c r="EE55" s="122" t="n"/>
      <c r="EF55" s="121" t="n"/>
      <c r="EG55" s="122" t="n"/>
      <c r="EH55" s="121" t="n"/>
      <c r="EI55" s="122" t="n"/>
      <c r="EJ55" s="121" t="n"/>
      <c r="EK55" s="122" t="n"/>
      <c r="EL55" s="190" t="n"/>
      <c r="EM55" s="124" t="n"/>
      <c r="EN55" s="125" t="n"/>
      <c r="EO55" s="124" t="n"/>
      <c r="EP55" s="125" t="n"/>
      <c r="EQ55" s="124" t="n"/>
      <c r="ER55" s="125" t="n"/>
      <c r="ES55" s="124" t="n"/>
      <c r="ET55" s="125" t="n"/>
      <c r="EU55" s="124" t="n"/>
      <c r="EV55" s="125" t="n"/>
      <c r="EW55" s="124" t="n"/>
      <c r="EX55" s="125" t="n"/>
      <c r="EY55" s="124" t="n"/>
      <c r="EZ55" s="125" t="n"/>
      <c r="FA55" s="124" t="n"/>
      <c r="FB55" s="125" t="n"/>
      <c r="FC55" s="191" t="n"/>
      <c r="FD55" s="127" t="n"/>
      <c r="FE55" s="128" t="n"/>
      <c r="FF55" s="127" t="n"/>
      <c r="FG55" s="128" t="n"/>
      <c r="FH55" s="127" t="n"/>
      <c r="FI55" s="128" t="n"/>
      <c r="FJ55" s="127" t="n"/>
      <c r="FK55" s="128" t="n"/>
      <c r="FL55" s="127" t="n"/>
      <c r="FM55" s="128" t="n"/>
      <c r="FN55" s="127" t="n"/>
      <c r="FO55" s="128" t="n"/>
      <c r="FP55" s="127" t="n"/>
      <c r="FQ55" s="128" t="n"/>
      <c r="FR55" s="127" t="n"/>
      <c r="FS55" s="128" t="n"/>
      <c r="FT55" s="192" t="n"/>
      <c r="FU55" s="130" t="n"/>
      <c r="FV55" s="131" t="n"/>
      <c r="FW55" s="130" t="n"/>
      <c r="FX55" s="131" t="n"/>
      <c r="FY55" s="130" t="n"/>
      <c r="FZ55" s="131" t="n"/>
      <c r="GA55" s="130" t="n"/>
      <c r="GB55" s="131" t="n"/>
      <c r="GC55" s="130" t="n"/>
      <c r="GD55" s="131" t="n"/>
      <c r="GE55" s="130" t="n"/>
      <c r="GF55" s="131" t="n"/>
      <c r="GG55" s="130" t="n"/>
      <c r="GH55" s="131" t="n"/>
      <c r="GI55" s="130" t="n"/>
      <c r="GJ55" s="131" t="n"/>
      <c r="GK55" s="193" t="n"/>
      <c r="GL55" s="133" t="n"/>
      <c r="GM55" s="134" t="n"/>
      <c r="GN55" s="133" t="n"/>
      <c r="GO55" s="134" t="n"/>
      <c r="GP55" s="133" t="n"/>
      <c r="GQ55" s="134" t="n"/>
      <c r="GR55" s="133" t="n"/>
      <c r="GS55" s="134" t="n"/>
      <c r="GT55" s="133" t="n"/>
      <c r="GU55" s="134" t="n"/>
      <c r="GV55" s="133" t="n"/>
      <c r="GW55" s="134" t="n"/>
      <c r="GX55" s="133" t="n"/>
      <c r="GY55" s="134" t="n"/>
      <c r="GZ55" s="133" t="n"/>
      <c r="HA55" s="134" t="n"/>
      <c r="HB55" s="194" t="n"/>
      <c r="HC55">
        <f>SUMIFS($G55:$HA55,$G$36:$HA$36,"درجة",$H55:$HB55,"&gt;0")</f>
        <v>0</v>
      </c>
      <c r="HD55">
        <f>SUMIFS($H55:$HB55,$G$36:$HA$36,"درجة",$G55:$HA55,"&gt;=0")</f>
        <v>0</v>
      </c>
    </row>
    <row r="56" ht="22.5" customHeight="1">
      <c r="A56" s="36" t="n">
        <v>20</v>
      </c>
      <c r="B56" s="181" t="str">
        <f>IF($B23="","",$B23)</f>
        <v/>
      </c>
      <c r="C56" s="136" t="str">
        <f>IF(OR($B56="",$HD56=0),"",ROUND($HC56,2)&amp;" / "&amp;$HD56)</f>
        <v/>
      </c>
      <c r="D56" s="182" t="str">
        <f>IF(OR($B56="",$HD56=0),"",$HC56/$HD56)</f>
        <v/>
      </c>
      <c r="E56" s="136" t="n"/>
      <c r="F56" s="99" t="str">
        <f>IF($D56="","",IF($D56&gt;=0.85,"ممتاز",IF($D56&gt;=0.75,"جيد جداً",IF($D56&gt;=0.65,"جيد",IF($D56&gt;=0.5,"مقبول","ضعيف")))))</f>
        <v/>
      </c>
      <c r="G56" s="100" t="n"/>
      <c r="H56" s="101" t="n"/>
      <c r="I56" s="100" t="n"/>
      <c r="J56" s="101" t="n"/>
      <c r="K56" s="100" t="n"/>
      <c r="L56" s="101" t="n"/>
      <c r="M56" s="100" t="n"/>
      <c r="N56" s="101" t="n"/>
      <c r="O56" s="100" t="n"/>
      <c r="P56" s="101" t="n"/>
      <c r="Q56" s="100" t="n"/>
      <c r="R56" s="101" t="n"/>
      <c r="S56" s="100" t="n"/>
      <c r="T56" s="101" t="n"/>
      <c r="U56" s="100" t="n"/>
      <c r="V56" s="101" t="n"/>
      <c r="W56" s="183" t="n"/>
      <c r="X56" s="103" t="n"/>
      <c r="Y56" s="104" t="n"/>
      <c r="Z56" s="103" t="n"/>
      <c r="AA56" s="104" t="n"/>
      <c r="AB56" s="103" t="n"/>
      <c r="AC56" s="104" t="n"/>
      <c r="AD56" s="103" t="n"/>
      <c r="AE56" s="104" t="n"/>
      <c r="AF56" s="103" t="n"/>
      <c r="AG56" s="104" t="n"/>
      <c r="AH56" s="103" t="n"/>
      <c r="AI56" s="104" t="n"/>
      <c r="AJ56" s="103" t="n"/>
      <c r="AK56" s="104" t="n"/>
      <c r="AL56" s="103" t="n"/>
      <c r="AM56" s="104" t="n"/>
      <c r="AN56" s="184" t="n"/>
      <c r="AO56" s="106" t="n"/>
      <c r="AP56" s="107" t="n"/>
      <c r="AQ56" s="106" t="n"/>
      <c r="AR56" s="107" t="n"/>
      <c r="AS56" s="106" t="n"/>
      <c r="AT56" s="107" t="n"/>
      <c r="AU56" s="106" t="n"/>
      <c r="AV56" s="107" t="n"/>
      <c r="AW56" s="106" t="n"/>
      <c r="AX56" s="107" t="n"/>
      <c r="AY56" s="106" t="n"/>
      <c r="AZ56" s="107" t="n"/>
      <c r="BA56" s="106" t="n"/>
      <c r="BB56" s="107" t="n"/>
      <c r="BC56" s="106" t="n"/>
      <c r="BD56" s="107" t="n"/>
      <c r="BE56" s="185" t="n"/>
      <c r="BF56" s="109" t="n"/>
      <c r="BG56" s="110" t="n"/>
      <c r="BH56" s="109" t="n"/>
      <c r="BI56" s="110" t="n"/>
      <c r="BJ56" s="109" t="n"/>
      <c r="BK56" s="110" t="n"/>
      <c r="BL56" s="109" t="n"/>
      <c r="BM56" s="110" t="n"/>
      <c r="BN56" s="109" t="n"/>
      <c r="BO56" s="110" t="n"/>
      <c r="BP56" s="109" t="n"/>
      <c r="BQ56" s="110" t="n"/>
      <c r="BR56" s="109" t="n"/>
      <c r="BS56" s="110" t="n"/>
      <c r="BT56" s="109" t="n"/>
      <c r="BU56" s="110" t="n"/>
      <c r="BV56" s="186" t="n"/>
      <c r="BW56" s="112" t="n"/>
      <c r="BX56" s="113" t="n"/>
      <c r="BY56" s="112" t="n"/>
      <c r="BZ56" s="113" t="n"/>
      <c r="CA56" s="112" t="n"/>
      <c r="CB56" s="113" t="n"/>
      <c r="CC56" s="112" t="n"/>
      <c r="CD56" s="113" t="n"/>
      <c r="CE56" s="112" t="n"/>
      <c r="CF56" s="113" t="n"/>
      <c r="CG56" s="112" t="n"/>
      <c r="CH56" s="113" t="n"/>
      <c r="CI56" s="112" t="n"/>
      <c r="CJ56" s="113" t="n"/>
      <c r="CK56" s="112" t="n"/>
      <c r="CL56" s="113" t="n"/>
      <c r="CM56" s="187" t="n"/>
      <c r="CN56" s="115" t="n"/>
      <c r="CO56" s="116" t="n"/>
      <c r="CP56" s="115" t="n"/>
      <c r="CQ56" s="116" t="n"/>
      <c r="CR56" s="115" t="n"/>
      <c r="CS56" s="116" t="n"/>
      <c r="CT56" s="115" t="n"/>
      <c r="CU56" s="116" t="n"/>
      <c r="CV56" s="115" t="n"/>
      <c r="CW56" s="116" t="n"/>
      <c r="CX56" s="115" t="n"/>
      <c r="CY56" s="116" t="n"/>
      <c r="CZ56" s="115" t="n"/>
      <c r="DA56" s="116" t="n"/>
      <c r="DB56" s="115" t="n"/>
      <c r="DC56" s="116" t="n"/>
      <c r="DD56" s="188" t="n"/>
      <c r="DE56" s="118" t="n"/>
      <c r="DF56" s="119" t="n"/>
      <c r="DG56" s="118" t="n"/>
      <c r="DH56" s="119" t="n"/>
      <c r="DI56" s="118" t="n"/>
      <c r="DJ56" s="119" t="n"/>
      <c r="DK56" s="118" t="n"/>
      <c r="DL56" s="119" t="n"/>
      <c r="DM56" s="118" t="n"/>
      <c r="DN56" s="119" t="n"/>
      <c r="DO56" s="118" t="n"/>
      <c r="DP56" s="119" t="n"/>
      <c r="DQ56" s="118" t="n"/>
      <c r="DR56" s="119" t="n"/>
      <c r="DS56" s="118" t="n"/>
      <c r="DT56" s="119" t="n"/>
      <c r="DU56" s="189" t="n"/>
      <c r="DV56" s="121" t="n"/>
      <c r="DW56" s="122" t="n"/>
      <c r="DX56" s="121" t="n"/>
      <c r="DY56" s="122" t="n"/>
      <c r="DZ56" s="121" t="n"/>
      <c r="EA56" s="122" t="n"/>
      <c r="EB56" s="121" t="n"/>
      <c r="EC56" s="122" t="n"/>
      <c r="ED56" s="121" t="n"/>
      <c r="EE56" s="122" t="n"/>
      <c r="EF56" s="121" t="n"/>
      <c r="EG56" s="122" t="n"/>
      <c r="EH56" s="121" t="n"/>
      <c r="EI56" s="122" t="n"/>
      <c r="EJ56" s="121" t="n"/>
      <c r="EK56" s="122" t="n"/>
      <c r="EL56" s="190" t="n"/>
      <c r="EM56" s="124" t="n"/>
      <c r="EN56" s="125" t="n"/>
      <c r="EO56" s="124" t="n"/>
      <c r="EP56" s="125" t="n"/>
      <c r="EQ56" s="124" t="n"/>
      <c r="ER56" s="125" t="n"/>
      <c r="ES56" s="124" t="n"/>
      <c r="ET56" s="125" t="n"/>
      <c r="EU56" s="124" t="n"/>
      <c r="EV56" s="125" t="n"/>
      <c r="EW56" s="124" t="n"/>
      <c r="EX56" s="125" t="n"/>
      <c r="EY56" s="124" t="n"/>
      <c r="EZ56" s="125" t="n"/>
      <c r="FA56" s="124" t="n"/>
      <c r="FB56" s="125" t="n"/>
      <c r="FC56" s="191" t="n"/>
      <c r="FD56" s="127" t="n"/>
      <c r="FE56" s="128" t="n"/>
      <c r="FF56" s="127" t="n"/>
      <c r="FG56" s="128" t="n"/>
      <c r="FH56" s="127" t="n"/>
      <c r="FI56" s="128" t="n"/>
      <c r="FJ56" s="127" t="n"/>
      <c r="FK56" s="128" t="n"/>
      <c r="FL56" s="127" t="n"/>
      <c r="FM56" s="128" t="n"/>
      <c r="FN56" s="127" t="n"/>
      <c r="FO56" s="128" t="n"/>
      <c r="FP56" s="127" t="n"/>
      <c r="FQ56" s="128" t="n"/>
      <c r="FR56" s="127" t="n"/>
      <c r="FS56" s="128" t="n"/>
      <c r="FT56" s="192" t="n"/>
      <c r="FU56" s="130" t="n"/>
      <c r="FV56" s="131" t="n"/>
      <c r="FW56" s="130" t="n"/>
      <c r="FX56" s="131" t="n"/>
      <c r="FY56" s="130" t="n"/>
      <c r="FZ56" s="131" t="n"/>
      <c r="GA56" s="130" t="n"/>
      <c r="GB56" s="131" t="n"/>
      <c r="GC56" s="130" t="n"/>
      <c r="GD56" s="131" t="n"/>
      <c r="GE56" s="130" t="n"/>
      <c r="GF56" s="131" t="n"/>
      <c r="GG56" s="130" t="n"/>
      <c r="GH56" s="131" t="n"/>
      <c r="GI56" s="130" t="n"/>
      <c r="GJ56" s="131" t="n"/>
      <c r="GK56" s="193" t="n"/>
      <c r="GL56" s="133" t="n"/>
      <c r="GM56" s="134" t="n"/>
      <c r="GN56" s="133" t="n"/>
      <c r="GO56" s="134" t="n"/>
      <c r="GP56" s="133" t="n"/>
      <c r="GQ56" s="134" t="n"/>
      <c r="GR56" s="133" t="n"/>
      <c r="GS56" s="134" t="n"/>
      <c r="GT56" s="133" t="n"/>
      <c r="GU56" s="134" t="n"/>
      <c r="GV56" s="133" t="n"/>
      <c r="GW56" s="134" t="n"/>
      <c r="GX56" s="133" t="n"/>
      <c r="GY56" s="134" t="n"/>
      <c r="GZ56" s="133" t="n"/>
      <c r="HA56" s="134" t="n"/>
      <c r="HB56" s="194" t="n"/>
      <c r="HC56">
        <f>SUMIFS($G56:$HA56,$G$36:$HA$36,"درجة",$H56:$HB56,"&gt;0")</f>
        <v>0</v>
      </c>
      <c r="HD56">
        <f>SUMIFS($H56:$HB56,$G$36:$HA$36,"درجة",$G56:$HA56,"&gt;=0")</f>
        <v>0</v>
      </c>
    </row>
    <row r="57" ht="22.5" customHeight="1">
      <c r="A57" s="36" t="n">
        <v>21</v>
      </c>
      <c r="B57" s="181" t="str">
        <f>IF($B24="","",$B24)</f>
        <v/>
      </c>
      <c r="C57" s="136" t="str">
        <f>IF(OR($B57="",$HD57=0),"",ROUND($HC57,2)&amp;" / "&amp;$HD57)</f>
        <v/>
      </c>
      <c r="D57" s="182" t="str">
        <f>IF(OR($B57="",$HD57=0),"",$HC57/$HD57)</f>
        <v/>
      </c>
      <c r="E57" s="136" t="n"/>
      <c r="F57" s="99" t="str">
        <f>IF($D57="","",IF($D57&gt;=0.85,"ممتاز",IF($D57&gt;=0.75,"جيد جداً",IF($D57&gt;=0.65,"جيد",IF($D57&gt;=0.5,"مقبول","ضعيف")))))</f>
        <v/>
      </c>
      <c r="G57" s="100" t="n"/>
      <c r="H57" s="101" t="n"/>
      <c r="I57" s="100" t="n"/>
      <c r="J57" s="101" t="n"/>
      <c r="K57" s="100" t="n"/>
      <c r="L57" s="101" t="n"/>
      <c r="M57" s="100" t="n"/>
      <c r="N57" s="101" t="n"/>
      <c r="O57" s="100" t="n"/>
      <c r="P57" s="101" t="n"/>
      <c r="Q57" s="100" t="n"/>
      <c r="R57" s="101" t="n"/>
      <c r="S57" s="100" t="n"/>
      <c r="T57" s="101" t="n"/>
      <c r="U57" s="100" t="n"/>
      <c r="V57" s="101" t="n"/>
      <c r="W57" s="183" t="n"/>
      <c r="X57" s="103" t="n"/>
      <c r="Y57" s="104" t="n"/>
      <c r="Z57" s="103" t="n"/>
      <c r="AA57" s="104" t="n"/>
      <c r="AB57" s="103" t="n"/>
      <c r="AC57" s="104" t="n"/>
      <c r="AD57" s="103" t="n"/>
      <c r="AE57" s="104" t="n"/>
      <c r="AF57" s="103" t="n"/>
      <c r="AG57" s="104" t="n"/>
      <c r="AH57" s="103" t="n"/>
      <c r="AI57" s="104" t="n"/>
      <c r="AJ57" s="103" t="n"/>
      <c r="AK57" s="104" t="n"/>
      <c r="AL57" s="103" t="n"/>
      <c r="AM57" s="104" t="n"/>
      <c r="AN57" s="184" t="n"/>
      <c r="AO57" s="106" t="n"/>
      <c r="AP57" s="107" t="n"/>
      <c r="AQ57" s="106" t="n"/>
      <c r="AR57" s="107" t="n"/>
      <c r="AS57" s="106" t="n"/>
      <c r="AT57" s="107" t="n"/>
      <c r="AU57" s="106" t="n"/>
      <c r="AV57" s="107" t="n"/>
      <c r="AW57" s="106" t="n"/>
      <c r="AX57" s="107" t="n"/>
      <c r="AY57" s="106" t="n"/>
      <c r="AZ57" s="107" t="n"/>
      <c r="BA57" s="106" t="n"/>
      <c r="BB57" s="107" t="n"/>
      <c r="BC57" s="106" t="n"/>
      <c r="BD57" s="107" t="n"/>
      <c r="BE57" s="185" t="n"/>
      <c r="BF57" s="109" t="n"/>
      <c r="BG57" s="110" t="n"/>
      <c r="BH57" s="109" t="n"/>
      <c r="BI57" s="110" t="n"/>
      <c r="BJ57" s="109" t="n"/>
      <c r="BK57" s="110" t="n"/>
      <c r="BL57" s="109" t="n"/>
      <c r="BM57" s="110" t="n"/>
      <c r="BN57" s="109" t="n"/>
      <c r="BO57" s="110" t="n"/>
      <c r="BP57" s="109" t="n"/>
      <c r="BQ57" s="110" t="n"/>
      <c r="BR57" s="109" t="n"/>
      <c r="BS57" s="110" t="n"/>
      <c r="BT57" s="109" t="n"/>
      <c r="BU57" s="110" t="n"/>
      <c r="BV57" s="186" t="n"/>
      <c r="BW57" s="112" t="n"/>
      <c r="BX57" s="113" t="n"/>
      <c r="BY57" s="112" t="n"/>
      <c r="BZ57" s="113" t="n"/>
      <c r="CA57" s="112" t="n"/>
      <c r="CB57" s="113" t="n"/>
      <c r="CC57" s="112" t="n"/>
      <c r="CD57" s="113" t="n"/>
      <c r="CE57" s="112" t="n"/>
      <c r="CF57" s="113" t="n"/>
      <c r="CG57" s="112" t="n"/>
      <c r="CH57" s="113" t="n"/>
      <c r="CI57" s="112" t="n"/>
      <c r="CJ57" s="113" t="n"/>
      <c r="CK57" s="112" t="n"/>
      <c r="CL57" s="113" t="n"/>
      <c r="CM57" s="187" t="n"/>
      <c r="CN57" s="115" t="n"/>
      <c r="CO57" s="116" t="n"/>
      <c r="CP57" s="115" t="n"/>
      <c r="CQ57" s="116" t="n"/>
      <c r="CR57" s="115" t="n"/>
      <c r="CS57" s="116" t="n"/>
      <c r="CT57" s="115" t="n"/>
      <c r="CU57" s="116" t="n"/>
      <c r="CV57" s="115" t="n"/>
      <c r="CW57" s="116" t="n"/>
      <c r="CX57" s="115" t="n"/>
      <c r="CY57" s="116" t="n"/>
      <c r="CZ57" s="115" t="n"/>
      <c r="DA57" s="116" t="n"/>
      <c r="DB57" s="115" t="n"/>
      <c r="DC57" s="116" t="n"/>
      <c r="DD57" s="188" t="n"/>
      <c r="DE57" s="118" t="n"/>
      <c r="DF57" s="119" t="n"/>
      <c r="DG57" s="118" t="n"/>
      <c r="DH57" s="119" t="n"/>
      <c r="DI57" s="118" t="n"/>
      <c r="DJ57" s="119" t="n"/>
      <c r="DK57" s="118" t="n"/>
      <c r="DL57" s="119" t="n"/>
      <c r="DM57" s="118" t="n"/>
      <c r="DN57" s="119" t="n"/>
      <c r="DO57" s="118" t="n"/>
      <c r="DP57" s="119" t="n"/>
      <c r="DQ57" s="118" t="n"/>
      <c r="DR57" s="119" t="n"/>
      <c r="DS57" s="118" t="n"/>
      <c r="DT57" s="119" t="n"/>
      <c r="DU57" s="189" t="n"/>
      <c r="DV57" s="121" t="n"/>
      <c r="DW57" s="122" t="n"/>
      <c r="DX57" s="121" t="n"/>
      <c r="DY57" s="122" t="n"/>
      <c r="DZ57" s="121" t="n"/>
      <c r="EA57" s="122" t="n"/>
      <c r="EB57" s="121" t="n"/>
      <c r="EC57" s="122" t="n"/>
      <c r="ED57" s="121" t="n"/>
      <c r="EE57" s="122" t="n"/>
      <c r="EF57" s="121" t="n"/>
      <c r="EG57" s="122" t="n"/>
      <c r="EH57" s="121" t="n"/>
      <c r="EI57" s="122" t="n"/>
      <c r="EJ57" s="121" t="n"/>
      <c r="EK57" s="122" t="n"/>
      <c r="EL57" s="190" t="n"/>
      <c r="EM57" s="124" t="n"/>
      <c r="EN57" s="125" t="n"/>
      <c r="EO57" s="124" t="n"/>
      <c r="EP57" s="125" t="n"/>
      <c r="EQ57" s="124" t="n"/>
      <c r="ER57" s="125" t="n"/>
      <c r="ES57" s="124" t="n"/>
      <c r="ET57" s="125" t="n"/>
      <c r="EU57" s="124" t="n"/>
      <c r="EV57" s="125" t="n"/>
      <c r="EW57" s="124" t="n"/>
      <c r="EX57" s="125" t="n"/>
      <c r="EY57" s="124" t="n"/>
      <c r="EZ57" s="125" t="n"/>
      <c r="FA57" s="124" t="n"/>
      <c r="FB57" s="125" t="n"/>
      <c r="FC57" s="191" t="n"/>
      <c r="FD57" s="127" t="n"/>
      <c r="FE57" s="128" t="n"/>
      <c r="FF57" s="127" t="n"/>
      <c r="FG57" s="128" t="n"/>
      <c r="FH57" s="127" t="n"/>
      <c r="FI57" s="128" t="n"/>
      <c r="FJ57" s="127" t="n"/>
      <c r="FK57" s="128" t="n"/>
      <c r="FL57" s="127" t="n"/>
      <c r="FM57" s="128" t="n"/>
      <c r="FN57" s="127" t="n"/>
      <c r="FO57" s="128" t="n"/>
      <c r="FP57" s="127" t="n"/>
      <c r="FQ57" s="128" t="n"/>
      <c r="FR57" s="127" t="n"/>
      <c r="FS57" s="128" t="n"/>
      <c r="FT57" s="192" t="n"/>
      <c r="FU57" s="130" t="n"/>
      <c r="FV57" s="131" t="n"/>
      <c r="FW57" s="130" t="n"/>
      <c r="FX57" s="131" t="n"/>
      <c r="FY57" s="130" t="n"/>
      <c r="FZ57" s="131" t="n"/>
      <c r="GA57" s="130" t="n"/>
      <c r="GB57" s="131" t="n"/>
      <c r="GC57" s="130" t="n"/>
      <c r="GD57" s="131" t="n"/>
      <c r="GE57" s="130" t="n"/>
      <c r="GF57" s="131" t="n"/>
      <c r="GG57" s="130" t="n"/>
      <c r="GH57" s="131" t="n"/>
      <c r="GI57" s="130" t="n"/>
      <c r="GJ57" s="131" t="n"/>
      <c r="GK57" s="193" t="n"/>
      <c r="GL57" s="133" t="n"/>
      <c r="GM57" s="134" t="n"/>
      <c r="GN57" s="133" t="n"/>
      <c r="GO57" s="134" t="n"/>
      <c r="GP57" s="133" t="n"/>
      <c r="GQ57" s="134" t="n"/>
      <c r="GR57" s="133" t="n"/>
      <c r="GS57" s="134" t="n"/>
      <c r="GT57" s="133" t="n"/>
      <c r="GU57" s="134" t="n"/>
      <c r="GV57" s="133" t="n"/>
      <c r="GW57" s="134" t="n"/>
      <c r="GX57" s="133" t="n"/>
      <c r="GY57" s="134" t="n"/>
      <c r="GZ57" s="133" t="n"/>
      <c r="HA57" s="134" t="n"/>
      <c r="HB57" s="194" t="n"/>
      <c r="HC57">
        <f>SUMIFS($G57:$HA57,$G$36:$HA$36,"درجة",$H57:$HB57,"&gt;0")</f>
        <v>0</v>
      </c>
      <c r="HD57">
        <f>SUMIFS($H57:$HB57,$G$36:$HA$36,"درجة",$G57:$HA57,"&gt;=0")</f>
        <v>0</v>
      </c>
    </row>
    <row r="58" ht="22.5" customHeight="1">
      <c r="A58" s="36" t="n">
        <v>22</v>
      </c>
      <c r="B58" s="181" t="str">
        <f>IF($B25="","",$B25)</f>
        <v/>
      </c>
      <c r="C58" s="136" t="str">
        <f>IF(OR($B58="",$HD58=0),"",ROUND($HC58,2)&amp;" / "&amp;$HD58)</f>
        <v/>
      </c>
      <c r="D58" s="182" t="str">
        <f>IF(OR($B58="",$HD58=0),"",$HC58/$HD58)</f>
        <v/>
      </c>
      <c r="E58" s="136" t="n"/>
      <c r="F58" s="99" t="str">
        <f>IF($D58="","",IF($D58&gt;=0.85,"ممتاز",IF($D58&gt;=0.75,"جيد جداً",IF($D58&gt;=0.65,"جيد",IF($D58&gt;=0.5,"مقبول","ضعيف")))))</f>
        <v/>
      </c>
      <c r="G58" s="100" t="n"/>
      <c r="H58" s="101" t="n"/>
      <c r="I58" s="100" t="n"/>
      <c r="J58" s="101" t="n"/>
      <c r="K58" s="100" t="n"/>
      <c r="L58" s="101" t="n"/>
      <c r="M58" s="100" t="n"/>
      <c r="N58" s="101" t="n"/>
      <c r="O58" s="100" t="n"/>
      <c r="P58" s="101" t="n"/>
      <c r="Q58" s="100" t="n"/>
      <c r="R58" s="101" t="n"/>
      <c r="S58" s="100" t="n"/>
      <c r="T58" s="101" t="n"/>
      <c r="U58" s="100" t="n"/>
      <c r="V58" s="101" t="n"/>
      <c r="W58" s="183" t="n"/>
      <c r="X58" s="103" t="n"/>
      <c r="Y58" s="104" t="n"/>
      <c r="Z58" s="103" t="n"/>
      <c r="AA58" s="104" t="n"/>
      <c r="AB58" s="103" t="n"/>
      <c r="AC58" s="104" t="n"/>
      <c r="AD58" s="103" t="n"/>
      <c r="AE58" s="104" t="n"/>
      <c r="AF58" s="103" t="n"/>
      <c r="AG58" s="104" t="n"/>
      <c r="AH58" s="103" t="n"/>
      <c r="AI58" s="104" t="n"/>
      <c r="AJ58" s="103" t="n"/>
      <c r="AK58" s="104" t="n"/>
      <c r="AL58" s="103" t="n"/>
      <c r="AM58" s="104" t="n"/>
      <c r="AN58" s="184" t="n"/>
      <c r="AO58" s="106" t="n"/>
      <c r="AP58" s="107" t="n"/>
      <c r="AQ58" s="106" t="n"/>
      <c r="AR58" s="107" t="n"/>
      <c r="AS58" s="106" t="n"/>
      <c r="AT58" s="107" t="n"/>
      <c r="AU58" s="106" t="n"/>
      <c r="AV58" s="107" t="n"/>
      <c r="AW58" s="106" t="n"/>
      <c r="AX58" s="107" t="n"/>
      <c r="AY58" s="106" t="n"/>
      <c r="AZ58" s="107" t="n"/>
      <c r="BA58" s="106" t="n"/>
      <c r="BB58" s="107" t="n"/>
      <c r="BC58" s="106" t="n"/>
      <c r="BD58" s="107" t="n"/>
      <c r="BE58" s="185" t="n"/>
      <c r="BF58" s="109" t="n"/>
      <c r="BG58" s="110" t="n"/>
      <c r="BH58" s="109" t="n"/>
      <c r="BI58" s="110" t="n"/>
      <c r="BJ58" s="109" t="n"/>
      <c r="BK58" s="110" t="n"/>
      <c r="BL58" s="109" t="n"/>
      <c r="BM58" s="110" t="n"/>
      <c r="BN58" s="109" t="n"/>
      <c r="BO58" s="110" t="n"/>
      <c r="BP58" s="109" t="n"/>
      <c r="BQ58" s="110" t="n"/>
      <c r="BR58" s="109" t="n"/>
      <c r="BS58" s="110" t="n"/>
      <c r="BT58" s="109" t="n"/>
      <c r="BU58" s="110" t="n"/>
      <c r="BV58" s="186" t="n"/>
      <c r="BW58" s="112" t="n"/>
      <c r="BX58" s="113" t="n"/>
      <c r="BY58" s="112" t="n"/>
      <c r="BZ58" s="113" t="n"/>
      <c r="CA58" s="112" t="n"/>
      <c r="CB58" s="113" t="n"/>
      <c r="CC58" s="112" t="n"/>
      <c r="CD58" s="113" t="n"/>
      <c r="CE58" s="112" t="n"/>
      <c r="CF58" s="113" t="n"/>
      <c r="CG58" s="112" t="n"/>
      <c r="CH58" s="113" t="n"/>
      <c r="CI58" s="112" t="n"/>
      <c r="CJ58" s="113" t="n"/>
      <c r="CK58" s="112" t="n"/>
      <c r="CL58" s="113" t="n"/>
      <c r="CM58" s="187" t="n"/>
      <c r="CN58" s="115" t="n"/>
      <c r="CO58" s="116" t="n"/>
      <c r="CP58" s="115" t="n"/>
      <c r="CQ58" s="116" t="n"/>
      <c r="CR58" s="115" t="n"/>
      <c r="CS58" s="116" t="n"/>
      <c r="CT58" s="115" t="n"/>
      <c r="CU58" s="116" t="n"/>
      <c r="CV58" s="115" t="n"/>
      <c r="CW58" s="116" t="n"/>
      <c r="CX58" s="115" t="n"/>
      <c r="CY58" s="116" t="n"/>
      <c r="CZ58" s="115" t="n"/>
      <c r="DA58" s="116" t="n"/>
      <c r="DB58" s="115" t="n"/>
      <c r="DC58" s="116" t="n"/>
      <c r="DD58" s="188" t="n"/>
      <c r="DE58" s="118" t="n"/>
      <c r="DF58" s="119" t="n"/>
      <c r="DG58" s="118" t="n"/>
      <c r="DH58" s="119" t="n"/>
      <c r="DI58" s="118" t="n"/>
      <c r="DJ58" s="119" t="n"/>
      <c r="DK58" s="118" t="n"/>
      <c r="DL58" s="119" t="n"/>
      <c r="DM58" s="118" t="n"/>
      <c r="DN58" s="119" t="n"/>
      <c r="DO58" s="118" t="n"/>
      <c r="DP58" s="119" t="n"/>
      <c r="DQ58" s="118" t="n"/>
      <c r="DR58" s="119" t="n"/>
      <c r="DS58" s="118" t="n"/>
      <c r="DT58" s="119" t="n"/>
      <c r="DU58" s="189" t="n"/>
      <c r="DV58" s="121" t="n"/>
      <c r="DW58" s="122" t="n"/>
      <c r="DX58" s="121" t="n"/>
      <c r="DY58" s="122" t="n"/>
      <c r="DZ58" s="121" t="n"/>
      <c r="EA58" s="122" t="n"/>
      <c r="EB58" s="121" t="n"/>
      <c r="EC58" s="122" t="n"/>
      <c r="ED58" s="121" t="n"/>
      <c r="EE58" s="122" t="n"/>
      <c r="EF58" s="121" t="n"/>
      <c r="EG58" s="122" t="n"/>
      <c r="EH58" s="121" t="n"/>
      <c r="EI58" s="122" t="n"/>
      <c r="EJ58" s="121" t="n"/>
      <c r="EK58" s="122" t="n"/>
      <c r="EL58" s="190" t="n"/>
      <c r="EM58" s="124" t="n"/>
      <c r="EN58" s="125" t="n"/>
      <c r="EO58" s="124" t="n"/>
      <c r="EP58" s="125" t="n"/>
      <c r="EQ58" s="124" t="n"/>
      <c r="ER58" s="125" t="n"/>
      <c r="ES58" s="124" t="n"/>
      <c r="ET58" s="125" t="n"/>
      <c r="EU58" s="124" t="n"/>
      <c r="EV58" s="125" t="n"/>
      <c r="EW58" s="124" t="n"/>
      <c r="EX58" s="125" t="n"/>
      <c r="EY58" s="124" t="n"/>
      <c r="EZ58" s="125" t="n"/>
      <c r="FA58" s="124" t="n"/>
      <c r="FB58" s="125" t="n"/>
      <c r="FC58" s="191" t="n"/>
      <c r="FD58" s="127" t="n"/>
      <c r="FE58" s="128" t="n"/>
      <c r="FF58" s="127" t="n"/>
      <c r="FG58" s="128" t="n"/>
      <c r="FH58" s="127" t="n"/>
      <c r="FI58" s="128" t="n"/>
      <c r="FJ58" s="127" t="n"/>
      <c r="FK58" s="128" t="n"/>
      <c r="FL58" s="127" t="n"/>
      <c r="FM58" s="128" t="n"/>
      <c r="FN58" s="127" t="n"/>
      <c r="FO58" s="128" t="n"/>
      <c r="FP58" s="127" t="n"/>
      <c r="FQ58" s="128" t="n"/>
      <c r="FR58" s="127" t="n"/>
      <c r="FS58" s="128" t="n"/>
      <c r="FT58" s="192" t="n"/>
      <c r="FU58" s="130" t="n"/>
      <c r="FV58" s="131" t="n"/>
      <c r="FW58" s="130" t="n"/>
      <c r="FX58" s="131" t="n"/>
      <c r="FY58" s="130" t="n"/>
      <c r="FZ58" s="131" t="n"/>
      <c r="GA58" s="130" t="n"/>
      <c r="GB58" s="131" t="n"/>
      <c r="GC58" s="130" t="n"/>
      <c r="GD58" s="131" t="n"/>
      <c r="GE58" s="130" t="n"/>
      <c r="GF58" s="131" t="n"/>
      <c r="GG58" s="130" t="n"/>
      <c r="GH58" s="131" t="n"/>
      <c r="GI58" s="130" t="n"/>
      <c r="GJ58" s="131" t="n"/>
      <c r="GK58" s="193" t="n"/>
      <c r="GL58" s="133" t="n"/>
      <c r="GM58" s="134" t="n"/>
      <c r="GN58" s="133" t="n"/>
      <c r="GO58" s="134" t="n"/>
      <c r="GP58" s="133" t="n"/>
      <c r="GQ58" s="134" t="n"/>
      <c r="GR58" s="133" t="n"/>
      <c r="GS58" s="134" t="n"/>
      <c r="GT58" s="133" t="n"/>
      <c r="GU58" s="134" t="n"/>
      <c r="GV58" s="133" t="n"/>
      <c r="GW58" s="134" t="n"/>
      <c r="GX58" s="133" t="n"/>
      <c r="GY58" s="134" t="n"/>
      <c r="GZ58" s="133" t="n"/>
      <c r="HA58" s="134" t="n"/>
      <c r="HB58" s="194" t="n"/>
      <c r="HC58">
        <f>SUMIFS($G58:$HA58,$G$36:$HA$36,"درجة",$H58:$HB58,"&gt;0")</f>
        <v>0</v>
      </c>
      <c r="HD58">
        <f>SUMIFS($H58:$HB58,$G$36:$HA$36,"درجة",$G58:$HA58,"&gt;=0")</f>
        <v>0</v>
      </c>
    </row>
    <row r="59" ht="22.5" customHeight="1">
      <c r="A59" s="36" t="n">
        <v>23</v>
      </c>
      <c r="B59" s="181" t="str">
        <f>IF($B26="","",$B26)</f>
        <v/>
      </c>
      <c r="C59" s="136" t="str">
        <f>IF(OR($B59="",$HD59=0),"",ROUND($HC59,2)&amp;" / "&amp;$HD59)</f>
        <v/>
      </c>
      <c r="D59" s="182" t="str">
        <f>IF(OR($B59="",$HD59=0),"",$HC59/$HD59)</f>
        <v/>
      </c>
      <c r="E59" s="136" t="n"/>
      <c r="F59" s="99" t="str">
        <f>IF($D59="","",IF($D59&gt;=0.85,"ممتاز",IF($D59&gt;=0.75,"جيد جداً",IF($D59&gt;=0.65,"جيد",IF($D59&gt;=0.5,"مقبول","ضعيف")))))</f>
        <v/>
      </c>
      <c r="G59" s="100" t="n"/>
      <c r="H59" s="101" t="n"/>
      <c r="I59" s="100" t="n"/>
      <c r="J59" s="101" t="n"/>
      <c r="K59" s="100" t="n"/>
      <c r="L59" s="101" t="n"/>
      <c r="M59" s="100" t="n"/>
      <c r="N59" s="101" t="n"/>
      <c r="O59" s="100" t="n"/>
      <c r="P59" s="101" t="n"/>
      <c r="Q59" s="100" t="n"/>
      <c r="R59" s="101" t="n"/>
      <c r="S59" s="100" t="n"/>
      <c r="T59" s="101" t="n"/>
      <c r="U59" s="100" t="n"/>
      <c r="V59" s="101" t="n"/>
      <c r="W59" s="183" t="n"/>
      <c r="X59" s="103" t="n"/>
      <c r="Y59" s="104" t="n"/>
      <c r="Z59" s="103" t="n"/>
      <c r="AA59" s="104" t="n"/>
      <c r="AB59" s="103" t="n"/>
      <c r="AC59" s="104" t="n"/>
      <c r="AD59" s="103" t="n"/>
      <c r="AE59" s="104" t="n"/>
      <c r="AF59" s="103" t="n"/>
      <c r="AG59" s="104" t="n"/>
      <c r="AH59" s="103" t="n"/>
      <c r="AI59" s="104" t="n"/>
      <c r="AJ59" s="103" t="n"/>
      <c r="AK59" s="104" t="n"/>
      <c r="AL59" s="103" t="n"/>
      <c r="AM59" s="104" t="n"/>
      <c r="AN59" s="184" t="n"/>
      <c r="AO59" s="106" t="n"/>
      <c r="AP59" s="107" t="n"/>
      <c r="AQ59" s="106" t="n"/>
      <c r="AR59" s="107" t="n"/>
      <c r="AS59" s="106" t="n"/>
      <c r="AT59" s="107" t="n"/>
      <c r="AU59" s="106" t="n"/>
      <c r="AV59" s="107" t="n"/>
      <c r="AW59" s="106" t="n"/>
      <c r="AX59" s="107" t="n"/>
      <c r="AY59" s="106" t="n"/>
      <c r="AZ59" s="107" t="n"/>
      <c r="BA59" s="106" t="n"/>
      <c r="BB59" s="107" t="n"/>
      <c r="BC59" s="106" t="n"/>
      <c r="BD59" s="107" t="n"/>
      <c r="BE59" s="185" t="n"/>
      <c r="BF59" s="109" t="n"/>
      <c r="BG59" s="110" t="n"/>
      <c r="BH59" s="109" t="n"/>
      <c r="BI59" s="110" t="n"/>
      <c r="BJ59" s="109" t="n"/>
      <c r="BK59" s="110" t="n"/>
      <c r="BL59" s="109" t="n"/>
      <c r="BM59" s="110" t="n"/>
      <c r="BN59" s="109" t="n"/>
      <c r="BO59" s="110" t="n"/>
      <c r="BP59" s="109" t="n"/>
      <c r="BQ59" s="110" t="n"/>
      <c r="BR59" s="109" t="n"/>
      <c r="BS59" s="110" t="n"/>
      <c r="BT59" s="109" t="n"/>
      <c r="BU59" s="110" t="n"/>
      <c r="BV59" s="186" t="n"/>
      <c r="BW59" s="112" t="n"/>
      <c r="BX59" s="113" t="n"/>
      <c r="BY59" s="112" t="n"/>
      <c r="BZ59" s="113" t="n"/>
      <c r="CA59" s="112" t="n"/>
      <c r="CB59" s="113" t="n"/>
      <c r="CC59" s="112" t="n"/>
      <c r="CD59" s="113" t="n"/>
      <c r="CE59" s="112" t="n"/>
      <c r="CF59" s="113" t="n"/>
      <c r="CG59" s="112" t="n"/>
      <c r="CH59" s="113" t="n"/>
      <c r="CI59" s="112" t="n"/>
      <c r="CJ59" s="113" t="n"/>
      <c r="CK59" s="112" t="n"/>
      <c r="CL59" s="113" t="n"/>
      <c r="CM59" s="187" t="n"/>
      <c r="CN59" s="115" t="n"/>
      <c r="CO59" s="116" t="n"/>
      <c r="CP59" s="115" t="n"/>
      <c r="CQ59" s="116" t="n"/>
      <c r="CR59" s="115" t="n"/>
      <c r="CS59" s="116" t="n"/>
      <c r="CT59" s="115" t="n"/>
      <c r="CU59" s="116" t="n"/>
      <c r="CV59" s="115" t="n"/>
      <c r="CW59" s="116" t="n"/>
      <c r="CX59" s="115" t="n"/>
      <c r="CY59" s="116" t="n"/>
      <c r="CZ59" s="115" t="n"/>
      <c r="DA59" s="116" t="n"/>
      <c r="DB59" s="115" t="n"/>
      <c r="DC59" s="116" t="n"/>
      <c r="DD59" s="188" t="n"/>
      <c r="DE59" s="118" t="n"/>
      <c r="DF59" s="119" t="n"/>
      <c r="DG59" s="118" t="n"/>
      <c r="DH59" s="119" t="n"/>
      <c r="DI59" s="118" t="n"/>
      <c r="DJ59" s="119" t="n"/>
      <c r="DK59" s="118" t="n"/>
      <c r="DL59" s="119" t="n"/>
      <c r="DM59" s="118" t="n"/>
      <c r="DN59" s="119" t="n"/>
      <c r="DO59" s="118" t="n"/>
      <c r="DP59" s="119" t="n"/>
      <c r="DQ59" s="118" t="n"/>
      <c r="DR59" s="119" t="n"/>
      <c r="DS59" s="118" t="n"/>
      <c r="DT59" s="119" t="n"/>
      <c r="DU59" s="189" t="n"/>
      <c r="DV59" s="121" t="n"/>
      <c r="DW59" s="122" t="n"/>
      <c r="DX59" s="121" t="n"/>
      <c r="DY59" s="122" t="n"/>
      <c r="DZ59" s="121" t="n"/>
      <c r="EA59" s="122" t="n"/>
      <c r="EB59" s="121" t="n"/>
      <c r="EC59" s="122" t="n"/>
      <c r="ED59" s="121" t="n"/>
      <c r="EE59" s="122" t="n"/>
      <c r="EF59" s="121" t="n"/>
      <c r="EG59" s="122" t="n"/>
      <c r="EH59" s="121" t="n"/>
      <c r="EI59" s="122" t="n"/>
      <c r="EJ59" s="121" t="n"/>
      <c r="EK59" s="122" t="n"/>
      <c r="EL59" s="190" t="n"/>
      <c r="EM59" s="124" t="n"/>
      <c r="EN59" s="125" t="n"/>
      <c r="EO59" s="124" t="n"/>
      <c r="EP59" s="125" t="n"/>
      <c r="EQ59" s="124" t="n"/>
      <c r="ER59" s="125" t="n"/>
      <c r="ES59" s="124" t="n"/>
      <c r="ET59" s="125" t="n"/>
      <c r="EU59" s="124" t="n"/>
      <c r="EV59" s="125" t="n"/>
      <c r="EW59" s="124" t="n"/>
      <c r="EX59" s="125" t="n"/>
      <c r="EY59" s="124" t="n"/>
      <c r="EZ59" s="125" t="n"/>
      <c r="FA59" s="124" t="n"/>
      <c r="FB59" s="125" t="n"/>
      <c r="FC59" s="191" t="n"/>
      <c r="FD59" s="127" t="n"/>
      <c r="FE59" s="128" t="n"/>
      <c r="FF59" s="127" t="n"/>
      <c r="FG59" s="128" t="n"/>
      <c r="FH59" s="127" t="n"/>
      <c r="FI59" s="128" t="n"/>
      <c r="FJ59" s="127" t="n"/>
      <c r="FK59" s="128" t="n"/>
      <c r="FL59" s="127" t="n"/>
      <c r="FM59" s="128" t="n"/>
      <c r="FN59" s="127" t="n"/>
      <c r="FO59" s="128" t="n"/>
      <c r="FP59" s="127" t="n"/>
      <c r="FQ59" s="128" t="n"/>
      <c r="FR59" s="127" t="n"/>
      <c r="FS59" s="128" t="n"/>
      <c r="FT59" s="192" t="n"/>
      <c r="FU59" s="130" t="n"/>
      <c r="FV59" s="131" t="n"/>
      <c r="FW59" s="130" t="n"/>
      <c r="FX59" s="131" t="n"/>
      <c r="FY59" s="130" t="n"/>
      <c r="FZ59" s="131" t="n"/>
      <c r="GA59" s="130" t="n"/>
      <c r="GB59" s="131" t="n"/>
      <c r="GC59" s="130" t="n"/>
      <c r="GD59" s="131" t="n"/>
      <c r="GE59" s="130" t="n"/>
      <c r="GF59" s="131" t="n"/>
      <c r="GG59" s="130" t="n"/>
      <c r="GH59" s="131" t="n"/>
      <c r="GI59" s="130" t="n"/>
      <c r="GJ59" s="131" t="n"/>
      <c r="GK59" s="193" t="n"/>
      <c r="GL59" s="133" t="n"/>
      <c r="GM59" s="134" t="n"/>
      <c r="GN59" s="133" t="n"/>
      <c r="GO59" s="134" t="n"/>
      <c r="GP59" s="133" t="n"/>
      <c r="GQ59" s="134" t="n"/>
      <c r="GR59" s="133" t="n"/>
      <c r="GS59" s="134" t="n"/>
      <c r="GT59" s="133" t="n"/>
      <c r="GU59" s="134" t="n"/>
      <c r="GV59" s="133" t="n"/>
      <c r="GW59" s="134" t="n"/>
      <c r="GX59" s="133" t="n"/>
      <c r="GY59" s="134" t="n"/>
      <c r="GZ59" s="133" t="n"/>
      <c r="HA59" s="134" t="n"/>
      <c r="HB59" s="194" t="n"/>
      <c r="HC59">
        <f>SUMIFS($G59:$HA59,$G$36:$HA$36,"درجة",$H59:$HB59,"&gt;0")</f>
        <v>0</v>
      </c>
      <c r="HD59">
        <f>SUMIFS($H59:$HB59,$G$36:$HA$36,"درجة",$G59:$HA59,"&gt;=0")</f>
        <v>0</v>
      </c>
    </row>
    <row r="60" ht="22.5" customHeight="1">
      <c r="A60" s="36" t="n">
        <v>24</v>
      </c>
      <c r="B60" s="181" t="str">
        <f>IF($B27="","",$B27)</f>
        <v/>
      </c>
      <c r="C60" s="136" t="str">
        <f>IF(OR($B60="",$HD60=0),"",ROUND($HC60,2)&amp;" / "&amp;$HD60)</f>
        <v/>
      </c>
      <c r="D60" s="182" t="str">
        <f>IF(OR($B60="",$HD60=0),"",$HC60/$HD60)</f>
        <v/>
      </c>
      <c r="E60" s="136" t="n"/>
      <c r="F60" s="99" t="str">
        <f>IF($D60="","",IF($D60&gt;=0.85,"ممتاز",IF($D60&gt;=0.75,"جيد جداً",IF($D60&gt;=0.65,"جيد",IF($D60&gt;=0.5,"مقبول","ضعيف")))))</f>
        <v/>
      </c>
      <c r="G60" s="100" t="n"/>
      <c r="H60" s="101" t="n"/>
      <c r="I60" s="100" t="n"/>
      <c r="J60" s="101" t="n"/>
      <c r="K60" s="100" t="n"/>
      <c r="L60" s="101" t="n"/>
      <c r="M60" s="100" t="n"/>
      <c r="N60" s="101" t="n"/>
      <c r="O60" s="100" t="n"/>
      <c r="P60" s="101" t="n"/>
      <c r="Q60" s="100" t="n"/>
      <c r="R60" s="101" t="n"/>
      <c r="S60" s="100" t="n"/>
      <c r="T60" s="101" t="n"/>
      <c r="U60" s="100" t="n"/>
      <c r="V60" s="101" t="n"/>
      <c r="W60" s="183" t="n"/>
      <c r="X60" s="103" t="n"/>
      <c r="Y60" s="104" t="n"/>
      <c r="Z60" s="103" t="n"/>
      <c r="AA60" s="104" t="n"/>
      <c r="AB60" s="103" t="n"/>
      <c r="AC60" s="104" t="n"/>
      <c r="AD60" s="103" t="n"/>
      <c r="AE60" s="104" t="n"/>
      <c r="AF60" s="103" t="n"/>
      <c r="AG60" s="104" t="n"/>
      <c r="AH60" s="103" t="n"/>
      <c r="AI60" s="104" t="n"/>
      <c r="AJ60" s="103" t="n"/>
      <c r="AK60" s="104" t="n"/>
      <c r="AL60" s="103" t="n"/>
      <c r="AM60" s="104" t="n"/>
      <c r="AN60" s="184" t="n"/>
      <c r="AO60" s="106" t="n"/>
      <c r="AP60" s="107" t="n"/>
      <c r="AQ60" s="106" t="n"/>
      <c r="AR60" s="107" t="n"/>
      <c r="AS60" s="106" t="n"/>
      <c r="AT60" s="107" t="n"/>
      <c r="AU60" s="106" t="n"/>
      <c r="AV60" s="107" t="n"/>
      <c r="AW60" s="106" t="n"/>
      <c r="AX60" s="107" t="n"/>
      <c r="AY60" s="106" t="n"/>
      <c r="AZ60" s="107" t="n"/>
      <c r="BA60" s="106" t="n"/>
      <c r="BB60" s="107" t="n"/>
      <c r="BC60" s="106" t="n"/>
      <c r="BD60" s="107" t="n"/>
      <c r="BE60" s="185" t="n"/>
      <c r="BF60" s="109" t="n"/>
      <c r="BG60" s="110" t="n"/>
      <c r="BH60" s="109" t="n"/>
      <c r="BI60" s="110" t="n"/>
      <c r="BJ60" s="109" t="n"/>
      <c r="BK60" s="110" t="n"/>
      <c r="BL60" s="109" t="n"/>
      <c r="BM60" s="110" t="n"/>
      <c r="BN60" s="109" t="n"/>
      <c r="BO60" s="110" t="n"/>
      <c r="BP60" s="109" t="n"/>
      <c r="BQ60" s="110" t="n"/>
      <c r="BR60" s="109" t="n"/>
      <c r="BS60" s="110" t="n"/>
      <c r="BT60" s="109" t="n"/>
      <c r="BU60" s="110" t="n"/>
      <c r="BV60" s="186" t="n"/>
      <c r="BW60" s="112" t="n"/>
      <c r="BX60" s="113" t="n"/>
      <c r="BY60" s="112" t="n"/>
      <c r="BZ60" s="113" t="n"/>
      <c r="CA60" s="112" t="n"/>
      <c r="CB60" s="113" t="n"/>
      <c r="CC60" s="112" t="n"/>
      <c r="CD60" s="113" t="n"/>
      <c r="CE60" s="112" t="n"/>
      <c r="CF60" s="113" t="n"/>
      <c r="CG60" s="112" t="n"/>
      <c r="CH60" s="113" t="n"/>
      <c r="CI60" s="112" t="n"/>
      <c r="CJ60" s="113" t="n"/>
      <c r="CK60" s="112" t="n"/>
      <c r="CL60" s="113" t="n"/>
      <c r="CM60" s="187" t="n"/>
      <c r="CN60" s="115" t="n"/>
      <c r="CO60" s="116" t="n"/>
      <c r="CP60" s="115" t="n"/>
      <c r="CQ60" s="116" t="n"/>
      <c r="CR60" s="115" t="n"/>
      <c r="CS60" s="116" t="n"/>
      <c r="CT60" s="115" t="n"/>
      <c r="CU60" s="116" t="n"/>
      <c r="CV60" s="115" t="n"/>
      <c r="CW60" s="116" t="n"/>
      <c r="CX60" s="115" t="n"/>
      <c r="CY60" s="116" t="n"/>
      <c r="CZ60" s="115" t="n"/>
      <c r="DA60" s="116" t="n"/>
      <c r="DB60" s="115" t="n"/>
      <c r="DC60" s="116" t="n"/>
      <c r="DD60" s="188" t="n"/>
      <c r="DE60" s="118" t="n"/>
      <c r="DF60" s="119" t="n"/>
      <c r="DG60" s="118" t="n"/>
      <c r="DH60" s="119" t="n"/>
      <c r="DI60" s="118" t="n"/>
      <c r="DJ60" s="119" t="n"/>
      <c r="DK60" s="118" t="n"/>
      <c r="DL60" s="119" t="n"/>
      <c r="DM60" s="118" t="n"/>
      <c r="DN60" s="119" t="n"/>
      <c r="DO60" s="118" t="n"/>
      <c r="DP60" s="119" t="n"/>
      <c r="DQ60" s="118" t="n"/>
      <c r="DR60" s="119" t="n"/>
      <c r="DS60" s="118" t="n"/>
      <c r="DT60" s="119" t="n"/>
      <c r="DU60" s="189" t="n"/>
      <c r="DV60" s="121" t="n"/>
      <c r="DW60" s="122" t="n"/>
      <c r="DX60" s="121" t="n"/>
      <c r="DY60" s="122" t="n"/>
      <c r="DZ60" s="121" t="n"/>
      <c r="EA60" s="122" t="n"/>
      <c r="EB60" s="121" t="n"/>
      <c r="EC60" s="122" t="n"/>
      <c r="ED60" s="121" t="n"/>
      <c r="EE60" s="122" t="n"/>
      <c r="EF60" s="121" t="n"/>
      <c r="EG60" s="122" t="n"/>
      <c r="EH60" s="121" t="n"/>
      <c r="EI60" s="122" t="n"/>
      <c r="EJ60" s="121" t="n"/>
      <c r="EK60" s="122" t="n"/>
      <c r="EL60" s="190" t="n"/>
      <c r="EM60" s="124" t="n"/>
      <c r="EN60" s="125" t="n"/>
      <c r="EO60" s="124" t="n"/>
      <c r="EP60" s="125" t="n"/>
      <c r="EQ60" s="124" t="n"/>
      <c r="ER60" s="125" t="n"/>
      <c r="ES60" s="124" t="n"/>
      <c r="ET60" s="125" t="n"/>
      <c r="EU60" s="124" t="n"/>
      <c r="EV60" s="125" t="n"/>
      <c r="EW60" s="124" t="n"/>
      <c r="EX60" s="125" t="n"/>
      <c r="EY60" s="124" t="n"/>
      <c r="EZ60" s="125" t="n"/>
      <c r="FA60" s="124" t="n"/>
      <c r="FB60" s="125" t="n"/>
      <c r="FC60" s="191" t="n"/>
      <c r="FD60" s="127" t="n"/>
      <c r="FE60" s="128" t="n"/>
      <c r="FF60" s="127" t="n"/>
      <c r="FG60" s="128" t="n"/>
      <c r="FH60" s="127" t="n"/>
      <c r="FI60" s="128" t="n"/>
      <c r="FJ60" s="127" t="n"/>
      <c r="FK60" s="128" t="n"/>
      <c r="FL60" s="127" t="n"/>
      <c r="FM60" s="128" t="n"/>
      <c r="FN60" s="127" t="n"/>
      <c r="FO60" s="128" t="n"/>
      <c r="FP60" s="127" t="n"/>
      <c r="FQ60" s="128" t="n"/>
      <c r="FR60" s="127" t="n"/>
      <c r="FS60" s="128" t="n"/>
      <c r="FT60" s="192" t="n"/>
      <c r="FU60" s="130" t="n"/>
      <c r="FV60" s="131" t="n"/>
      <c r="FW60" s="130" t="n"/>
      <c r="FX60" s="131" t="n"/>
      <c r="FY60" s="130" t="n"/>
      <c r="FZ60" s="131" t="n"/>
      <c r="GA60" s="130" t="n"/>
      <c r="GB60" s="131" t="n"/>
      <c r="GC60" s="130" t="n"/>
      <c r="GD60" s="131" t="n"/>
      <c r="GE60" s="130" t="n"/>
      <c r="GF60" s="131" t="n"/>
      <c r="GG60" s="130" t="n"/>
      <c r="GH60" s="131" t="n"/>
      <c r="GI60" s="130" t="n"/>
      <c r="GJ60" s="131" t="n"/>
      <c r="GK60" s="193" t="n"/>
      <c r="GL60" s="133" t="n"/>
      <c r="GM60" s="134" t="n"/>
      <c r="GN60" s="133" t="n"/>
      <c r="GO60" s="134" t="n"/>
      <c r="GP60" s="133" t="n"/>
      <c r="GQ60" s="134" t="n"/>
      <c r="GR60" s="133" t="n"/>
      <c r="GS60" s="134" t="n"/>
      <c r="GT60" s="133" t="n"/>
      <c r="GU60" s="134" t="n"/>
      <c r="GV60" s="133" t="n"/>
      <c r="GW60" s="134" t="n"/>
      <c r="GX60" s="133" t="n"/>
      <c r="GY60" s="134" t="n"/>
      <c r="GZ60" s="133" t="n"/>
      <c r="HA60" s="134" t="n"/>
      <c r="HB60" s="194" t="n"/>
      <c r="HC60">
        <f>SUMIFS($G60:$HA60,$G$36:$HA$36,"درجة",$H60:$HB60,"&gt;0")</f>
        <v>0</v>
      </c>
      <c r="HD60">
        <f>SUMIFS($H60:$HB60,$G$36:$HA$36,"درجة",$G60:$HA60,"&gt;=0")</f>
        <v>0</v>
      </c>
    </row>
    <row r="61" ht="22.5" customHeight="1">
      <c r="A61" s="36" t="n">
        <v>25</v>
      </c>
      <c r="B61" s="181" t="str">
        <f>IF($B28="","",$B28)</f>
        <v/>
      </c>
      <c r="C61" s="136" t="str">
        <f>IF(OR($B61="",$HD61=0),"",ROUND($HC61,2)&amp;" / "&amp;$HD61)</f>
        <v/>
      </c>
      <c r="D61" s="182" t="str">
        <f>IF(OR($B61="",$HD61=0),"",$HC61/$HD61)</f>
        <v/>
      </c>
      <c r="E61" s="136" t="n"/>
      <c r="F61" s="99" t="str">
        <f>IF($D61="","",IF($D61&gt;=0.85,"ممتاز",IF($D61&gt;=0.75,"جيد جداً",IF($D61&gt;=0.65,"جيد",IF($D61&gt;=0.5,"مقبول","ضعيف")))))</f>
        <v/>
      </c>
      <c r="G61" s="100" t="n"/>
      <c r="H61" s="101" t="n"/>
      <c r="I61" s="100" t="n"/>
      <c r="J61" s="101" t="n"/>
      <c r="K61" s="100" t="n"/>
      <c r="L61" s="101" t="n"/>
      <c r="M61" s="100" t="n"/>
      <c r="N61" s="101" t="n"/>
      <c r="O61" s="100" t="n"/>
      <c r="P61" s="101" t="n"/>
      <c r="Q61" s="100" t="n"/>
      <c r="R61" s="101" t="n"/>
      <c r="S61" s="100" t="n"/>
      <c r="T61" s="101" t="n"/>
      <c r="U61" s="100" t="n"/>
      <c r="V61" s="101" t="n"/>
      <c r="W61" s="183" t="n"/>
      <c r="X61" s="103" t="n"/>
      <c r="Y61" s="104" t="n"/>
      <c r="Z61" s="103" t="n"/>
      <c r="AA61" s="104" t="n"/>
      <c r="AB61" s="103" t="n"/>
      <c r="AC61" s="104" t="n"/>
      <c r="AD61" s="103" t="n"/>
      <c r="AE61" s="104" t="n"/>
      <c r="AF61" s="103" t="n"/>
      <c r="AG61" s="104" t="n"/>
      <c r="AH61" s="103" t="n"/>
      <c r="AI61" s="104" t="n"/>
      <c r="AJ61" s="103" t="n"/>
      <c r="AK61" s="104" t="n"/>
      <c r="AL61" s="103" t="n"/>
      <c r="AM61" s="104" t="n"/>
      <c r="AN61" s="184" t="n"/>
      <c r="AO61" s="106" t="n"/>
      <c r="AP61" s="107" t="n"/>
      <c r="AQ61" s="106" t="n"/>
      <c r="AR61" s="107" t="n"/>
      <c r="AS61" s="106" t="n"/>
      <c r="AT61" s="107" t="n"/>
      <c r="AU61" s="106" t="n"/>
      <c r="AV61" s="107" t="n"/>
      <c r="AW61" s="106" t="n"/>
      <c r="AX61" s="107" t="n"/>
      <c r="AY61" s="106" t="n"/>
      <c r="AZ61" s="107" t="n"/>
      <c r="BA61" s="106" t="n"/>
      <c r="BB61" s="107" t="n"/>
      <c r="BC61" s="106" t="n"/>
      <c r="BD61" s="107" t="n"/>
      <c r="BE61" s="185" t="n"/>
      <c r="BF61" s="109" t="n"/>
      <c r="BG61" s="110" t="n"/>
      <c r="BH61" s="109" t="n"/>
      <c r="BI61" s="110" t="n"/>
      <c r="BJ61" s="109" t="n"/>
      <c r="BK61" s="110" t="n"/>
      <c r="BL61" s="109" t="n"/>
      <c r="BM61" s="110" t="n"/>
      <c r="BN61" s="109" t="n"/>
      <c r="BO61" s="110" t="n"/>
      <c r="BP61" s="109" t="n"/>
      <c r="BQ61" s="110" t="n"/>
      <c r="BR61" s="109" t="n"/>
      <c r="BS61" s="110" t="n"/>
      <c r="BT61" s="109" t="n"/>
      <c r="BU61" s="110" t="n"/>
      <c r="BV61" s="186" t="n"/>
      <c r="BW61" s="112" t="n"/>
      <c r="BX61" s="113" t="n"/>
      <c r="BY61" s="112" t="n"/>
      <c r="BZ61" s="113" t="n"/>
      <c r="CA61" s="112" t="n"/>
      <c r="CB61" s="113" t="n"/>
      <c r="CC61" s="112" t="n"/>
      <c r="CD61" s="113" t="n"/>
      <c r="CE61" s="112" t="n"/>
      <c r="CF61" s="113" t="n"/>
      <c r="CG61" s="112" t="n"/>
      <c r="CH61" s="113" t="n"/>
      <c r="CI61" s="112" t="n"/>
      <c r="CJ61" s="113" t="n"/>
      <c r="CK61" s="112" t="n"/>
      <c r="CL61" s="113" t="n"/>
      <c r="CM61" s="187" t="n"/>
      <c r="CN61" s="115" t="n"/>
      <c r="CO61" s="116" t="n"/>
      <c r="CP61" s="115" t="n"/>
      <c r="CQ61" s="116" t="n"/>
      <c r="CR61" s="115" t="n"/>
      <c r="CS61" s="116" t="n"/>
      <c r="CT61" s="115" t="n"/>
      <c r="CU61" s="116" t="n"/>
      <c r="CV61" s="115" t="n"/>
      <c r="CW61" s="116" t="n"/>
      <c r="CX61" s="115" t="n"/>
      <c r="CY61" s="116" t="n"/>
      <c r="CZ61" s="115" t="n"/>
      <c r="DA61" s="116" t="n"/>
      <c r="DB61" s="115" t="n"/>
      <c r="DC61" s="116" t="n"/>
      <c r="DD61" s="188" t="n"/>
      <c r="DE61" s="118" t="n"/>
      <c r="DF61" s="119" t="n"/>
      <c r="DG61" s="118" t="n"/>
      <c r="DH61" s="119" t="n"/>
      <c r="DI61" s="118" t="n"/>
      <c r="DJ61" s="119" t="n"/>
      <c r="DK61" s="118" t="n"/>
      <c r="DL61" s="119" t="n"/>
      <c r="DM61" s="118" t="n"/>
      <c r="DN61" s="119" t="n"/>
      <c r="DO61" s="118" t="n"/>
      <c r="DP61" s="119" t="n"/>
      <c r="DQ61" s="118" t="n"/>
      <c r="DR61" s="119" t="n"/>
      <c r="DS61" s="118" t="n"/>
      <c r="DT61" s="119" t="n"/>
      <c r="DU61" s="189" t="n"/>
      <c r="DV61" s="121" t="n"/>
      <c r="DW61" s="122" t="n"/>
      <c r="DX61" s="121" t="n"/>
      <c r="DY61" s="122" t="n"/>
      <c r="DZ61" s="121" t="n"/>
      <c r="EA61" s="122" t="n"/>
      <c r="EB61" s="121" t="n"/>
      <c r="EC61" s="122" t="n"/>
      <c r="ED61" s="121" t="n"/>
      <c r="EE61" s="122" t="n"/>
      <c r="EF61" s="121" t="n"/>
      <c r="EG61" s="122" t="n"/>
      <c r="EH61" s="121" t="n"/>
      <c r="EI61" s="122" t="n"/>
      <c r="EJ61" s="121" t="n"/>
      <c r="EK61" s="122" t="n"/>
      <c r="EL61" s="190" t="n"/>
      <c r="EM61" s="124" t="n"/>
      <c r="EN61" s="125" t="n"/>
      <c r="EO61" s="124" t="n"/>
      <c r="EP61" s="125" t="n"/>
      <c r="EQ61" s="124" t="n"/>
      <c r="ER61" s="125" t="n"/>
      <c r="ES61" s="124" t="n"/>
      <c r="ET61" s="125" t="n"/>
      <c r="EU61" s="124" t="n"/>
      <c r="EV61" s="125" t="n"/>
      <c r="EW61" s="124" t="n"/>
      <c r="EX61" s="125" t="n"/>
      <c r="EY61" s="124" t="n"/>
      <c r="EZ61" s="125" t="n"/>
      <c r="FA61" s="124" t="n"/>
      <c r="FB61" s="125" t="n"/>
      <c r="FC61" s="191" t="n"/>
      <c r="FD61" s="127" t="n"/>
      <c r="FE61" s="128" t="n"/>
      <c r="FF61" s="127" t="n"/>
      <c r="FG61" s="128" t="n"/>
      <c r="FH61" s="127" t="n"/>
      <c r="FI61" s="128" t="n"/>
      <c r="FJ61" s="127" t="n"/>
      <c r="FK61" s="128" t="n"/>
      <c r="FL61" s="127" t="n"/>
      <c r="FM61" s="128" t="n"/>
      <c r="FN61" s="127" t="n"/>
      <c r="FO61" s="128" t="n"/>
      <c r="FP61" s="127" t="n"/>
      <c r="FQ61" s="128" t="n"/>
      <c r="FR61" s="127" t="n"/>
      <c r="FS61" s="128" t="n"/>
      <c r="FT61" s="192" t="n"/>
      <c r="FU61" s="130" t="n"/>
      <c r="FV61" s="131" t="n"/>
      <c r="FW61" s="130" t="n"/>
      <c r="FX61" s="131" t="n"/>
      <c r="FY61" s="130" t="n"/>
      <c r="FZ61" s="131" t="n"/>
      <c r="GA61" s="130" t="n"/>
      <c r="GB61" s="131" t="n"/>
      <c r="GC61" s="130" t="n"/>
      <c r="GD61" s="131" t="n"/>
      <c r="GE61" s="130" t="n"/>
      <c r="GF61" s="131" t="n"/>
      <c r="GG61" s="130" t="n"/>
      <c r="GH61" s="131" t="n"/>
      <c r="GI61" s="130" t="n"/>
      <c r="GJ61" s="131" t="n"/>
      <c r="GK61" s="193" t="n"/>
      <c r="GL61" s="133" t="n"/>
      <c r="GM61" s="134" t="n"/>
      <c r="GN61" s="133" t="n"/>
      <c r="GO61" s="134" t="n"/>
      <c r="GP61" s="133" t="n"/>
      <c r="GQ61" s="134" t="n"/>
      <c r="GR61" s="133" t="n"/>
      <c r="GS61" s="134" t="n"/>
      <c r="GT61" s="133" t="n"/>
      <c r="GU61" s="134" t="n"/>
      <c r="GV61" s="133" t="n"/>
      <c r="GW61" s="134" t="n"/>
      <c r="GX61" s="133" t="n"/>
      <c r="GY61" s="134" t="n"/>
      <c r="GZ61" s="133" t="n"/>
      <c r="HA61" s="134" t="n"/>
      <c r="HB61" s="194" t="n"/>
      <c r="HC61">
        <f>SUMIFS($G61:$HA61,$G$36:$HA$36,"درجة",$H61:$HB61,"&gt;0")</f>
        <v>0</v>
      </c>
      <c r="HD61">
        <f>SUMIFS($H61:$HB61,$G$36:$HA$36,"درجة",$G61:$HA61,"&gt;=0")</f>
        <v>0</v>
      </c>
    </row>
    <row r="62" ht="22.5" customHeight="1">
      <c r="A62" s="36" t="n">
        <v>26</v>
      </c>
      <c r="B62" s="181" t="str">
        <f>IF($B29="","",$B29)</f>
        <v/>
      </c>
      <c r="C62" s="136" t="str">
        <f>IF(OR($B62="",$HD62=0),"",ROUND($HC62,2)&amp;" / "&amp;$HD62)</f>
        <v/>
      </c>
      <c r="D62" s="182" t="str">
        <f>IF(OR($B62="",$HD62=0),"",$HC62/$HD62)</f>
        <v/>
      </c>
      <c r="E62" s="136" t="n"/>
      <c r="F62" s="99" t="str">
        <f>IF($D62="","",IF($D62&gt;=0.85,"ممتاز",IF($D62&gt;=0.75,"جيد جداً",IF($D62&gt;=0.65,"جيد",IF($D62&gt;=0.5,"مقبول","ضعيف")))))</f>
        <v/>
      </c>
      <c r="G62" s="100" t="n"/>
      <c r="H62" s="101" t="n"/>
      <c r="I62" s="100" t="n"/>
      <c r="J62" s="101" t="n"/>
      <c r="K62" s="100" t="n"/>
      <c r="L62" s="101" t="n"/>
      <c r="M62" s="100" t="n"/>
      <c r="N62" s="101" t="n"/>
      <c r="O62" s="100" t="n"/>
      <c r="P62" s="101" t="n"/>
      <c r="Q62" s="100" t="n"/>
      <c r="R62" s="101" t="n"/>
      <c r="S62" s="100" t="n"/>
      <c r="T62" s="101" t="n"/>
      <c r="U62" s="100" t="n"/>
      <c r="V62" s="101" t="n"/>
      <c r="W62" s="183" t="n"/>
      <c r="X62" s="103" t="n"/>
      <c r="Y62" s="104" t="n"/>
      <c r="Z62" s="103" t="n"/>
      <c r="AA62" s="104" t="n"/>
      <c r="AB62" s="103" t="n"/>
      <c r="AC62" s="104" t="n"/>
      <c r="AD62" s="103" t="n"/>
      <c r="AE62" s="104" t="n"/>
      <c r="AF62" s="103" t="n"/>
      <c r="AG62" s="104" t="n"/>
      <c r="AH62" s="103" t="n"/>
      <c r="AI62" s="104" t="n"/>
      <c r="AJ62" s="103" t="n"/>
      <c r="AK62" s="104" t="n"/>
      <c r="AL62" s="103" t="n"/>
      <c r="AM62" s="104" t="n"/>
      <c r="AN62" s="184" t="n"/>
      <c r="AO62" s="106" t="n"/>
      <c r="AP62" s="107" t="n"/>
      <c r="AQ62" s="106" t="n"/>
      <c r="AR62" s="107" t="n"/>
      <c r="AS62" s="106" t="n"/>
      <c r="AT62" s="107" t="n"/>
      <c r="AU62" s="106" t="n"/>
      <c r="AV62" s="107" t="n"/>
      <c r="AW62" s="106" t="n"/>
      <c r="AX62" s="107" t="n"/>
      <c r="AY62" s="106" t="n"/>
      <c r="AZ62" s="107" t="n"/>
      <c r="BA62" s="106" t="n"/>
      <c r="BB62" s="107" t="n"/>
      <c r="BC62" s="106" t="n"/>
      <c r="BD62" s="107" t="n"/>
      <c r="BE62" s="185" t="n"/>
      <c r="BF62" s="109" t="n"/>
      <c r="BG62" s="110" t="n"/>
      <c r="BH62" s="109" t="n"/>
      <c r="BI62" s="110" t="n"/>
      <c r="BJ62" s="109" t="n"/>
      <c r="BK62" s="110" t="n"/>
      <c r="BL62" s="109" t="n"/>
      <c r="BM62" s="110" t="n"/>
      <c r="BN62" s="109" t="n"/>
      <c r="BO62" s="110" t="n"/>
      <c r="BP62" s="109" t="n"/>
      <c r="BQ62" s="110" t="n"/>
      <c r="BR62" s="109" t="n"/>
      <c r="BS62" s="110" t="n"/>
      <c r="BT62" s="109" t="n"/>
      <c r="BU62" s="110" t="n"/>
      <c r="BV62" s="186" t="n"/>
      <c r="BW62" s="112" t="n"/>
      <c r="BX62" s="113" t="n"/>
      <c r="BY62" s="112" t="n"/>
      <c r="BZ62" s="113" t="n"/>
      <c r="CA62" s="112" t="n"/>
      <c r="CB62" s="113" t="n"/>
      <c r="CC62" s="112" t="n"/>
      <c r="CD62" s="113" t="n"/>
      <c r="CE62" s="112" t="n"/>
      <c r="CF62" s="113" t="n"/>
      <c r="CG62" s="112" t="n"/>
      <c r="CH62" s="113" t="n"/>
      <c r="CI62" s="112" t="n"/>
      <c r="CJ62" s="113" t="n"/>
      <c r="CK62" s="112" t="n"/>
      <c r="CL62" s="113" t="n"/>
      <c r="CM62" s="187" t="n"/>
      <c r="CN62" s="115" t="n"/>
      <c r="CO62" s="116" t="n"/>
      <c r="CP62" s="115" t="n"/>
      <c r="CQ62" s="116" t="n"/>
      <c r="CR62" s="115" t="n"/>
      <c r="CS62" s="116" t="n"/>
      <c r="CT62" s="115" t="n"/>
      <c r="CU62" s="116" t="n"/>
      <c r="CV62" s="115" t="n"/>
      <c r="CW62" s="116" t="n"/>
      <c r="CX62" s="115" t="n"/>
      <c r="CY62" s="116" t="n"/>
      <c r="CZ62" s="115" t="n"/>
      <c r="DA62" s="116" t="n"/>
      <c r="DB62" s="115" t="n"/>
      <c r="DC62" s="116" t="n"/>
      <c r="DD62" s="188" t="n"/>
      <c r="DE62" s="118" t="n"/>
      <c r="DF62" s="119" t="n"/>
      <c r="DG62" s="118" t="n"/>
      <c r="DH62" s="119" t="n"/>
      <c r="DI62" s="118" t="n"/>
      <c r="DJ62" s="119" t="n"/>
      <c r="DK62" s="118" t="n"/>
      <c r="DL62" s="119" t="n"/>
      <c r="DM62" s="118" t="n"/>
      <c r="DN62" s="119" t="n"/>
      <c r="DO62" s="118" t="n"/>
      <c r="DP62" s="119" t="n"/>
      <c r="DQ62" s="118" t="n"/>
      <c r="DR62" s="119" t="n"/>
      <c r="DS62" s="118" t="n"/>
      <c r="DT62" s="119" t="n"/>
      <c r="DU62" s="189" t="n"/>
      <c r="DV62" s="121" t="n"/>
      <c r="DW62" s="122" t="n"/>
      <c r="DX62" s="121" t="n"/>
      <c r="DY62" s="122" t="n"/>
      <c r="DZ62" s="121" t="n"/>
      <c r="EA62" s="122" t="n"/>
      <c r="EB62" s="121" t="n"/>
      <c r="EC62" s="122" t="n"/>
      <c r="ED62" s="121" t="n"/>
      <c r="EE62" s="122" t="n"/>
      <c r="EF62" s="121" t="n"/>
      <c r="EG62" s="122" t="n"/>
      <c r="EH62" s="121" t="n"/>
      <c r="EI62" s="122" t="n"/>
      <c r="EJ62" s="121" t="n"/>
      <c r="EK62" s="122" t="n"/>
      <c r="EL62" s="190" t="n"/>
      <c r="EM62" s="124" t="n"/>
      <c r="EN62" s="125" t="n"/>
      <c r="EO62" s="124" t="n"/>
      <c r="EP62" s="125" t="n"/>
      <c r="EQ62" s="124" t="n"/>
      <c r="ER62" s="125" t="n"/>
      <c r="ES62" s="124" t="n"/>
      <c r="ET62" s="125" t="n"/>
      <c r="EU62" s="124" t="n"/>
      <c r="EV62" s="125" t="n"/>
      <c r="EW62" s="124" t="n"/>
      <c r="EX62" s="125" t="n"/>
      <c r="EY62" s="124" t="n"/>
      <c r="EZ62" s="125" t="n"/>
      <c r="FA62" s="124" t="n"/>
      <c r="FB62" s="125" t="n"/>
      <c r="FC62" s="191" t="n"/>
      <c r="FD62" s="127" t="n"/>
      <c r="FE62" s="128" t="n"/>
      <c r="FF62" s="127" t="n"/>
      <c r="FG62" s="128" t="n"/>
      <c r="FH62" s="127" t="n"/>
      <c r="FI62" s="128" t="n"/>
      <c r="FJ62" s="127" t="n"/>
      <c r="FK62" s="128" t="n"/>
      <c r="FL62" s="127" t="n"/>
      <c r="FM62" s="128" t="n"/>
      <c r="FN62" s="127" t="n"/>
      <c r="FO62" s="128" t="n"/>
      <c r="FP62" s="127" t="n"/>
      <c r="FQ62" s="128" t="n"/>
      <c r="FR62" s="127" t="n"/>
      <c r="FS62" s="128" t="n"/>
      <c r="FT62" s="192" t="n"/>
      <c r="FU62" s="130" t="n"/>
      <c r="FV62" s="131" t="n"/>
      <c r="FW62" s="130" t="n"/>
      <c r="FX62" s="131" t="n"/>
      <c r="FY62" s="130" t="n"/>
      <c r="FZ62" s="131" t="n"/>
      <c r="GA62" s="130" t="n"/>
      <c r="GB62" s="131" t="n"/>
      <c r="GC62" s="130" t="n"/>
      <c r="GD62" s="131" t="n"/>
      <c r="GE62" s="130" t="n"/>
      <c r="GF62" s="131" t="n"/>
      <c r="GG62" s="130" t="n"/>
      <c r="GH62" s="131" t="n"/>
      <c r="GI62" s="130" t="n"/>
      <c r="GJ62" s="131" t="n"/>
      <c r="GK62" s="193" t="n"/>
      <c r="GL62" s="133" t="n"/>
      <c r="GM62" s="134" t="n"/>
      <c r="GN62" s="133" t="n"/>
      <c r="GO62" s="134" t="n"/>
      <c r="GP62" s="133" t="n"/>
      <c r="GQ62" s="134" t="n"/>
      <c r="GR62" s="133" t="n"/>
      <c r="GS62" s="134" t="n"/>
      <c r="GT62" s="133" t="n"/>
      <c r="GU62" s="134" t="n"/>
      <c r="GV62" s="133" t="n"/>
      <c r="GW62" s="134" t="n"/>
      <c r="GX62" s="133" t="n"/>
      <c r="GY62" s="134" t="n"/>
      <c r="GZ62" s="133" t="n"/>
      <c r="HA62" s="134" t="n"/>
      <c r="HB62" s="194" t="n"/>
      <c r="HC62">
        <f>SUMIFS($G62:$HA62,$G$36:$HA$36,"درجة",$H62:$HB62,"&gt;0")</f>
        <v>0</v>
      </c>
      <c r="HD62">
        <f>SUMIFS($H62:$HB62,$G$36:$HA$36,"درجة",$G62:$HA62,"&gt;=0")</f>
        <v>0</v>
      </c>
    </row>
    <row r="63" ht="22.5" customHeight="1">
      <c r="A63" s="36" t="n">
        <v>27</v>
      </c>
      <c r="B63" s="181" t="str">
        <f>IF($B30="","",$B30)</f>
        <v/>
      </c>
      <c r="C63" s="136" t="str">
        <f>IF(OR($B63="",$HD63=0),"",ROUND($HC63,2)&amp;" / "&amp;$HD63)</f>
        <v/>
      </c>
      <c r="D63" s="182" t="str">
        <f>IF(OR($B63="",$HD63=0),"",$HC63/$HD63)</f>
        <v/>
      </c>
      <c r="E63" s="136" t="n"/>
      <c r="F63" s="99" t="str">
        <f>IF($D63="","",IF($D63&gt;=0.85,"ممتاز",IF($D63&gt;=0.75,"جيد جداً",IF($D63&gt;=0.65,"جيد",IF($D63&gt;=0.5,"مقبول","ضعيف")))))</f>
        <v/>
      </c>
      <c r="G63" s="100" t="n"/>
      <c r="H63" s="101" t="n"/>
      <c r="I63" s="100" t="n"/>
      <c r="J63" s="101" t="n"/>
      <c r="K63" s="100" t="n"/>
      <c r="L63" s="101" t="n"/>
      <c r="M63" s="100" t="n"/>
      <c r="N63" s="101" t="n"/>
      <c r="O63" s="100" t="n"/>
      <c r="P63" s="101" t="n"/>
      <c r="Q63" s="100" t="n"/>
      <c r="R63" s="101" t="n"/>
      <c r="S63" s="100" t="n"/>
      <c r="T63" s="101" t="n"/>
      <c r="U63" s="100" t="n"/>
      <c r="V63" s="101" t="n"/>
      <c r="W63" s="183" t="n"/>
      <c r="X63" s="103" t="n"/>
      <c r="Y63" s="104" t="n"/>
      <c r="Z63" s="103" t="n"/>
      <c r="AA63" s="104" t="n"/>
      <c r="AB63" s="103" t="n"/>
      <c r="AC63" s="104" t="n"/>
      <c r="AD63" s="103" t="n"/>
      <c r="AE63" s="104" t="n"/>
      <c r="AF63" s="103" t="n"/>
      <c r="AG63" s="104" t="n"/>
      <c r="AH63" s="103" t="n"/>
      <c r="AI63" s="104" t="n"/>
      <c r="AJ63" s="103" t="n"/>
      <c r="AK63" s="104" t="n"/>
      <c r="AL63" s="103" t="n"/>
      <c r="AM63" s="104" t="n"/>
      <c r="AN63" s="184" t="n"/>
      <c r="AO63" s="106" t="n"/>
      <c r="AP63" s="107" t="n"/>
      <c r="AQ63" s="106" t="n"/>
      <c r="AR63" s="107" t="n"/>
      <c r="AS63" s="106" t="n"/>
      <c r="AT63" s="107" t="n"/>
      <c r="AU63" s="106" t="n"/>
      <c r="AV63" s="107" t="n"/>
      <c r="AW63" s="106" t="n"/>
      <c r="AX63" s="107" t="n"/>
      <c r="AY63" s="106" t="n"/>
      <c r="AZ63" s="107" t="n"/>
      <c r="BA63" s="106" t="n"/>
      <c r="BB63" s="107" t="n"/>
      <c r="BC63" s="106" t="n"/>
      <c r="BD63" s="107" t="n"/>
      <c r="BE63" s="185" t="n"/>
      <c r="BF63" s="109" t="n"/>
      <c r="BG63" s="110" t="n"/>
      <c r="BH63" s="109" t="n"/>
      <c r="BI63" s="110" t="n"/>
      <c r="BJ63" s="109" t="n"/>
      <c r="BK63" s="110" t="n"/>
      <c r="BL63" s="109" t="n"/>
      <c r="BM63" s="110" t="n"/>
      <c r="BN63" s="109" t="n"/>
      <c r="BO63" s="110" t="n"/>
      <c r="BP63" s="109" t="n"/>
      <c r="BQ63" s="110" t="n"/>
      <c r="BR63" s="109" t="n"/>
      <c r="BS63" s="110" t="n"/>
      <c r="BT63" s="109" t="n"/>
      <c r="BU63" s="110" t="n"/>
      <c r="BV63" s="186" t="n"/>
      <c r="BW63" s="112" t="n"/>
      <c r="BX63" s="113" t="n"/>
      <c r="BY63" s="112" t="n"/>
      <c r="BZ63" s="113" t="n"/>
      <c r="CA63" s="112" t="n"/>
      <c r="CB63" s="113" t="n"/>
      <c r="CC63" s="112" t="n"/>
      <c r="CD63" s="113" t="n"/>
      <c r="CE63" s="112" t="n"/>
      <c r="CF63" s="113" t="n"/>
      <c r="CG63" s="112" t="n"/>
      <c r="CH63" s="113" t="n"/>
      <c r="CI63" s="112" t="n"/>
      <c r="CJ63" s="113" t="n"/>
      <c r="CK63" s="112" t="n"/>
      <c r="CL63" s="113" t="n"/>
      <c r="CM63" s="187" t="n"/>
      <c r="CN63" s="115" t="n"/>
      <c r="CO63" s="116" t="n"/>
      <c r="CP63" s="115" t="n"/>
      <c r="CQ63" s="116" t="n"/>
      <c r="CR63" s="115" t="n"/>
      <c r="CS63" s="116" t="n"/>
      <c r="CT63" s="115" t="n"/>
      <c r="CU63" s="116" t="n"/>
      <c r="CV63" s="115" t="n"/>
      <c r="CW63" s="116" t="n"/>
      <c r="CX63" s="115" t="n"/>
      <c r="CY63" s="116" t="n"/>
      <c r="CZ63" s="115" t="n"/>
      <c r="DA63" s="116" t="n"/>
      <c r="DB63" s="115" t="n"/>
      <c r="DC63" s="116" t="n"/>
      <c r="DD63" s="188" t="n"/>
      <c r="DE63" s="118" t="n"/>
      <c r="DF63" s="119" t="n"/>
      <c r="DG63" s="118" t="n"/>
      <c r="DH63" s="119" t="n"/>
      <c r="DI63" s="118" t="n"/>
      <c r="DJ63" s="119" t="n"/>
      <c r="DK63" s="118" t="n"/>
      <c r="DL63" s="119" t="n"/>
      <c r="DM63" s="118" t="n"/>
      <c r="DN63" s="119" t="n"/>
      <c r="DO63" s="118" t="n"/>
      <c r="DP63" s="119" t="n"/>
      <c r="DQ63" s="118" t="n"/>
      <c r="DR63" s="119" t="n"/>
      <c r="DS63" s="118" t="n"/>
      <c r="DT63" s="119" t="n"/>
      <c r="DU63" s="189" t="n"/>
      <c r="DV63" s="121" t="n"/>
      <c r="DW63" s="122" t="n"/>
      <c r="DX63" s="121" t="n"/>
      <c r="DY63" s="122" t="n"/>
      <c r="DZ63" s="121" t="n"/>
      <c r="EA63" s="122" t="n"/>
      <c r="EB63" s="121" t="n"/>
      <c r="EC63" s="122" t="n"/>
      <c r="ED63" s="121" t="n"/>
      <c r="EE63" s="122" t="n"/>
      <c r="EF63" s="121" t="n"/>
      <c r="EG63" s="122" t="n"/>
      <c r="EH63" s="121" t="n"/>
      <c r="EI63" s="122" t="n"/>
      <c r="EJ63" s="121" t="n"/>
      <c r="EK63" s="122" t="n"/>
      <c r="EL63" s="190" t="n"/>
      <c r="EM63" s="124" t="n"/>
      <c r="EN63" s="125" t="n"/>
      <c r="EO63" s="124" t="n"/>
      <c r="EP63" s="125" t="n"/>
      <c r="EQ63" s="124" t="n"/>
      <c r="ER63" s="125" t="n"/>
      <c r="ES63" s="124" t="n"/>
      <c r="ET63" s="125" t="n"/>
      <c r="EU63" s="124" t="n"/>
      <c r="EV63" s="125" t="n"/>
      <c r="EW63" s="124" t="n"/>
      <c r="EX63" s="125" t="n"/>
      <c r="EY63" s="124" t="n"/>
      <c r="EZ63" s="125" t="n"/>
      <c r="FA63" s="124" t="n"/>
      <c r="FB63" s="125" t="n"/>
      <c r="FC63" s="191" t="n"/>
      <c r="FD63" s="127" t="n"/>
      <c r="FE63" s="128" t="n"/>
      <c r="FF63" s="127" t="n"/>
      <c r="FG63" s="128" t="n"/>
      <c r="FH63" s="127" t="n"/>
      <c r="FI63" s="128" t="n"/>
      <c r="FJ63" s="127" t="n"/>
      <c r="FK63" s="128" t="n"/>
      <c r="FL63" s="127" t="n"/>
      <c r="FM63" s="128" t="n"/>
      <c r="FN63" s="127" t="n"/>
      <c r="FO63" s="128" t="n"/>
      <c r="FP63" s="127" t="n"/>
      <c r="FQ63" s="128" t="n"/>
      <c r="FR63" s="127" t="n"/>
      <c r="FS63" s="128" t="n"/>
      <c r="FT63" s="192" t="n"/>
      <c r="FU63" s="130" t="n"/>
      <c r="FV63" s="131" t="n"/>
      <c r="FW63" s="130" t="n"/>
      <c r="FX63" s="131" t="n"/>
      <c r="FY63" s="130" t="n"/>
      <c r="FZ63" s="131" t="n"/>
      <c r="GA63" s="130" t="n"/>
      <c r="GB63" s="131" t="n"/>
      <c r="GC63" s="130" t="n"/>
      <c r="GD63" s="131" t="n"/>
      <c r="GE63" s="130" t="n"/>
      <c r="GF63" s="131" t="n"/>
      <c r="GG63" s="130" t="n"/>
      <c r="GH63" s="131" t="n"/>
      <c r="GI63" s="130" t="n"/>
      <c r="GJ63" s="131" t="n"/>
      <c r="GK63" s="193" t="n"/>
      <c r="GL63" s="133" t="n"/>
      <c r="GM63" s="134" t="n"/>
      <c r="GN63" s="133" t="n"/>
      <c r="GO63" s="134" t="n"/>
      <c r="GP63" s="133" t="n"/>
      <c r="GQ63" s="134" t="n"/>
      <c r="GR63" s="133" t="n"/>
      <c r="GS63" s="134" t="n"/>
      <c r="GT63" s="133" t="n"/>
      <c r="GU63" s="134" t="n"/>
      <c r="GV63" s="133" t="n"/>
      <c r="GW63" s="134" t="n"/>
      <c r="GX63" s="133" t="n"/>
      <c r="GY63" s="134" t="n"/>
      <c r="GZ63" s="133" t="n"/>
      <c r="HA63" s="134" t="n"/>
      <c r="HB63" s="194" t="n"/>
      <c r="HC63">
        <f>SUMIFS($G63:$HA63,$G$36:$HA$36,"درجة",$H63:$HB63,"&gt;0")</f>
        <v>0</v>
      </c>
      <c r="HD63">
        <f>SUMIFS($H63:$HB63,$G$36:$HA$36,"درجة",$G63:$HA63,"&gt;=0")</f>
        <v>0</v>
      </c>
    </row>
    <row r="64" ht="22.5" customHeight="1">
      <c r="A64" s="36" t="n">
        <v>28</v>
      </c>
      <c r="B64" s="181" t="str">
        <f>IF($B31="","",$B31)</f>
        <v/>
      </c>
      <c r="C64" s="136" t="str">
        <f>IF(OR($B64="",$HD64=0),"",ROUND($HC64,2)&amp;" / "&amp;$HD64)</f>
        <v/>
      </c>
      <c r="D64" s="182" t="str">
        <f>IF(OR($B64="",$HD64=0),"",$HC64/$HD64)</f>
        <v/>
      </c>
      <c r="E64" s="136" t="n"/>
      <c r="F64" s="99" t="str">
        <f>IF($D64="","",IF($D64&gt;=0.85,"ممتاز",IF($D64&gt;=0.75,"جيد جداً",IF($D64&gt;=0.65,"جيد",IF($D64&gt;=0.5,"مقبول","ضعيف")))))</f>
        <v/>
      </c>
      <c r="G64" s="100" t="n"/>
      <c r="H64" s="101" t="n"/>
      <c r="I64" s="100" t="n"/>
      <c r="J64" s="101" t="n"/>
      <c r="K64" s="100" t="n"/>
      <c r="L64" s="101" t="n"/>
      <c r="M64" s="100" t="n"/>
      <c r="N64" s="101" t="n"/>
      <c r="O64" s="100" t="n"/>
      <c r="P64" s="101" t="n"/>
      <c r="Q64" s="100" t="n"/>
      <c r="R64" s="101" t="n"/>
      <c r="S64" s="100" t="n"/>
      <c r="T64" s="101" t="n"/>
      <c r="U64" s="100" t="n"/>
      <c r="V64" s="101" t="n"/>
      <c r="W64" s="183" t="n"/>
      <c r="X64" s="103" t="n"/>
      <c r="Y64" s="104" t="n"/>
      <c r="Z64" s="103" t="n"/>
      <c r="AA64" s="104" t="n"/>
      <c r="AB64" s="103" t="n"/>
      <c r="AC64" s="104" t="n"/>
      <c r="AD64" s="103" t="n"/>
      <c r="AE64" s="104" t="n"/>
      <c r="AF64" s="103" t="n"/>
      <c r="AG64" s="104" t="n"/>
      <c r="AH64" s="103" t="n"/>
      <c r="AI64" s="104" t="n"/>
      <c r="AJ64" s="103" t="n"/>
      <c r="AK64" s="104" t="n"/>
      <c r="AL64" s="103" t="n"/>
      <c r="AM64" s="104" t="n"/>
      <c r="AN64" s="184" t="n"/>
      <c r="AO64" s="106" t="n"/>
      <c r="AP64" s="107" t="n"/>
      <c r="AQ64" s="106" t="n"/>
      <c r="AR64" s="107" t="n"/>
      <c r="AS64" s="106" t="n"/>
      <c r="AT64" s="107" t="n"/>
      <c r="AU64" s="106" t="n"/>
      <c r="AV64" s="107" t="n"/>
      <c r="AW64" s="106" t="n"/>
      <c r="AX64" s="107" t="n"/>
      <c r="AY64" s="106" t="n"/>
      <c r="AZ64" s="107" t="n"/>
      <c r="BA64" s="106" t="n"/>
      <c r="BB64" s="107" t="n"/>
      <c r="BC64" s="106" t="n"/>
      <c r="BD64" s="107" t="n"/>
      <c r="BE64" s="185" t="n"/>
      <c r="BF64" s="109" t="n"/>
      <c r="BG64" s="110" t="n"/>
      <c r="BH64" s="109" t="n"/>
      <c r="BI64" s="110" t="n"/>
      <c r="BJ64" s="109" t="n"/>
      <c r="BK64" s="110" t="n"/>
      <c r="BL64" s="109" t="n"/>
      <c r="BM64" s="110" t="n"/>
      <c r="BN64" s="109" t="n"/>
      <c r="BO64" s="110" t="n"/>
      <c r="BP64" s="109" t="n"/>
      <c r="BQ64" s="110" t="n"/>
      <c r="BR64" s="109" t="n"/>
      <c r="BS64" s="110" t="n"/>
      <c r="BT64" s="109" t="n"/>
      <c r="BU64" s="110" t="n"/>
      <c r="BV64" s="186" t="n"/>
      <c r="BW64" s="112" t="n"/>
      <c r="BX64" s="113" t="n"/>
      <c r="BY64" s="112" t="n"/>
      <c r="BZ64" s="113" t="n"/>
      <c r="CA64" s="112" t="n"/>
      <c r="CB64" s="113" t="n"/>
      <c r="CC64" s="112" t="n"/>
      <c r="CD64" s="113" t="n"/>
      <c r="CE64" s="112" t="n"/>
      <c r="CF64" s="113" t="n"/>
      <c r="CG64" s="112" t="n"/>
      <c r="CH64" s="113" t="n"/>
      <c r="CI64" s="112" t="n"/>
      <c r="CJ64" s="113" t="n"/>
      <c r="CK64" s="112" t="n"/>
      <c r="CL64" s="113" t="n"/>
      <c r="CM64" s="187" t="n"/>
      <c r="CN64" s="115" t="n"/>
      <c r="CO64" s="116" t="n"/>
      <c r="CP64" s="115" t="n"/>
      <c r="CQ64" s="116" t="n"/>
      <c r="CR64" s="115" t="n"/>
      <c r="CS64" s="116" t="n"/>
      <c r="CT64" s="115" t="n"/>
      <c r="CU64" s="116" t="n"/>
      <c r="CV64" s="115" t="n"/>
      <c r="CW64" s="116" t="n"/>
      <c r="CX64" s="115" t="n"/>
      <c r="CY64" s="116" t="n"/>
      <c r="CZ64" s="115" t="n"/>
      <c r="DA64" s="116" t="n"/>
      <c r="DB64" s="115" t="n"/>
      <c r="DC64" s="116" t="n"/>
      <c r="DD64" s="188" t="n"/>
      <c r="DE64" s="118" t="n"/>
      <c r="DF64" s="119" t="n"/>
      <c r="DG64" s="118" t="n"/>
      <c r="DH64" s="119" t="n"/>
      <c r="DI64" s="118" t="n"/>
      <c r="DJ64" s="119" t="n"/>
      <c r="DK64" s="118" t="n"/>
      <c r="DL64" s="119" t="n"/>
      <c r="DM64" s="118" t="n"/>
      <c r="DN64" s="119" t="n"/>
      <c r="DO64" s="118" t="n"/>
      <c r="DP64" s="119" t="n"/>
      <c r="DQ64" s="118" t="n"/>
      <c r="DR64" s="119" t="n"/>
      <c r="DS64" s="118" t="n"/>
      <c r="DT64" s="119" t="n"/>
      <c r="DU64" s="189" t="n"/>
      <c r="DV64" s="121" t="n"/>
      <c r="DW64" s="122" t="n"/>
      <c r="DX64" s="121" t="n"/>
      <c r="DY64" s="122" t="n"/>
      <c r="DZ64" s="121" t="n"/>
      <c r="EA64" s="122" t="n"/>
      <c r="EB64" s="121" t="n"/>
      <c r="EC64" s="122" t="n"/>
      <c r="ED64" s="121" t="n"/>
      <c r="EE64" s="122" t="n"/>
      <c r="EF64" s="121" t="n"/>
      <c r="EG64" s="122" t="n"/>
      <c r="EH64" s="121" t="n"/>
      <c r="EI64" s="122" t="n"/>
      <c r="EJ64" s="121" t="n"/>
      <c r="EK64" s="122" t="n"/>
      <c r="EL64" s="190" t="n"/>
      <c r="EM64" s="124" t="n"/>
      <c r="EN64" s="125" t="n"/>
      <c r="EO64" s="124" t="n"/>
      <c r="EP64" s="125" t="n"/>
      <c r="EQ64" s="124" t="n"/>
      <c r="ER64" s="125" t="n"/>
      <c r="ES64" s="124" t="n"/>
      <c r="ET64" s="125" t="n"/>
      <c r="EU64" s="124" t="n"/>
      <c r="EV64" s="125" t="n"/>
      <c r="EW64" s="124" t="n"/>
      <c r="EX64" s="125" t="n"/>
      <c r="EY64" s="124" t="n"/>
      <c r="EZ64" s="125" t="n"/>
      <c r="FA64" s="124" t="n"/>
      <c r="FB64" s="125" t="n"/>
      <c r="FC64" s="191" t="n"/>
      <c r="FD64" s="127" t="n"/>
      <c r="FE64" s="128" t="n"/>
      <c r="FF64" s="127" t="n"/>
      <c r="FG64" s="128" t="n"/>
      <c r="FH64" s="127" t="n"/>
      <c r="FI64" s="128" t="n"/>
      <c r="FJ64" s="127" t="n"/>
      <c r="FK64" s="128" t="n"/>
      <c r="FL64" s="127" t="n"/>
      <c r="FM64" s="128" t="n"/>
      <c r="FN64" s="127" t="n"/>
      <c r="FO64" s="128" t="n"/>
      <c r="FP64" s="127" t="n"/>
      <c r="FQ64" s="128" t="n"/>
      <c r="FR64" s="127" t="n"/>
      <c r="FS64" s="128" t="n"/>
      <c r="FT64" s="192" t="n"/>
      <c r="FU64" s="130" t="n"/>
      <c r="FV64" s="131" t="n"/>
      <c r="FW64" s="130" t="n"/>
      <c r="FX64" s="131" t="n"/>
      <c r="FY64" s="130" t="n"/>
      <c r="FZ64" s="131" t="n"/>
      <c r="GA64" s="130" t="n"/>
      <c r="GB64" s="131" t="n"/>
      <c r="GC64" s="130" t="n"/>
      <c r="GD64" s="131" t="n"/>
      <c r="GE64" s="130" t="n"/>
      <c r="GF64" s="131" t="n"/>
      <c r="GG64" s="130" t="n"/>
      <c r="GH64" s="131" t="n"/>
      <c r="GI64" s="130" t="n"/>
      <c r="GJ64" s="131" t="n"/>
      <c r="GK64" s="193" t="n"/>
      <c r="GL64" s="133" t="n"/>
      <c r="GM64" s="134" t="n"/>
      <c r="GN64" s="133" t="n"/>
      <c r="GO64" s="134" t="n"/>
      <c r="GP64" s="133" t="n"/>
      <c r="GQ64" s="134" t="n"/>
      <c r="GR64" s="133" t="n"/>
      <c r="GS64" s="134" t="n"/>
      <c r="GT64" s="133" t="n"/>
      <c r="GU64" s="134" t="n"/>
      <c r="GV64" s="133" t="n"/>
      <c r="GW64" s="134" t="n"/>
      <c r="GX64" s="133" t="n"/>
      <c r="GY64" s="134" t="n"/>
      <c r="GZ64" s="133" t="n"/>
      <c r="HA64" s="134" t="n"/>
      <c r="HB64" s="194" t="n"/>
      <c r="HC64">
        <f>SUMIFS($G64:$HA64,$G$36:$HA$36,"درجة",$H64:$HB64,"&gt;0")</f>
        <v>0</v>
      </c>
      <c r="HD64">
        <f>SUMIFS($H64:$HB64,$G$36:$HA$36,"درجة",$G64:$HA64,"&gt;=0")</f>
        <v>0</v>
      </c>
    </row>
    <row r="65" ht="22.5" customHeight="1">
      <c r="A65" s="36" t="n">
        <v>29</v>
      </c>
      <c r="B65" s="181" t="str">
        <f>IF($B32="","",$B32)</f>
        <v/>
      </c>
      <c r="C65" s="136" t="str">
        <f>IF(OR($B65="",$HD65=0),"",ROUND($HC65,2)&amp;" / "&amp;$HD65)</f>
        <v/>
      </c>
      <c r="D65" s="182" t="str">
        <f>IF(OR($B65="",$HD65=0),"",$HC65/$HD65)</f>
        <v/>
      </c>
      <c r="E65" s="136" t="n"/>
      <c r="F65" s="99" t="str">
        <f>IF($D65="","",IF($D65&gt;=0.85,"ممتاز",IF($D65&gt;=0.75,"جيد جداً",IF($D65&gt;=0.65,"جيد",IF($D65&gt;=0.5,"مقبول","ضعيف")))))</f>
        <v/>
      </c>
      <c r="G65" s="100" t="n"/>
      <c r="H65" s="101" t="n"/>
      <c r="I65" s="100" t="n"/>
      <c r="J65" s="101" t="n"/>
      <c r="K65" s="100" t="n"/>
      <c r="L65" s="101" t="n"/>
      <c r="M65" s="100" t="n"/>
      <c r="N65" s="101" t="n"/>
      <c r="O65" s="100" t="n"/>
      <c r="P65" s="101" t="n"/>
      <c r="Q65" s="100" t="n"/>
      <c r="R65" s="101" t="n"/>
      <c r="S65" s="100" t="n"/>
      <c r="T65" s="101" t="n"/>
      <c r="U65" s="100" t="n"/>
      <c r="V65" s="101" t="n"/>
      <c r="W65" s="183" t="n"/>
      <c r="X65" s="103" t="n"/>
      <c r="Y65" s="104" t="n"/>
      <c r="Z65" s="103" t="n"/>
      <c r="AA65" s="104" t="n"/>
      <c r="AB65" s="103" t="n"/>
      <c r="AC65" s="104" t="n"/>
      <c r="AD65" s="103" t="n"/>
      <c r="AE65" s="104" t="n"/>
      <c r="AF65" s="103" t="n"/>
      <c r="AG65" s="104" t="n"/>
      <c r="AH65" s="103" t="n"/>
      <c r="AI65" s="104" t="n"/>
      <c r="AJ65" s="103" t="n"/>
      <c r="AK65" s="104" t="n"/>
      <c r="AL65" s="103" t="n"/>
      <c r="AM65" s="104" t="n"/>
      <c r="AN65" s="184" t="n"/>
      <c r="AO65" s="106" t="n"/>
      <c r="AP65" s="107" t="n"/>
      <c r="AQ65" s="106" t="n"/>
      <c r="AR65" s="107" t="n"/>
      <c r="AS65" s="106" t="n"/>
      <c r="AT65" s="107" t="n"/>
      <c r="AU65" s="106" t="n"/>
      <c r="AV65" s="107" t="n"/>
      <c r="AW65" s="106" t="n"/>
      <c r="AX65" s="107" t="n"/>
      <c r="AY65" s="106" t="n"/>
      <c r="AZ65" s="107" t="n"/>
      <c r="BA65" s="106" t="n"/>
      <c r="BB65" s="107" t="n"/>
      <c r="BC65" s="106" t="n"/>
      <c r="BD65" s="107" t="n"/>
      <c r="BE65" s="185" t="n"/>
      <c r="BF65" s="109" t="n"/>
      <c r="BG65" s="110" t="n"/>
      <c r="BH65" s="109" t="n"/>
      <c r="BI65" s="110" t="n"/>
      <c r="BJ65" s="109" t="n"/>
      <c r="BK65" s="110" t="n"/>
      <c r="BL65" s="109" t="n"/>
      <c r="BM65" s="110" t="n"/>
      <c r="BN65" s="109" t="n"/>
      <c r="BO65" s="110" t="n"/>
      <c r="BP65" s="109" t="n"/>
      <c r="BQ65" s="110" t="n"/>
      <c r="BR65" s="109" t="n"/>
      <c r="BS65" s="110" t="n"/>
      <c r="BT65" s="109" t="n"/>
      <c r="BU65" s="110" t="n"/>
      <c r="BV65" s="186" t="n"/>
      <c r="BW65" s="112" t="n"/>
      <c r="BX65" s="113" t="n"/>
      <c r="BY65" s="112" t="n"/>
      <c r="BZ65" s="113" t="n"/>
      <c r="CA65" s="112" t="n"/>
      <c r="CB65" s="113" t="n"/>
      <c r="CC65" s="112" t="n"/>
      <c r="CD65" s="113" t="n"/>
      <c r="CE65" s="112" t="n"/>
      <c r="CF65" s="113" t="n"/>
      <c r="CG65" s="112" t="n"/>
      <c r="CH65" s="113" t="n"/>
      <c r="CI65" s="112" t="n"/>
      <c r="CJ65" s="113" t="n"/>
      <c r="CK65" s="112" t="n"/>
      <c r="CL65" s="113" t="n"/>
      <c r="CM65" s="187" t="n"/>
      <c r="CN65" s="115" t="n"/>
      <c r="CO65" s="116" t="n"/>
      <c r="CP65" s="115" t="n"/>
      <c r="CQ65" s="116" t="n"/>
      <c r="CR65" s="115" t="n"/>
      <c r="CS65" s="116" t="n"/>
      <c r="CT65" s="115" t="n"/>
      <c r="CU65" s="116" t="n"/>
      <c r="CV65" s="115" t="n"/>
      <c r="CW65" s="116" t="n"/>
      <c r="CX65" s="115" t="n"/>
      <c r="CY65" s="116" t="n"/>
      <c r="CZ65" s="115" t="n"/>
      <c r="DA65" s="116" t="n"/>
      <c r="DB65" s="115" t="n"/>
      <c r="DC65" s="116" t="n"/>
      <c r="DD65" s="188" t="n"/>
      <c r="DE65" s="118" t="n"/>
      <c r="DF65" s="119" t="n"/>
      <c r="DG65" s="118" t="n"/>
      <c r="DH65" s="119" t="n"/>
      <c r="DI65" s="118" t="n"/>
      <c r="DJ65" s="119" t="n"/>
      <c r="DK65" s="118" t="n"/>
      <c r="DL65" s="119" t="n"/>
      <c r="DM65" s="118" t="n"/>
      <c r="DN65" s="119" t="n"/>
      <c r="DO65" s="118" t="n"/>
      <c r="DP65" s="119" t="n"/>
      <c r="DQ65" s="118" t="n"/>
      <c r="DR65" s="119" t="n"/>
      <c r="DS65" s="118" t="n"/>
      <c r="DT65" s="119" t="n"/>
      <c r="DU65" s="189" t="n"/>
      <c r="DV65" s="121" t="n"/>
      <c r="DW65" s="122" t="n"/>
      <c r="DX65" s="121" t="n"/>
      <c r="DY65" s="122" t="n"/>
      <c r="DZ65" s="121" t="n"/>
      <c r="EA65" s="122" t="n"/>
      <c r="EB65" s="121" t="n"/>
      <c r="EC65" s="122" t="n"/>
      <c r="ED65" s="121" t="n"/>
      <c r="EE65" s="122" t="n"/>
      <c r="EF65" s="121" t="n"/>
      <c r="EG65" s="122" t="n"/>
      <c r="EH65" s="121" t="n"/>
      <c r="EI65" s="122" t="n"/>
      <c r="EJ65" s="121" t="n"/>
      <c r="EK65" s="122" t="n"/>
      <c r="EL65" s="190" t="n"/>
      <c r="EM65" s="124" t="n"/>
      <c r="EN65" s="125" t="n"/>
      <c r="EO65" s="124" t="n"/>
      <c r="EP65" s="125" t="n"/>
      <c r="EQ65" s="124" t="n"/>
      <c r="ER65" s="125" t="n"/>
      <c r="ES65" s="124" t="n"/>
      <c r="ET65" s="125" t="n"/>
      <c r="EU65" s="124" t="n"/>
      <c r="EV65" s="125" t="n"/>
      <c r="EW65" s="124" t="n"/>
      <c r="EX65" s="125" t="n"/>
      <c r="EY65" s="124" t="n"/>
      <c r="EZ65" s="125" t="n"/>
      <c r="FA65" s="124" t="n"/>
      <c r="FB65" s="125" t="n"/>
      <c r="FC65" s="191" t="n"/>
      <c r="FD65" s="127" t="n"/>
      <c r="FE65" s="128" t="n"/>
      <c r="FF65" s="127" t="n"/>
      <c r="FG65" s="128" t="n"/>
      <c r="FH65" s="127" t="n"/>
      <c r="FI65" s="128" t="n"/>
      <c r="FJ65" s="127" t="n"/>
      <c r="FK65" s="128" t="n"/>
      <c r="FL65" s="127" t="n"/>
      <c r="FM65" s="128" t="n"/>
      <c r="FN65" s="127" t="n"/>
      <c r="FO65" s="128" t="n"/>
      <c r="FP65" s="127" t="n"/>
      <c r="FQ65" s="128" t="n"/>
      <c r="FR65" s="127" t="n"/>
      <c r="FS65" s="128" t="n"/>
      <c r="FT65" s="192" t="n"/>
      <c r="FU65" s="130" t="n"/>
      <c r="FV65" s="131" t="n"/>
      <c r="FW65" s="130" t="n"/>
      <c r="FX65" s="131" t="n"/>
      <c r="FY65" s="130" t="n"/>
      <c r="FZ65" s="131" t="n"/>
      <c r="GA65" s="130" t="n"/>
      <c r="GB65" s="131" t="n"/>
      <c r="GC65" s="130" t="n"/>
      <c r="GD65" s="131" t="n"/>
      <c r="GE65" s="130" t="n"/>
      <c r="GF65" s="131" t="n"/>
      <c r="GG65" s="130" t="n"/>
      <c r="GH65" s="131" t="n"/>
      <c r="GI65" s="130" t="n"/>
      <c r="GJ65" s="131" t="n"/>
      <c r="GK65" s="193" t="n"/>
      <c r="GL65" s="133" t="n"/>
      <c r="GM65" s="134" t="n"/>
      <c r="GN65" s="133" t="n"/>
      <c r="GO65" s="134" t="n"/>
      <c r="GP65" s="133" t="n"/>
      <c r="GQ65" s="134" t="n"/>
      <c r="GR65" s="133" t="n"/>
      <c r="GS65" s="134" t="n"/>
      <c r="GT65" s="133" t="n"/>
      <c r="GU65" s="134" t="n"/>
      <c r="GV65" s="133" t="n"/>
      <c r="GW65" s="134" t="n"/>
      <c r="GX65" s="133" t="n"/>
      <c r="GY65" s="134" t="n"/>
      <c r="GZ65" s="133" t="n"/>
      <c r="HA65" s="134" t="n"/>
      <c r="HB65" s="194" t="n"/>
      <c r="HC65">
        <f>SUMIFS($G65:$HA65,$G$36:$HA$36,"درجة",$H65:$HB65,"&gt;0")</f>
        <v>0</v>
      </c>
      <c r="HD65">
        <f>SUMIFS($H65:$HB65,$G$36:$HA$36,"درجة",$G65:$HA65,"&gt;=0")</f>
        <v>0</v>
      </c>
    </row>
    <row r="66" ht="22.5" customHeight="1">
      <c r="A66" s="36" t="n">
        <v>30</v>
      </c>
      <c r="B66" s="181" t="str">
        <f>IF($B33="","",$B33)</f>
        <v/>
      </c>
      <c r="C66" s="136" t="str">
        <f>IF(OR($B66="",$HD66=0),"",ROUND($HC66,2)&amp;" / "&amp;$HD66)</f>
        <v/>
      </c>
      <c r="D66" s="182" t="str">
        <f>IF(OR($B66="",$HD66=0),"",$HC66/$HD66)</f>
        <v/>
      </c>
      <c r="E66" s="136" t="n"/>
      <c r="F66" s="99" t="str">
        <f>IF($D66="","",IF($D66&gt;=0.85,"ممتاز",IF($D66&gt;=0.75,"جيد جداً",IF($D66&gt;=0.65,"جيد",IF($D66&gt;=0.5,"مقبول","ضعيف")))))</f>
        <v/>
      </c>
      <c r="G66" s="100" t="n"/>
      <c r="H66" s="101" t="n"/>
      <c r="I66" s="100" t="n"/>
      <c r="J66" s="101" t="n"/>
      <c r="K66" s="100" t="n"/>
      <c r="L66" s="101" t="n"/>
      <c r="M66" s="100" t="n"/>
      <c r="N66" s="101" t="n"/>
      <c r="O66" s="100" t="n"/>
      <c r="P66" s="101" t="n"/>
      <c r="Q66" s="100" t="n"/>
      <c r="R66" s="101" t="n"/>
      <c r="S66" s="100" t="n"/>
      <c r="T66" s="101" t="n"/>
      <c r="U66" s="100" t="n"/>
      <c r="V66" s="101" t="n"/>
      <c r="W66" s="183" t="n"/>
      <c r="X66" s="103" t="n"/>
      <c r="Y66" s="104" t="n"/>
      <c r="Z66" s="103" t="n"/>
      <c r="AA66" s="104" t="n"/>
      <c r="AB66" s="103" t="n"/>
      <c r="AC66" s="104" t="n"/>
      <c r="AD66" s="103" t="n"/>
      <c r="AE66" s="104" t="n"/>
      <c r="AF66" s="103" t="n"/>
      <c r="AG66" s="104" t="n"/>
      <c r="AH66" s="103" t="n"/>
      <c r="AI66" s="104" t="n"/>
      <c r="AJ66" s="103" t="n"/>
      <c r="AK66" s="104" t="n"/>
      <c r="AL66" s="103" t="n"/>
      <c r="AM66" s="104" t="n"/>
      <c r="AN66" s="184" t="n"/>
      <c r="AO66" s="106" t="n"/>
      <c r="AP66" s="107" t="n"/>
      <c r="AQ66" s="106" t="n"/>
      <c r="AR66" s="107" t="n"/>
      <c r="AS66" s="106" t="n"/>
      <c r="AT66" s="107" t="n"/>
      <c r="AU66" s="106" t="n"/>
      <c r="AV66" s="107" t="n"/>
      <c r="AW66" s="106" t="n"/>
      <c r="AX66" s="107" t="n"/>
      <c r="AY66" s="106" t="n"/>
      <c r="AZ66" s="107" t="n"/>
      <c r="BA66" s="106" t="n"/>
      <c r="BB66" s="107" t="n"/>
      <c r="BC66" s="106" t="n"/>
      <c r="BD66" s="107" t="n"/>
      <c r="BE66" s="185" t="n"/>
      <c r="BF66" s="109" t="n"/>
      <c r="BG66" s="110" t="n"/>
      <c r="BH66" s="109" t="n"/>
      <c r="BI66" s="110" t="n"/>
      <c r="BJ66" s="109" t="n"/>
      <c r="BK66" s="110" t="n"/>
      <c r="BL66" s="109" t="n"/>
      <c r="BM66" s="110" t="n"/>
      <c r="BN66" s="109" t="n"/>
      <c r="BO66" s="110" t="n"/>
      <c r="BP66" s="109" t="n"/>
      <c r="BQ66" s="110" t="n"/>
      <c r="BR66" s="109" t="n"/>
      <c r="BS66" s="110" t="n"/>
      <c r="BT66" s="109" t="n"/>
      <c r="BU66" s="110" t="n"/>
      <c r="BV66" s="186" t="n"/>
      <c r="BW66" s="112" t="n"/>
      <c r="BX66" s="113" t="n"/>
      <c r="BY66" s="112" t="n"/>
      <c r="BZ66" s="113" t="n"/>
      <c r="CA66" s="112" t="n"/>
      <c r="CB66" s="113" t="n"/>
      <c r="CC66" s="112" t="n"/>
      <c r="CD66" s="113" t="n"/>
      <c r="CE66" s="112" t="n"/>
      <c r="CF66" s="113" t="n"/>
      <c r="CG66" s="112" t="n"/>
      <c r="CH66" s="113" t="n"/>
      <c r="CI66" s="112" t="n"/>
      <c r="CJ66" s="113" t="n"/>
      <c r="CK66" s="112" t="n"/>
      <c r="CL66" s="113" t="n"/>
      <c r="CM66" s="187" t="n"/>
      <c r="CN66" s="115" t="n"/>
      <c r="CO66" s="116" t="n"/>
      <c r="CP66" s="115" t="n"/>
      <c r="CQ66" s="116" t="n"/>
      <c r="CR66" s="115" t="n"/>
      <c r="CS66" s="116" t="n"/>
      <c r="CT66" s="115" t="n"/>
      <c r="CU66" s="116" t="n"/>
      <c r="CV66" s="115" t="n"/>
      <c r="CW66" s="116" t="n"/>
      <c r="CX66" s="115" t="n"/>
      <c r="CY66" s="116" t="n"/>
      <c r="CZ66" s="115" t="n"/>
      <c r="DA66" s="116" t="n"/>
      <c r="DB66" s="115" t="n"/>
      <c r="DC66" s="116" t="n"/>
      <c r="DD66" s="188" t="n"/>
      <c r="DE66" s="118" t="n"/>
      <c r="DF66" s="119" t="n"/>
      <c r="DG66" s="118" t="n"/>
      <c r="DH66" s="119" t="n"/>
      <c r="DI66" s="118" t="n"/>
      <c r="DJ66" s="119" t="n"/>
      <c r="DK66" s="118" t="n"/>
      <c r="DL66" s="119" t="n"/>
      <c r="DM66" s="118" t="n"/>
      <c r="DN66" s="119" t="n"/>
      <c r="DO66" s="118" t="n"/>
      <c r="DP66" s="119" t="n"/>
      <c r="DQ66" s="118" t="n"/>
      <c r="DR66" s="119" t="n"/>
      <c r="DS66" s="118" t="n"/>
      <c r="DT66" s="119" t="n"/>
      <c r="DU66" s="189" t="n"/>
      <c r="DV66" s="121" t="n"/>
      <c r="DW66" s="122" t="n"/>
      <c r="DX66" s="121" t="n"/>
      <c r="DY66" s="122" t="n"/>
      <c r="DZ66" s="121" t="n"/>
      <c r="EA66" s="122" t="n"/>
      <c r="EB66" s="121" t="n"/>
      <c r="EC66" s="122" t="n"/>
      <c r="ED66" s="121" t="n"/>
      <c r="EE66" s="122" t="n"/>
      <c r="EF66" s="121" t="n"/>
      <c r="EG66" s="122" t="n"/>
      <c r="EH66" s="121" t="n"/>
      <c r="EI66" s="122" t="n"/>
      <c r="EJ66" s="121" t="n"/>
      <c r="EK66" s="122" t="n"/>
      <c r="EL66" s="190" t="n"/>
      <c r="EM66" s="124" t="n"/>
      <c r="EN66" s="125" t="n"/>
      <c r="EO66" s="124" t="n"/>
      <c r="EP66" s="125" t="n"/>
      <c r="EQ66" s="124" t="n"/>
      <c r="ER66" s="125" t="n"/>
      <c r="ES66" s="124" t="n"/>
      <c r="ET66" s="125" t="n"/>
      <c r="EU66" s="124" t="n"/>
      <c r="EV66" s="125" t="n"/>
      <c r="EW66" s="124" t="n"/>
      <c r="EX66" s="125" t="n"/>
      <c r="EY66" s="124" t="n"/>
      <c r="EZ66" s="125" t="n"/>
      <c r="FA66" s="124" t="n"/>
      <c r="FB66" s="125" t="n"/>
      <c r="FC66" s="191" t="n"/>
      <c r="FD66" s="127" t="n"/>
      <c r="FE66" s="128" t="n"/>
      <c r="FF66" s="127" t="n"/>
      <c r="FG66" s="128" t="n"/>
      <c r="FH66" s="127" t="n"/>
      <c r="FI66" s="128" t="n"/>
      <c r="FJ66" s="127" t="n"/>
      <c r="FK66" s="128" t="n"/>
      <c r="FL66" s="127" t="n"/>
      <c r="FM66" s="128" t="n"/>
      <c r="FN66" s="127" t="n"/>
      <c r="FO66" s="128" t="n"/>
      <c r="FP66" s="127" t="n"/>
      <c r="FQ66" s="128" t="n"/>
      <c r="FR66" s="127" t="n"/>
      <c r="FS66" s="128" t="n"/>
      <c r="FT66" s="192" t="n"/>
      <c r="FU66" s="130" t="n"/>
      <c r="FV66" s="131" t="n"/>
      <c r="FW66" s="130" t="n"/>
      <c r="FX66" s="131" t="n"/>
      <c r="FY66" s="130" t="n"/>
      <c r="FZ66" s="131" t="n"/>
      <c r="GA66" s="130" t="n"/>
      <c r="GB66" s="131" t="n"/>
      <c r="GC66" s="130" t="n"/>
      <c r="GD66" s="131" t="n"/>
      <c r="GE66" s="130" t="n"/>
      <c r="GF66" s="131" t="n"/>
      <c r="GG66" s="130" t="n"/>
      <c r="GH66" s="131" t="n"/>
      <c r="GI66" s="130" t="n"/>
      <c r="GJ66" s="131" t="n"/>
      <c r="GK66" s="193" t="n"/>
      <c r="GL66" s="133" t="n"/>
      <c r="GM66" s="134" t="n"/>
      <c r="GN66" s="133" t="n"/>
      <c r="GO66" s="134" t="n"/>
      <c r="GP66" s="133" t="n"/>
      <c r="GQ66" s="134" t="n"/>
      <c r="GR66" s="133" t="n"/>
      <c r="GS66" s="134" t="n"/>
      <c r="GT66" s="133" t="n"/>
      <c r="GU66" s="134" t="n"/>
      <c r="GV66" s="133" t="n"/>
      <c r="GW66" s="134" t="n"/>
      <c r="GX66" s="133" t="n"/>
      <c r="GY66" s="134" t="n"/>
      <c r="GZ66" s="133" t="n"/>
      <c r="HA66" s="134" t="n"/>
      <c r="HB66" s="194" t="n"/>
      <c r="HC66">
        <f>SUMIFS($G66:$HA66,$G$36:$HA$36,"درجة",$H66:$HB66,"&gt;0")</f>
        <v>0</v>
      </c>
      <c r="HD66">
        <f>SUMIFS($H66:$HB66,$G$36:$HA$36,"درجة",$G66:$HA66,"&gt;=0")</f>
        <v>0</v>
      </c>
    </row>
  </sheetData>
  <mergeCells count="209">
    <mergeCell ref="DO35:DP35"/>
    <mergeCell ref="BW1:CM1"/>
    <mergeCell ref="DE1:DU1"/>
    <mergeCell ref="DQ35:DR35"/>
    <mergeCell ref="EY35:EZ35"/>
    <mergeCell ref="X2:Y2"/>
    <mergeCell ref="FY2:FZ2"/>
    <mergeCell ref="AJ2:AK2"/>
    <mergeCell ref="BR2:BS2"/>
    <mergeCell ref="GE35:GF35"/>
    <mergeCell ref="AL2:AM2"/>
    <mergeCell ref="FU1:GK1"/>
    <mergeCell ref="GG35:GH35"/>
    <mergeCell ref="CN2:CO2"/>
    <mergeCell ref="DV2:DW2"/>
    <mergeCell ref="K35:L35"/>
    <mergeCell ref="AH35:AI35"/>
    <mergeCell ref="M35:N35"/>
    <mergeCell ref="FA35:FB35"/>
    <mergeCell ref="BH2:BI2"/>
    <mergeCell ref="BJ2:BK2"/>
    <mergeCell ref="CR2:CS2"/>
    <mergeCell ref="O35:P35"/>
    <mergeCell ref="CP35:CQ35"/>
    <mergeCell ref="Q35:R35"/>
    <mergeCell ref="FD2:FE2"/>
    <mergeCell ref="FF2:FG2"/>
    <mergeCell ref="DB35:DC35"/>
    <mergeCell ref="EJ35:EK35"/>
    <mergeCell ref="AQ2:AR2"/>
    <mergeCell ref="FR2:FS2"/>
    <mergeCell ref="K2:L2"/>
    <mergeCell ref="AS2:AT2"/>
    <mergeCell ref="AW35:AX35"/>
    <mergeCell ref="AY35:AZ35"/>
    <mergeCell ref="FD35:FE35"/>
    <mergeCell ref="GN35:GO35"/>
    <mergeCell ref="GX35:GY35"/>
    <mergeCell ref="GZ35:HA35"/>
    <mergeCell ref="DG2:DH2"/>
    <mergeCell ref="ED2:EE2"/>
    <mergeCell ref="AQ35:AR35"/>
    <mergeCell ref="DI2:DJ2"/>
    <mergeCell ref="CK35:CL35"/>
    <mergeCell ref="A35:B35"/>
    <mergeCell ref="O2:P2"/>
    <mergeCell ref="S35:T35"/>
    <mergeCell ref="FJ35:FK35"/>
    <mergeCell ref="Q2:R2"/>
    <mergeCell ref="BC35:BD35"/>
    <mergeCell ref="FL35:FM35"/>
    <mergeCell ref="GR2:GS2"/>
    <mergeCell ref="DV35:DW35"/>
    <mergeCell ref="AU2:AV2"/>
    <mergeCell ref="CC2:CD2"/>
    <mergeCell ref="CE2:CF2"/>
    <mergeCell ref="DK35:DL35"/>
    <mergeCell ref="ES2:ET2"/>
    <mergeCell ref="GA2:GB2"/>
    <mergeCell ref="BF35:BG35"/>
    <mergeCell ref="EU2:EV2"/>
    <mergeCell ref="BR35:BS35"/>
    <mergeCell ref="GL1:HB1"/>
    <mergeCell ref="DO2:DP2"/>
    <mergeCell ref="EW2:EX2"/>
    <mergeCell ref="AB35:AC35"/>
    <mergeCell ref="DQ2:DR2"/>
    <mergeCell ref="EY2:EZ2"/>
    <mergeCell ref="AD35:AE35"/>
    <mergeCell ref="CA35:CB35"/>
    <mergeCell ref="EW35:EX35"/>
    <mergeCell ref="GC2:GD2"/>
    <mergeCell ref="EO35:EP35"/>
    <mergeCell ref="EQ35:ER35"/>
    <mergeCell ref="CR35:CS35"/>
    <mergeCell ref="BP2:BQ2"/>
    <mergeCell ref="CX2:CY2"/>
    <mergeCell ref="CZ2:DA2"/>
    <mergeCell ref="FL2:FM2"/>
    <mergeCell ref="DM35:DN35"/>
    <mergeCell ref="FN2:FO2"/>
    <mergeCell ref="FP2:FQ2"/>
    <mergeCell ref="BT2:BU2"/>
    <mergeCell ref="FY35:FZ35"/>
    <mergeCell ref="AF2:AG2"/>
    <mergeCell ref="GA35:GB35"/>
    <mergeCell ref="DX2:DY2"/>
    <mergeCell ref="GC35:GD35"/>
    <mergeCell ref="DZ2:EA2"/>
    <mergeCell ref="BL35:BM35"/>
    <mergeCell ref="EJ2:EK2"/>
    <mergeCell ref="CV35:CW35"/>
    <mergeCell ref="G35:H35"/>
    <mergeCell ref="GL2:GM2"/>
    <mergeCell ref="I35:J35"/>
    <mergeCell ref="GN2:GO2"/>
    <mergeCell ref="EM1:FC1"/>
    <mergeCell ref="GX2:GY2"/>
    <mergeCell ref="EB35:EC35"/>
    <mergeCell ref="GZ2:HA2"/>
    <mergeCell ref="ED35:EE35"/>
    <mergeCell ref="X1:AN1"/>
    <mergeCell ref="BW35:BX35"/>
    <mergeCell ref="BT35:BU35"/>
    <mergeCell ref="GP35:GQ35"/>
    <mergeCell ref="CX35:CY35"/>
    <mergeCell ref="BF1:BV1"/>
    <mergeCell ref="CN1:DD1"/>
    <mergeCell ref="CZ35:DA35"/>
    <mergeCell ref="EF35:EG35"/>
    <mergeCell ref="EH35:EI35"/>
    <mergeCell ref="G2:H2"/>
    <mergeCell ref="AO2:AP2"/>
    <mergeCell ref="AS35:AT35"/>
    <mergeCell ref="I2:J2"/>
    <mergeCell ref="GT35:GU35"/>
    <mergeCell ref="BA2:BB2"/>
    <mergeCell ref="GV35:GW35"/>
    <mergeCell ref="BC2:BD2"/>
    <mergeCell ref="A1:B1"/>
    <mergeCell ref="FD1:FT1"/>
    <mergeCell ref="DE2:DF2"/>
    <mergeCell ref="CG35:CH35"/>
    <mergeCell ref="CI35:CJ35"/>
    <mergeCell ref="M2:N2"/>
    <mergeCell ref="FR35:FS35"/>
    <mergeCell ref="BY2:BZ2"/>
    <mergeCell ref="CA2:CB2"/>
    <mergeCell ref="CK2:CL2"/>
    <mergeCell ref="GT2:GU2"/>
    <mergeCell ref="DG35:DH35"/>
    <mergeCell ref="EM2:EN2"/>
    <mergeCell ref="GE2:GF2"/>
    <mergeCell ref="DI35:DJ35"/>
    <mergeCell ref="EO2:EP2"/>
    <mergeCell ref="FW2:FX2"/>
    <mergeCell ref="EQ2:ER2"/>
    <mergeCell ref="DS35:DT35"/>
    <mergeCell ref="Z2:AA2"/>
    <mergeCell ref="FU35:FV35"/>
    <mergeCell ref="AB2:AC2"/>
    <mergeCell ref="BN35:BO35"/>
    <mergeCell ref="FW35:FX35"/>
    <mergeCell ref="AD2:AE2"/>
    <mergeCell ref="BP35:BQ35"/>
    <mergeCell ref="GI35:GJ35"/>
    <mergeCell ref="CP2:CQ2"/>
    <mergeCell ref="AO1:BE1"/>
    <mergeCell ref="AJ35:AK35"/>
    <mergeCell ref="AH2:AI2"/>
    <mergeCell ref="AL35:AM35"/>
    <mergeCell ref="EM35:EN35"/>
    <mergeCell ref="BL2:BM2"/>
    <mergeCell ref="CT2:CU2"/>
    <mergeCell ref="BN2:BO2"/>
    <mergeCell ref="CV2:CW2"/>
    <mergeCell ref="BF2:BG2"/>
    <mergeCell ref="U35:V35"/>
    <mergeCell ref="FH2:FI2"/>
    <mergeCell ref="EB2:EC2"/>
    <mergeCell ref="FJ2:FK2"/>
    <mergeCell ref="CN35:CO35"/>
    <mergeCell ref="AW2:AX2"/>
    <mergeCell ref="C1:F2"/>
    <mergeCell ref="BH35:BI35"/>
    <mergeCell ref="EF2:EG2"/>
    <mergeCell ref="BJ35:BK35"/>
    <mergeCell ref="EH2:EI2"/>
    <mergeCell ref="AU35:AV35"/>
    <mergeCell ref="S2:T2"/>
    <mergeCell ref="FN35:FO35"/>
    <mergeCell ref="U2:V2"/>
    <mergeCell ref="DX35:DY35"/>
    <mergeCell ref="FF35:FG35"/>
    <mergeCell ref="FP35:FQ35"/>
    <mergeCell ref="GV2:GW2"/>
    <mergeCell ref="BW2:BX2"/>
    <mergeCell ref="DZ35:EA35"/>
    <mergeCell ref="FH35:FI35"/>
    <mergeCell ref="CG2:CH2"/>
    <mergeCell ref="CI2:CJ2"/>
    <mergeCell ref="GL35:GM35"/>
    <mergeCell ref="CT35:CU35"/>
    <mergeCell ref="BY35:BZ35"/>
    <mergeCell ref="A2:B2"/>
    <mergeCell ref="AO35:AP35"/>
    <mergeCell ref="C35:F35"/>
    <mergeCell ref="GR35:GS35"/>
    <mergeCell ref="AY2:AZ2"/>
    <mergeCell ref="CC35:CD35"/>
    <mergeCell ref="DS2:DT2"/>
    <mergeCell ref="FA2:FB2"/>
    <mergeCell ref="AF35:AG35"/>
    <mergeCell ref="DK2:DL2"/>
    <mergeCell ref="X35:Y35"/>
    <mergeCell ref="CE35:CF35"/>
    <mergeCell ref="DM2:DN2"/>
    <mergeCell ref="FU2:FV2"/>
    <mergeCell ref="Z35:AA35"/>
    <mergeCell ref="DV1:EL1"/>
    <mergeCell ref="GG2:GH2"/>
    <mergeCell ref="ES35:ET35"/>
    <mergeCell ref="GI2:GJ2"/>
    <mergeCell ref="EU35:EV35"/>
    <mergeCell ref="G1:W1"/>
    <mergeCell ref="BA35:BB35"/>
    <mergeCell ref="DB2:DC2"/>
    <mergeCell ref="GP2:GQ2"/>
    <mergeCell ref="DE35:DF35"/>
  </mergeCells>
  <conditionalFormatting sqref="G37:HB66">
    <cfRule type="expression" priority="1" dxfId="2">
      <formula>AND(G$36="من",ISNUMBER(F37),NOT(ISNUMBER(G37)))</formula>
    </cfRule>
    <cfRule type="expression" priority="16" dxfId="1">
      <formula>AND(G$36="درجة",ISNUMBER(G37),ISNUMBER(H37),G37&gt;H37)</formula>
    </cfRule>
  </conditionalFormatting>
  <conditionalFormatting sqref="W4:W33">
    <cfRule type="expression" priority="2" dxfId="2">
      <formula>AND($B4&lt;&gt;"",N($W4)=0,SUMPRODUCT(--$G4:$V4)&gt;0)</formula>
    </cfRule>
  </conditionalFormatting>
  <conditionalFormatting sqref="AN4:AN33">
    <cfRule type="expression" priority="3" dxfId="2">
      <formula>AND($B4&lt;&gt;"",N($AN4)=0,SUMPRODUCT(--$X4:$AM4)&gt;0)</formula>
    </cfRule>
  </conditionalFormatting>
  <conditionalFormatting sqref="BE4:BE33">
    <cfRule type="expression" priority="4" dxfId="2">
      <formula>AND($B4&lt;&gt;"",N($BE4)=0,SUMPRODUCT(--$AO4:$BD4)&gt;0)</formula>
    </cfRule>
  </conditionalFormatting>
  <conditionalFormatting sqref="BV4:BV33">
    <cfRule type="expression" priority="5" dxfId="2">
      <formula>AND($B4&lt;&gt;"",N($BV4)=0,SUMPRODUCT(--$BF4:$BU4)&gt;0)</formula>
    </cfRule>
  </conditionalFormatting>
  <conditionalFormatting sqref="CM4:CM33">
    <cfRule type="expression" priority="6" dxfId="2">
      <formula>AND($B4&lt;&gt;"",N($CM4)=0,SUMPRODUCT(--$BW4:$CL4)&gt;0)</formula>
    </cfRule>
  </conditionalFormatting>
  <conditionalFormatting sqref="DD4:DD33">
    <cfRule type="expression" priority="7" dxfId="2">
      <formula>AND($B4&lt;&gt;"",N($DD4)=0,SUMPRODUCT(--$CN4:$DC4)&gt;0)</formula>
    </cfRule>
  </conditionalFormatting>
  <conditionalFormatting sqref="DU4:DU33">
    <cfRule type="expression" priority="8" dxfId="2">
      <formula>AND($B4&lt;&gt;"",N($DU4)=0,SUMPRODUCT(--$DE4:$DT4)&gt;0)</formula>
    </cfRule>
  </conditionalFormatting>
  <conditionalFormatting sqref="EL4:EL33">
    <cfRule type="expression" priority="9" dxfId="2">
      <formula>AND($B4&lt;&gt;"",N($EL4)=0,SUMPRODUCT(--$DV4:$EK4)&gt;0)</formula>
    </cfRule>
  </conditionalFormatting>
  <conditionalFormatting sqref="FC4:FC33">
    <cfRule type="expression" priority="10" dxfId="2">
      <formula>AND($B4&lt;&gt;"",N($FC4)=0,SUMPRODUCT(--$EM4:$FB4)&gt;0)</formula>
    </cfRule>
  </conditionalFormatting>
  <conditionalFormatting sqref="FT4:FT33">
    <cfRule type="expression" priority="11" dxfId="2">
      <formula>AND($B4&lt;&gt;"",N($FT4)=0,SUMPRODUCT(--$FD4:$FS4)&gt;0)</formula>
    </cfRule>
  </conditionalFormatting>
  <conditionalFormatting sqref="GK4:GK33">
    <cfRule type="expression" priority="12" dxfId="2">
      <formula>AND($B4&lt;&gt;"",N($GK4)=0,SUMPRODUCT(--$FU4:$GJ4)&gt;0)</formula>
    </cfRule>
  </conditionalFormatting>
  <conditionalFormatting sqref="HB4:HB33">
    <cfRule type="expression" priority="13" dxfId="2">
      <formula>AND($B4&lt;&gt;"",N($HB4)=0,SUMPRODUCT(--$GL4:$HA4)&gt;0)</formula>
    </cfRule>
  </conditionalFormatting>
  <conditionalFormatting sqref="F4:F33">
    <cfRule type="expression" priority="14" dxfId="2">
      <formula>OR(F4="تجديد",LEFT(F4,4)="عليه")</formula>
    </cfRule>
    <cfRule type="expression" priority="15" dxfId="0">
      <formula>F4="آخر حصة"</formula>
    </cfRule>
  </conditionalFormatting>
  <dataValidations count="1">
    <dataValidation sqref="G37:V66 X37:AM66 AO37:BD66 BF37:BU66 BW37:CL66 CN37:DC66 DE37:DT66 DV37:EK66 EM37:FB66 FD37:FS66 FU37:GJ66 GL37:HA66" showDropDown="0" showInputMessage="0" showErrorMessage="1" allowBlank="1" errorTitle="الدرجة" error="اكتبي رقم بس، بالشكل ده: 8 أو 8.5" type="decimal" operator="between">
      <formula1>0</formula1>
      <formula2>1000</formula2>
    </dataValidation>
  </dataValidations>
  <pageMargins left="0.75" right="0.75" top="1" bottom="1" header="0.5" footer="0.5"/>
</worksheet>
</file>

<file path=xl/worksheets/sheet12.xml><?xml version="1.0" encoding="utf-8"?>
<worksheet xmlns="http://schemas.openxmlformats.org/spreadsheetml/2006/main">
  <sheetPr>
    <tabColor rgb="00E4C1F9"/>
    <outlinePr summaryBelow="1" summaryRight="1"/>
    <pageSetUpPr/>
  </sheetPr>
  <dimension ref="A1:HE66"/>
  <sheetViews>
    <sheetView showGridLines="0" rightToLeft="1" workbookViewId="0">
      <pane xSplit="2" ySplit="2" topLeftCell="C3" activePane="bottomRight" state="frozen"/>
      <selection pane="topRight"/>
      <selection pane="bottomLeft"/>
      <selection pane="bottomRight" activeCell="A1" sqref="A1"/>
    </sheetView>
  </sheetViews>
  <sheetFormatPr baseColWidth="8" defaultRowHeight="15"/>
  <cols>
    <col width="3.57" customWidth="1" min="1" max="1"/>
    <col width="19.29" customWidth="1" min="2" max="2"/>
    <col width="14.71" customWidth="1" min="3" max="3"/>
    <col width="5.86" customWidth="1" min="4" max="4"/>
    <col width="5.86" customWidth="1" min="5" max="5"/>
    <col width="10.71" customWidth="1" min="6" max="6"/>
    <col outlineLevel="1" width="5" customWidth="1" min="7" max="7"/>
    <col outlineLevel="1" width="5" customWidth="1" min="8" max="8"/>
    <col outlineLevel="1" width="5" customWidth="1" min="9" max="9"/>
    <col outlineLevel="1" width="5" customWidth="1" min="10" max="10"/>
    <col outlineLevel="1" width="5" customWidth="1" min="11" max="11"/>
    <col outlineLevel="1" width="5" customWidth="1" min="12" max="12"/>
    <col outlineLevel="1" width="5" customWidth="1" min="13" max="13"/>
    <col outlineLevel="1" width="5" customWidth="1" min="14" max="14"/>
    <col outlineLevel="1" width="5" customWidth="1" min="15" max="15"/>
    <col outlineLevel="1" width="5" customWidth="1" min="16" max="16"/>
    <col outlineLevel="1" width="5" customWidth="1" min="17" max="17"/>
    <col outlineLevel="1" width="5" customWidth="1" min="18" max="18"/>
    <col outlineLevel="1" width="5" customWidth="1" min="19" max="19"/>
    <col outlineLevel="1" width="5" customWidth="1" min="20" max="20"/>
    <col outlineLevel="1" width="5" customWidth="1" min="21" max="21"/>
    <col outlineLevel="1" width="5" customWidth="1" min="22" max="22"/>
    <col width="14.14" customWidth="1" min="23" max="23"/>
    <col outlineLevel="1" width="5" customWidth="1" min="24" max="24"/>
    <col outlineLevel="1" width="5" customWidth="1" min="25" max="25"/>
    <col outlineLevel="1" width="5" customWidth="1" min="26" max="26"/>
    <col outlineLevel="1" width="5" customWidth="1" min="27" max="27"/>
    <col outlineLevel="1" width="5" customWidth="1" min="28" max="28"/>
    <col outlineLevel="1" width="5" customWidth="1" min="29" max="29"/>
    <col outlineLevel="1" width="5" customWidth="1" min="30" max="30"/>
    <col outlineLevel="1" width="5" customWidth="1" min="31" max="31"/>
    <col outlineLevel="1" width="5" customWidth="1" min="32" max="32"/>
    <col outlineLevel="1" width="5" customWidth="1" min="33" max="33"/>
    <col outlineLevel="1" width="5" customWidth="1" min="34" max="34"/>
    <col outlineLevel="1" width="5" customWidth="1" min="35" max="35"/>
    <col outlineLevel="1" width="5" customWidth="1" min="36" max="36"/>
    <col outlineLevel="1" width="5" customWidth="1" min="37" max="37"/>
    <col outlineLevel="1" width="5" customWidth="1" min="38" max="38"/>
    <col outlineLevel="1" width="5" customWidth="1" min="39" max="39"/>
    <col width="14.14" customWidth="1" min="40" max="40"/>
    <col outlineLevel="1" width="5" customWidth="1" min="41" max="41"/>
    <col outlineLevel="1" width="5" customWidth="1" min="42" max="42"/>
    <col outlineLevel="1" width="5" customWidth="1" min="43" max="43"/>
    <col outlineLevel="1" width="5" customWidth="1" min="44" max="44"/>
    <col outlineLevel="1" width="5" customWidth="1" min="45" max="45"/>
    <col outlineLevel="1" width="5" customWidth="1" min="46" max="46"/>
    <col outlineLevel="1" width="5" customWidth="1" min="47" max="47"/>
    <col outlineLevel="1" width="5" customWidth="1" min="48" max="48"/>
    <col outlineLevel="1" width="5" customWidth="1" min="49" max="49"/>
    <col outlineLevel="1" width="5" customWidth="1" min="50" max="50"/>
    <col outlineLevel="1" width="5" customWidth="1" min="51" max="51"/>
    <col outlineLevel="1" width="5" customWidth="1" min="52" max="52"/>
    <col outlineLevel="1" width="5" customWidth="1" min="53" max="53"/>
    <col outlineLevel="1" width="5" customWidth="1" min="54" max="54"/>
    <col outlineLevel="1" width="5" customWidth="1" min="55" max="55"/>
    <col outlineLevel="1" width="5" customWidth="1" min="56" max="56"/>
    <col width="14.14" customWidth="1" min="57" max="57"/>
    <col outlineLevel="1" width="5" customWidth="1" min="58" max="58"/>
    <col outlineLevel="1" width="5" customWidth="1" min="59" max="59"/>
    <col outlineLevel="1" width="5" customWidth="1" min="60" max="60"/>
    <col outlineLevel="1" width="5" customWidth="1" min="61" max="61"/>
    <col outlineLevel="1" width="5" customWidth="1" min="62" max="62"/>
    <col outlineLevel="1" width="5" customWidth="1" min="63" max="63"/>
    <col outlineLevel="1" width="5" customWidth="1" min="64" max="64"/>
    <col outlineLevel="1" width="5" customWidth="1" min="65" max="65"/>
    <col outlineLevel="1" width="5" customWidth="1" min="66" max="66"/>
    <col outlineLevel="1" width="5" customWidth="1" min="67" max="67"/>
    <col outlineLevel="1" width="5" customWidth="1" min="68" max="68"/>
    <col outlineLevel="1" width="5" customWidth="1" min="69" max="69"/>
    <col outlineLevel="1" width="5" customWidth="1" min="70" max="70"/>
    <col outlineLevel="1" width="5" customWidth="1" min="71" max="71"/>
    <col outlineLevel="1" width="5" customWidth="1" min="72" max="72"/>
    <col outlineLevel="1" width="5" customWidth="1" min="73" max="73"/>
    <col width="14.14" customWidth="1" min="74" max="74"/>
    <col outlineLevel="1" width="5" customWidth="1" min="75" max="75"/>
    <col outlineLevel="1" width="5" customWidth="1" min="76" max="76"/>
    <col outlineLevel="1" width="5" customWidth="1" min="77" max="77"/>
    <col outlineLevel="1" width="5" customWidth="1" min="78" max="78"/>
    <col outlineLevel="1" width="5" customWidth="1" min="79" max="79"/>
    <col outlineLevel="1" width="5" customWidth="1" min="80" max="80"/>
    <col outlineLevel="1" width="5" customWidth="1" min="81" max="81"/>
    <col outlineLevel="1" width="5" customWidth="1" min="82" max="82"/>
    <col outlineLevel="1" width="5" customWidth="1" min="83" max="83"/>
    <col outlineLevel="1" width="5" customWidth="1" min="84" max="84"/>
    <col outlineLevel="1" width="5" customWidth="1" min="85" max="85"/>
    <col outlineLevel="1" width="5" customWidth="1" min="86" max="86"/>
    <col outlineLevel="1" width="5" customWidth="1" min="87" max="87"/>
    <col outlineLevel="1" width="5" customWidth="1" min="88" max="88"/>
    <col outlineLevel="1" width="5" customWidth="1" min="89" max="89"/>
    <col outlineLevel="1" width="5" customWidth="1" min="90" max="90"/>
    <col width="14.14" customWidth="1" min="91" max="91"/>
    <col outlineLevel="1" width="5" customWidth="1" min="92" max="92"/>
    <col outlineLevel="1" width="5" customWidth="1" min="93" max="93"/>
    <col outlineLevel="1" width="5" customWidth="1" min="94" max="94"/>
    <col outlineLevel="1" width="5" customWidth="1" min="95" max="95"/>
    <col outlineLevel="1" width="5" customWidth="1" min="96" max="96"/>
    <col outlineLevel="1" width="5" customWidth="1" min="97" max="97"/>
    <col outlineLevel="1" width="5" customWidth="1" min="98" max="98"/>
    <col outlineLevel="1" width="5" customWidth="1" min="99" max="99"/>
    <col outlineLevel="1" width="5" customWidth="1" min="100" max="100"/>
    <col outlineLevel="1" width="5" customWidth="1" min="101" max="101"/>
    <col outlineLevel="1" width="5" customWidth="1" min="102" max="102"/>
    <col outlineLevel="1" width="5" customWidth="1" min="103" max="103"/>
    <col outlineLevel="1" width="5" customWidth="1" min="104" max="104"/>
    <col outlineLevel="1" width="5" customWidth="1" min="105" max="105"/>
    <col outlineLevel="1" width="5" customWidth="1" min="106" max="106"/>
    <col outlineLevel="1" width="5" customWidth="1" min="107" max="107"/>
    <col width="14.14" customWidth="1" min="108" max="108"/>
    <col outlineLevel="1" width="5" customWidth="1" min="109" max="109"/>
    <col outlineLevel="1" width="5" customWidth="1" min="110" max="110"/>
    <col outlineLevel="1" width="5" customWidth="1" min="111" max="111"/>
    <col outlineLevel="1" width="5" customWidth="1" min="112" max="112"/>
    <col outlineLevel="1" width="5" customWidth="1" min="113" max="113"/>
    <col outlineLevel="1" width="5" customWidth="1" min="114" max="114"/>
    <col outlineLevel="1" width="5" customWidth="1" min="115" max="115"/>
    <col outlineLevel="1" width="5" customWidth="1" min="116" max="116"/>
    <col outlineLevel="1" width="5" customWidth="1" min="117" max="117"/>
    <col outlineLevel="1" width="5" customWidth="1" min="118" max="118"/>
    <col outlineLevel="1" width="5" customWidth="1" min="119" max="119"/>
    <col outlineLevel="1" width="5" customWidth="1" min="120" max="120"/>
    <col outlineLevel="1" width="5" customWidth="1" min="121" max="121"/>
    <col outlineLevel="1" width="5" customWidth="1" min="122" max="122"/>
    <col outlineLevel="1" width="5" customWidth="1" min="123" max="123"/>
    <col outlineLevel="1" width="5" customWidth="1" min="124" max="124"/>
    <col width="14.14" customWidth="1" min="125" max="125"/>
    <col outlineLevel="1" width="5" customWidth="1" min="126" max="126"/>
    <col outlineLevel="1" width="5" customWidth="1" min="127" max="127"/>
    <col outlineLevel="1" width="5" customWidth="1" min="128" max="128"/>
    <col outlineLevel="1" width="5" customWidth="1" min="129" max="129"/>
    <col outlineLevel="1" width="5" customWidth="1" min="130" max="130"/>
    <col outlineLevel="1" width="5" customWidth="1" min="131" max="131"/>
    <col outlineLevel="1" width="5" customWidth="1" min="132" max="132"/>
    <col outlineLevel="1" width="5" customWidth="1" min="133" max="133"/>
    <col outlineLevel="1" width="5" customWidth="1" min="134" max="134"/>
    <col outlineLevel="1" width="5" customWidth="1" min="135" max="135"/>
    <col outlineLevel="1" width="5" customWidth="1" min="136" max="136"/>
    <col outlineLevel="1" width="5" customWidth="1" min="137" max="137"/>
    <col outlineLevel="1" width="5" customWidth="1" min="138" max="138"/>
    <col outlineLevel="1" width="5" customWidth="1" min="139" max="139"/>
    <col outlineLevel="1" width="5" customWidth="1" min="140" max="140"/>
    <col outlineLevel="1" width="5" customWidth="1" min="141" max="141"/>
    <col width="14.14" customWidth="1" min="142" max="142"/>
    <col outlineLevel="1" width="5" customWidth="1" min="143" max="143"/>
    <col outlineLevel="1" width="5" customWidth="1" min="144" max="144"/>
    <col outlineLevel="1" width="5" customWidth="1" min="145" max="145"/>
    <col outlineLevel="1" width="5" customWidth="1" min="146" max="146"/>
    <col outlineLevel="1" width="5" customWidth="1" min="147" max="147"/>
    <col outlineLevel="1" width="5" customWidth="1" min="148" max="148"/>
    <col outlineLevel="1" width="5" customWidth="1" min="149" max="149"/>
    <col outlineLevel="1" width="5" customWidth="1" min="150" max="150"/>
    <col outlineLevel="1" width="5" customWidth="1" min="151" max="151"/>
    <col outlineLevel="1" width="5" customWidth="1" min="152" max="152"/>
    <col outlineLevel="1" width="5" customWidth="1" min="153" max="153"/>
    <col outlineLevel="1" width="5" customWidth="1" min="154" max="154"/>
    <col outlineLevel="1" width="5" customWidth="1" min="155" max="155"/>
    <col outlineLevel="1" width="5" customWidth="1" min="156" max="156"/>
    <col outlineLevel="1" width="5" customWidth="1" min="157" max="157"/>
    <col outlineLevel="1" width="5" customWidth="1" min="158" max="158"/>
    <col width="14.14" customWidth="1" min="159" max="159"/>
    <col outlineLevel="1" width="5" customWidth="1" min="160" max="160"/>
    <col outlineLevel="1" width="5" customWidth="1" min="161" max="161"/>
    <col outlineLevel="1" width="5" customWidth="1" min="162" max="162"/>
    <col outlineLevel="1" width="5" customWidth="1" min="163" max="163"/>
    <col outlineLevel="1" width="5" customWidth="1" min="164" max="164"/>
    <col outlineLevel="1" width="5" customWidth="1" min="165" max="165"/>
    <col outlineLevel="1" width="5" customWidth="1" min="166" max="166"/>
    <col outlineLevel="1" width="5" customWidth="1" min="167" max="167"/>
    <col outlineLevel="1" width="5" customWidth="1" min="168" max="168"/>
    <col outlineLevel="1" width="5" customWidth="1" min="169" max="169"/>
    <col outlineLevel="1" width="5" customWidth="1" min="170" max="170"/>
    <col outlineLevel="1" width="5" customWidth="1" min="171" max="171"/>
    <col outlineLevel="1" width="5" customWidth="1" min="172" max="172"/>
    <col outlineLevel="1" width="5" customWidth="1" min="173" max="173"/>
    <col outlineLevel="1" width="5" customWidth="1" min="174" max="174"/>
    <col outlineLevel="1" width="5" customWidth="1" min="175" max="175"/>
    <col width="14.14" customWidth="1" min="176" max="176"/>
    <col outlineLevel="1" width="5" customWidth="1" min="177" max="177"/>
    <col outlineLevel="1" width="5" customWidth="1" min="178" max="178"/>
    <col outlineLevel="1" width="5" customWidth="1" min="179" max="179"/>
    <col outlineLevel="1" width="5" customWidth="1" min="180" max="180"/>
    <col outlineLevel="1" width="5" customWidth="1" min="181" max="181"/>
    <col outlineLevel="1" width="5" customWidth="1" min="182" max="182"/>
    <col outlineLevel="1" width="5" customWidth="1" min="183" max="183"/>
    <col outlineLevel="1" width="5" customWidth="1" min="184" max="184"/>
    <col outlineLevel="1" width="5" customWidth="1" min="185" max="185"/>
    <col outlineLevel="1" width="5" customWidth="1" min="186" max="186"/>
    <col outlineLevel="1" width="5" customWidth="1" min="187" max="187"/>
    <col outlineLevel="1" width="5" customWidth="1" min="188" max="188"/>
    <col outlineLevel="1" width="5" customWidth="1" min="189" max="189"/>
    <col outlineLevel="1" width="5" customWidth="1" min="190" max="190"/>
    <col outlineLevel="1" width="5" customWidth="1" min="191" max="191"/>
    <col outlineLevel="1" width="5" customWidth="1" min="192" max="192"/>
    <col width="14.14" customWidth="1" min="193" max="193"/>
    <col outlineLevel="1" width="5" customWidth="1" min="194" max="194"/>
    <col outlineLevel="1" width="5" customWidth="1" min="195" max="195"/>
    <col outlineLevel="1" width="5" customWidth="1" min="196" max="196"/>
    <col outlineLevel="1" width="5" customWidth="1" min="197" max="197"/>
    <col outlineLevel="1" width="5" customWidth="1" min="198" max="198"/>
    <col outlineLevel="1" width="5" customWidth="1" min="199" max="199"/>
    <col outlineLevel="1" width="5" customWidth="1" min="200" max="200"/>
    <col outlineLevel="1" width="5" customWidth="1" min="201" max="201"/>
    <col outlineLevel="1" width="5" customWidth="1" min="202" max="202"/>
    <col outlineLevel="1" width="5" customWidth="1" min="203" max="203"/>
    <col outlineLevel="1" width="5" customWidth="1" min="204" max="204"/>
    <col outlineLevel="1" width="5" customWidth="1" min="205" max="205"/>
    <col outlineLevel="1" width="5" customWidth="1" min="206" max="206"/>
    <col outlineLevel="1" width="5" customWidth="1" min="207" max="207"/>
    <col outlineLevel="1" width="5" customWidth="1" min="208" max="208"/>
    <col outlineLevel="1" width="5" customWidth="1" min="209" max="209"/>
    <col width="14.14" customWidth="1" min="210" max="210"/>
    <col hidden="1" width="7.86" customWidth="1" min="211" max="211"/>
    <col hidden="1" width="7.86" customWidth="1" min="212" max="212"/>
    <col hidden="1" width="7.86" customWidth="1" min="213" max="213"/>
    <col hidden="1" width="7.86" customWidth="1" min="214" max="214"/>
    <col hidden="1" width="7.86" customWidth="1" min="215" max="215"/>
  </cols>
  <sheetData>
    <row r="1" ht="24" customHeight="1">
      <c r="A1" s="40" t="inlineStr">
        <is>
          <t>برايفت</t>
        </is>
      </c>
      <c r="B1" s="4" t="n"/>
      <c r="C1" s="41" t="inlineStr">
        <is>
          <t>كل طالب بيتحسب لوحده: مع كل حصة علّمي المربع اللي عليه الدور</t>
        </is>
      </c>
      <c r="D1" s="42" t="n"/>
      <c r="E1" s="42" t="n"/>
      <c r="F1" s="43" t="n"/>
      <c r="G1" s="44" t="inlineStr">
        <is>
          <t>الشهر 1 (8 حصص)</t>
        </is>
      </c>
      <c r="H1" s="13" t="n"/>
      <c r="I1" s="13" t="n"/>
      <c r="J1" s="13" t="n"/>
      <c r="K1" s="13" t="n"/>
      <c r="L1" s="13" t="n"/>
      <c r="M1" s="13" t="n"/>
      <c r="N1" s="13" t="n"/>
      <c r="O1" s="13" t="n"/>
      <c r="P1" s="13" t="n"/>
      <c r="Q1" s="13" t="n"/>
      <c r="R1" s="13" t="n"/>
      <c r="S1" s="13" t="n"/>
      <c r="T1" s="13" t="n"/>
      <c r="U1" s="13" t="n"/>
      <c r="V1" s="13" t="n"/>
      <c r="W1" s="4" t="n"/>
      <c r="X1" s="45" t="inlineStr">
        <is>
          <t>الشهر 2 (8 حصص)</t>
        </is>
      </c>
      <c r="Y1" s="13" t="n"/>
      <c r="Z1" s="13" t="n"/>
      <c r="AA1" s="13" t="n"/>
      <c r="AB1" s="13" t="n"/>
      <c r="AC1" s="13" t="n"/>
      <c r="AD1" s="13" t="n"/>
      <c r="AE1" s="13" t="n"/>
      <c r="AF1" s="13" t="n"/>
      <c r="AG1" s="13" t="n"/>
      <c r="AH1" s="13" t="n"/>
      <c r="AI1" s="13" t="n"/>
      <c r="AJ1" s="13" t="n"/>
      <c r="AK1" s="13" t="n"/>
      <c r="AL1" s="13" t="n"/>
      <c r="AM1" s="13" t="n"/>
      <c r="AN1" s="4" t="n"/>
      <c r="AO1" s="46" t="inlineStr">
        <is>
          <t>الشهر 3 (8 حصص)</t>
        </is>
      </c>
      <c r="AP1" s="13" t="n"/>
      <c r="AQ1" s="13" t="n"/>
      <c r="AR1" s="13" t="n"/>
      <c r="AS1" s="13" t="n"/>
      <c r="AT1" s="13" t="n"/>
      <c r="AU1" s="13" t="n"/>
      <c r="AV1" s="13" t="n"/>
      <c r="AW1" s="13" t="n"/>
      <c r="AX1" s="13" t="n"/>
      <c r="AY1" s="13" t="n"/>
      <c r="AZ1" s="13" t="n"/>
      <c r="BA1" s="13" t="n"/>
      <c r="BB1" s="13" t="n"/>
      <c r="BC1" s="13" t="n"/>
      <c r="BD1" s="13" t="n"/>
      <c r="BE1" s="4" t="n"/>
      <c r="BF1" s="47" t="inlineStr">
        <is>
          <t>الشهر 4 (8 حصص)</t>
        </is>
      </c>
      <c r="BG1" s="13" t="n"/>
      <c r="BH1" s="13" t="n"/>
      <c r="BI1" s="13" t="n"/>
      <c r="BJ1" s="13" t="n"/>
      <c r="BK1" s="13" t="n"/>
      <c r="BL1" s="13" t="n"/>
      <c r="BM1" s="13" t="n"/>
      <c r="BN1" s="13" t="n"/>
      <c r="BO1" s="13" t="n"/>
      <c r="BP1" s="13" t="n"/>
      <c r="BQ1" s="13" t="n"/>
      <c r="BR1" s="13" t="n"/>
      <c r="BS1" s="13" t="n"/>
      <c r="BT1" s="13" t="n"/>
      <c r="BU1" s="13" t="n"/>
      <c r="BV1" s="4" t="n"/>
      <c r="BW1" s="48" t="inlineStr">
        <is>
          <t>الشهر 5 (8 حصص)</t>
        </is>
      </c>
      <c r="BX1" s="13" t="n"/>
      <c r="BY1" s="13" t="n"/>
      <c r="BZ1" s="13" t="n"/>
      <c r="CA1" s="13" t="n"/>
      <c r="CB1" s="13" t="n"/>
      <c r="CC1" s="13" t="n"/>
      <c r="CD1" s="13" t="n"/>
      <c r="CE1" s="13" t="n"/>
      <c r="CF1" s="13" t="n"/>
      <c r="CG1" s="13" t="n"/>
      <c r="CH1" s="13" t="n"/>
      <c r="CI1" s="13" t="n"/>
      <c r="CJ1" s="13" t="n"/>
      <c r="CK1" s="13" t="n"/>
      <c r="CL1" s="13" t="n"/>
      <c r="CM1" s="4" t="n"/>
      <c r="CN1" s="49" t="inlineStr">
        <is>
          <t>الشهر 6 (8 حصص)</t>
        </is>
      </c>
      <c r="CO1" s="13" t="n"/>
      <c r="CP1" s="13" t="n"/>
      <c r="CQ1" s="13" t="n"/>
      <c r="CR1" s="13" t="n"/>
      <c r="CS1" s="13" t="n"/>
      <c r="CT1" s="13" t="n"/>
      <c r="CU1" s="13" t="n"/>
      <c r="CV1" s="13" t="n"/>
      <c r="CW1" s="13" t="n"/>
      <c r="CX1" s="13" t="n"/>
      <c r="CY1" s="13" t="n"/>
      <c r="CZ1" s="13" t="n"/>
      <c r="DA1" s="13" t="n"/>
      <c r="DB1" s="13" t="n"/>
      <c r="DC1" s="13" t="n"/>
      <c r="DD1" s="4" t="n"/>
      <c r="DE1" s="50" t="inlineStr">
        <is>
          <t>الشهر 7 (8 حصص)</t>
        </is>
      </c>
      <c r="DF1" s="13" t="n"/>
      <c r="DG1" s="13" t="n"/>
      <c r="DH1" s="13" t="n"/>
      <c r="DI1" s="13" t="n"/>
      <c r="DJ1" s="13" t="n"/>
      <c r="DK1" s="13" t="n"/>
      <c r="DL1" s="13" t="n"/>
      <c r="DM1" s="13" t="n"/>
      <c r="DN1" s="13" t="n"/>
      <c r="DO1" s="13" t="n"/>
      <c r="DP1" s="13" t="n"/>
      <c r="DQ1" s="13" t="n"/>
      <c r="DR1" s="13" t="n"/>
      <c r="DS1" s="13" t="n"/>
      <c r="DT1" s="13" t="n"/>
      <c r="DU1" s="4" t="n"/>
      <c r="DV1" s="51" t="inlineStr">
        <is>
          <t>الشهر 8 (8 حصص)</t>
        </is>
      </c>
      <c r="DW1" s="13" t="n"/>
      <c r="DX1" s="13" t="n"/>
      <c r="DY1" s="13" t="n"/>
      <c r="DZ1" s="13" t="n"/>
      <c r="EA1" s="13" t="n"/>
      <c r="EB1" s="13" t="n"/>
      <c r="EC1" s="13" t="n"/>
      <c r="ED1" s="13" t="n"/>
      <c r="EE1" s="13" t="n"/>
      <c r="EF1" s="13" t="n"/>
      <c r="EG1" s="13" t="n"/>
      <c r="EH1" s="13" t="n"/>
      <c r="EI1" s="13" t="n"/>
      <c r="EJ1" s="13" t="n"/>
      <c r="EK1" s="13" t="n"/>
      <c r="EL1" s="4" t="n"/>
      <c r="EM1" s="52" t="inlineStr">
        <is>
          <t>الشهر 9 (8 حصص)</t>
        </is>
      </c>
      <c r="EN1" s="13" t="n"/>
      <c r="EO1" s="13" t="n"/>
      <c r="EP1" s="13" t="n"/>
      <c r="EQ1" s="13" t="n"/>
      <c r="ER1" s="13" t="n"/>
      <c r="ES1" s="13" t="n"/>
      <c r="ET1" s="13" t="n"/>
      <c r="EU1" s="13" t="n"/>
      <c r="EV1" s="13" t="n"/>
      <c r="EW1" s="13" t="n"/>
      <c r="EX1" s="13" t="n"/>
      <c r="EY1" s="13" t="n"/>
      <c r="EZ1" s="13" t="n"/>
      <c r="FA1" s="13" t="n"/>
      <c r="FB1" s="13" t="n"/>
      <c r="FC1" s="4" t="n"/>
      <c r="FD1" s="53" t="inlineStr">
        <is>
          <t>الشهر 10 (8 حصص)</t>
        </is>
      </c>
      <c r="FE1" s="13" t="n"/>
      <c r="FF1" s="13" t="n"/>
      <c r="FG1" s="13" t="n"/>
      <c r="FH1" s="13" t="n"/>
      <c r="FI1" s="13" t="n"/>
      <c r="FJ1" s="13" t="n"/>
      <c r="FK1" s="13" t="n"/>
      <c r="FL1" s="13" t="n"/>
      <c r="FM1" s="13" t="n"/>
      <c r="FN1" s="13" t="n"/>
      <c r="FO1" s="13" t="n"/>
      <c r="FP1" s="13" t="n"/>
      <c r="FQ1" s="13" t="n"/>
      <c r="FR1" s="13" t="n"/>
      <c r="FS1" s="13" t="n"/>
      <c r="FT1" s="4" t="n"/>
      <c r="FU1" s="54" t="inlineStr">
        <is>
          <t>الشهر 11 (8 حصص)</t>
        </is>
      </c>
      <c r="FV1" s="13" t="n"/>
      <c r="FW1" s="13" t="n"/>
      <c r="FX1" s="13" t="n"/>
      <c r="FY1" s="13" t="n"/>
      <c r="FZ1" s="13" t="n"/>
      <c r="GA1" s="13" t="n"/>
      <c r="GB1" s="13" t="n"/>
      <c r="GC1" s="13" t="n"/>
      <c r="GD1" s="13" t="n"/>
      <c r="GE1" s="13" t="n"/>
      <c r="GF1" s="13" t="n"/>
      <c r="GG1" s="13" t="n"/>
      <c r="GH1" s="13" t="n"/>
      <c r="GI1" s="13" t="n"/>
      <c r="GJ1" s="13" t="n"/>
      <c r="GK1" s="4" t="n"/>
      <c r="GL1" s="55" t="inlineStr">
        <is>
          <t>الشهر 12 (8 حصص)</t>
        </is>
      </c>
      <c r="GM1" s="13" t="n"/>
      <c r="GN1" s="13" t="n"/>
      <c r="GO1" s="13" t="n"/>
      <c r="GP1" s="13" t="n"/>
      <c r="GQ1" s="13" t="n"/>
      <c r="GR1" s="13" t="n"/>
      <c r="GS1" s="13" t="n"/>
      <c r="GT1" s="13" t="n"/>
      <c r="GU1" s="13" t="n"/>
      <c r="GV1" s="13" t="n"/>
      <c r="GW1" s="13" t="n"/>
      <c r="GX1" s="13" t="n"/>
      <c r="GY1" s="13" t="n"/>
      <c r="GZ1" s="13" t="n"/>
      <c r="HA1" s="13" t="n"/>
      <c r="HB1" s="4" t="n"/>
      <c r="HE1">
        <f>SUMPRODUCT(--($B$4:$B$33&lt;&gt;""))</f>
        <v>0</v>
      </c>
    </row>
    <row r="2" ht="18" customHeight="1">
      <c r="A2" s="56" t="str">
        <f>"عدد الطلاب: "&amp;$HE$1</f>
        <v>عدد الطلاب: 0</v>
      </c>
      <c r="B2" s="4" t="n"/>
      <c r="C2" s="71" t="n"/>
      <c r="D2" s="73" t="n"/>
      <c r="E2" s="73" t="n"/>
      <c r="F2" s="72" t="n"/>
      <c r="G2" s="59" t="inlineStr">
        <is>
          <t>حصة 1</t>
        </is>
      </c>
      <c r="H2" s="4" t="n"/>
      <c r="I2" s="59" t="inlineStr">
        <is>
          <t>حصة 2</t>
        </is>
      </c>
      <c r="J2" s="4" t="n"/>
      <c r="K2" s="59" t="inlineStr">
        <is>
          <t>حصة 3</t>
        </is>
      </c>
      <c r="L2" s="4" t="n"/>
      <c r="M2" s="59" t="inlineStr">
        <is>
          <t>حصة 4</t>
        </is>
      </c>
      <c r="N2" s="4" t="n"/>
      <c r="O2" s="59" t="inlineStr">
        <is>
          <t>حصة 5</t>
        </is>
      </c>
      <c r="P2" s="4" t="n"/>
      <c r="Q2" s="59" t="inlineStr">
        <is>
          <t>حصة 6</t>
        </is>
      </c>
      <c r="R2" s="4" t="n"/>
      <c r="S2" s="59" t="inlineStr">
        <is>
          <t>حصة 7</t>
        </is>
      </c>
      <c r="T2" s="4" t="n"/>
      <c r="U2" s="59" t="inlineStr">
        <is>
          <t>حصة 8</t>
        </is>
      </c>
      <c r="V2" s="4" t="n"/>
      <c r="W2" s="59" t="inlineStr">
        <is>
          <t>المصاريف</t>
        </is>
      </c>
      <c r="X2" s="60" t="inlineStr">
        <is>
          <t>حصة 1</t>
        </is>
      </c>
      <c r="Y2" s="4" t="n"/>
      <c r="Z2" s="60" t="inlineStr">
        <is>
          <t>حصة 2</t>
        </is>
      </c>
      <c r="AA2" s="4" t="n"/>
      <c r="AB2" s="60" t="inlineStr">
        <is>
          <t>حصة 3</t>
        </is>
      </c>
      <c r="AC2" s="4" t="n"/>
      <c r="AD2" s="60" t="inlineStr">
        <is>
          <t>حصة 4</t>
        </is>
      </c>
      <c r="AE2" s="4" t="n"/>
      <c r="AF2" s="60" t="inlineStr">
        <is>
          <t>حصة 5</t>
        </is>
      </c>
      <c r="AG2" s="4" t="n"/>
      <c r="AH2" s="60" t="inlineStr">
        <is>
          <t>حصة 6</t>
        </is>
      </c>
      <c r="AI2" s="4" t="n"/>
      <c r="AJ2" s="60" t="inlineStr">
        <is>
          <t>حصة 7</t>
        </is>
      </c>
      <c r="AK2" s="4" t="n"/>
      <c r="AL2" s="60" t="inlineStr">
        <is>
          <t>حصة 8</t>
        </is>
      </c>
      <c r="AM2" s="4" t="n"/>
      <c r="AN2" s="60" t="inlineStr">
        <is>
          <t>المصاريف</t>
        </is>
      </c>
      <c r="AO2" s="61" t="inlineStr">
        <is>
          <t>حصة 1</t>
        </is>
      </c>
      <c r="AP2" s="4" t="n"/>
      <c r="AQ2" s="61" t="inlineStr">
        <is>
          <t>حصة 2</t>
        </is>
      </c>
      <c r="AR2" s="4" t="n"/>
      <c r="AS2" s="61" t="inlineStr">
        <is>
          <t>حصة 3</t>
        </is>
      </c>
      <c r="AT2" s="4" t="n"/>
      <c r="AU2" s="61" t="inlineStr">
        <is>
          <t>حصة 4</t>
        </is>
      </c>
      <c r="AV2" s="4" t="n"/>
      <c r="AW2" s="61" t="inlineStr">
        <is>
          <t>حصة 5</t>
        </is>
      </c>
      <c r="AX2" s="4" t="n"/>
      <c r="AY2" s="61" t="inlineStr">
        <is>
          <t>حصة 6</t>
        </is>
      </c>
      <c r="AZ2" s="4" t="n"/>
      <c r="BA2" s="61" t="inlineStr">
        <is>
          <t>حصة 7</t>
        </is>
      </c>
      <c r="BB2" s="4" t="n"/>
      <c r="BC2" s="61" t="inlineStr">
        <is>
          <t>حصة 8</t>
        </is>
      </c>
      <c r="BD2" s="4" t="n"/>
      <c r="BE2" s="61" t="inlineStr">
        <is>
          <t>المصاريف</t>
        </is>
      </c>
      <c r="BF2" s="62" t="inlineStr">
        <is>
          <t>حصة 1</t>
        </is>
      </c>
      <c r="BG2" s="4" t="n"/>
      <c r="BH2" s="62" t="inlineStr">
        <is>
          <t>حصة 2</t>
        </is>
      </c>
      <c r="BI2" s="4" t="n"/>
      <c r="BJ2" s="62" t="inlineStr">
        <is>
          <t>حصة 3</t>
        </is>
      </c>
      <c r="BK2" s="4" t="n"/>
      <c r="BL2" s="62" t="inlineStr">
        <is>
          <t>حصة 4</t>
        </is>
      </c>
      <c r="BM2" s="4" t="n"/>
      <c r="BN2" s="62" t="inlineStr">
        <is>
          <t>حصة 5</t>
        </is>
      </c>
      <c r="BO2" s="4" t="n"/>
      <c r="BP2" s="62" t="inlineStr">
        <is>
          <t>حصة 6</t>
        </is>
      </c>
      <c r="BQ2" s="4" t="n"/>
      <c r="BR2" s="62" t="inlineStr">
        <is>
          <t>حصة 7</t>
        </is>
      </c>
      <c r="BS2" s="4" t="n"/>
      <c r="BT2" s="62" t="inlineStr">
        <is>
          <t>حصة 8</t>
        </is>
      </c>
      <c r="BU2" s="4" t="n"/>
      <c r="BV2" s="62" t="inlineStr">
        <is>
          <t>المصاريف</t>
        </is>
      </c>
      <c r="BW2" s="63" t="inlineStr">
        <is>
          <t>حصة 1</t>
        </is>
      </c>
      <c r="BX2" s="4" t="n"/>
      <c r="BY2" s="63" t="inlineStr">
        <is>
          <t>حصة 2</t>
        </is>
      </c>
      <c r="BZ2" s="4" t="n"/>
      <c r="CA2" s="63" t="inlineStr">
        <is>
          <t>حصة 3</t>
        </is>
      </c>
      <c r="CB2" s="4" t="n"/>
      <c r="CC2" s="63" t="inlineStr">
        <is>
          <t>حصة 4</t>
        </is>
      </c>
      <c r="CD2" s="4" t="n"/>
      <c r="CE2" s="63" t="inlineStr">
        <is>
          <t>حصة 5</t>
        </is>
      </c>
      <c r="CF2" s="4" t="n"/>
      <c r="CG2" s="63" t="inlineStr">
        <is>
          <t>حصة 6</t>
        </is>
      </c>
      <c r="CH2" s="4" t="n"/>
      <c r="CI2" s="63" t="inlineStr">
        <is>
          <t>حصة 7</t>
        </is>
      </c>
      <c r="CJ2" s="4" t="n"/>
      <c r="CK2" s="63" t="inlineStr">
        <is>
          <t>حصة 8</t>
        </is>
      </c>
      <c r="CL2" s="4" t="n"/>
      <c r="CM2" s="63" t="inlineStr">
        <is>
          <t>المصاريف</t>
        </is>
      </c>
      <c r="CN2" s="64" t="inlineStr">
        <is>
          <t>حصة 1</t>
        </is>
      </c>
      <c r="CO2" s="4" t="n"/>
      <c r="CP2" s="64" t="inlineStr">
        <is>
          <t>حصة 2</t>
        </is>
      </c>
      <c r="CQ2" s="4" t="n"/>
      <c r="CR2" s="64" t="inlineStr">
        <is>
          <t>حصة 3</t>
        </is>
      </c>
      <c r="CS2" s="4" t="n"/>
      <c r="CT2" s="64" t="inlineStr">
        <is>
          <t>حصة 4</t>
        </is>
      </c>
      <c r="CU2" s="4" t="n"/>
      <c r="CV2" s="64" t="inlineStr">
        <is>
          <t>حصة 5</t>
        </is>
      </c>
      <c r="CW2" s="4" t="n"/>
      <c r="CX2" s="64" t="inlineStr">
        <is>
          <t>حصة 6</t>
        </is>
      </c>
      <c r="CY2" s="4" t="n"/>
      <c r="CZ2" s="64" t="inlineStr">
        <is>
          <t>حصة 7</t>
        </is>
      </c>
      <c r="DA2" s="4" t="n"/>
      <c r="DB2" s="64" t="inlineStr">
        <is>
          <t>حصة 8</t>
        </is>
      </c>
      <c r="DC2" s="4" t="n"/>
      <c r="DD2" s="64" t="inlineStr">
        <is>
          <t>المصاريف</t>
        </is>
      </c>
      <c r="DE2" s="65" t="inlineStr">
        <is>
          <t>حصة 1</t>
        </is>
      </c>
      <c r="DF2" s="4" t="n"/>
      <c r="DG2" s="65" t="inlineStr">
        <is>
          <t>حصة 2</t>
        </is>
      </c>
      <c r="DH2" s="4" t="n"/>
      <c r="DI2" s="65" t="inlineStr">
        <is>
          <t>حصة 3</t>
        </is>
      </c>
      <c r="DJ2" s="4" t="n"/>
      <c r="DK2" s="65" t="inlineStr">
        <is>
          <t>حصة 4</t>
        </is>
      </c>
      <c r="DL2" s="4" t="n"/>
      <c r="DM2" s="65" t="inlineStr">
        <is>
          <t>حصة 5</t>
        </is>
      </c>
      <c r="DN2" s="4" t="n"/>
      <c r="DO2" s="65" t="inlineStr">
        <is>
          <t>حصة 6</t>
        </is>
      </c>
      <c r="DP2" s="4" t="n"/>
      <c r="DQ2" s="65" t="inlineStr">
        <is>
          <t>حصة 7</t>
        </is>
      </c>
      <c r="DR2" s="4" t="n"/>
      <c r="DS2" s="65" t="inlineStr">
        <is>
          <t>حصة 8</t>
        </is>
      </c>
      <c r="DT2" s="4" t="n"/>
      <c r="DU2" s="65" t="inlineStr">
        <is>
          <t>المصاريف</t>
        </is>
      </c>
      <c r="DV2" s="66" t="inlineStr">
        <is>
          <t>حصة 1</t>
        </is>
      </c>
      <c r="DW2" s="4" t="n"/>
      <c r="DX2" s="66" t="inlineStr">
        <is>
          <t>حصة 2</t>
        </is>
      </c>
      <c r="DY2" s="4" t="n"/>
      <c r="DZ2" s="66" t="inlineStr">
        <is>
          <t>حصة 3</t>
        </is>
      </c>
      <c r="EA2" s="4" t="n"/>
      <c r="EB2" s="66" t="inlineStr">
        <is>
          <t>حصة 4</t>
        </is>
      </c>
      <c r="EC2" s="4" t="n"/>
      <c r="ED2" s="66" t="inlineStr">
        <is>
          <t>حصة 5</t>
        </is>
      </c>
      <c r="EE2" s="4" t="n"/>
      <c r="EF2" s="66" t="inlineStr">
        <is>
          <t>حصة 6</t>
        </is>
      </c>
      <c r="EG2" s="4" t="n"/>
      <c r="EH2" s="66" t="inlineStr">
        <is>
          <t>حصة 7</t>
        </is>
      </c>
      <c r="EI2" s="4" t="n"/>
      <c r="EJ2" s="66" t="inlineStr">
        <is>
          <t>حصة 8</t>
        </is>
      </c>
      <c r="EK2" s="4" t="n"/>
      <c r="EL2" s="66" t="inlineStr">
        <is>
          <t>المصاريف</t>
        </is>
      </c>
      <c r="EM2" s="67" t="inlineStr">
        <is>
          <t>حصة 1</t>
        </is>
      </c>
      <c r="EN2" s="4" t="n"/>
      <c r="EO2" s="67" t="inlineStr">
        <is>
          <t>حصة 2</t>
        </is>
      </c>
      <c r="EP2" s="4" t="n"/>
      <c r="EQ2" s="67" t="inlineStr">
        <is>
          <t>حصة 3</t>
        </is>
      </c>
      <c r="ER2" s="4" t="n"/>
      <c r="ES2" s="67" t="inlineStr">
        <is>
          <t>حصة 4</t>
        </is>
      </c>
      <c r="ET2" s="4" t="n"/>
      <c r="EU2" s="67" t="inlineStr">
        <is>
          <t>حصة 5</t>
        </is>
      </c>
      <c r="EV2" s="4" t="n"/>
      <c r="EW2" s="67" t="inlineStr">
        <is>
          <t>حصة 6</t>
        </is>
      </c>
      <c r="EX2" s="4" t="n"/>
      <c r="EY2" s="67" t="inlineStr">
        <is>
          <t>حصة 7</t>
        </is>
      </c>
      <c r="EZ2" s="4" t="n"/>
      <c r="FA2" s="67" t="inlineStr">
        <is>
          <t>حصة 8</t>
        </is>
      </c>
      <c r="FB2" s="4" t="n"/>
      <c r="FC2" s="67" t="inlineStr">
        <is>
          <t>المصاريف</t>
        </is>
      </c>
      <c r="FD2" s="68" t="inlineStr">
        <is>
          <t>حصة 1</t>
        </is>
      </c>
      <c r="FE2" s="4" t="n"/>
      <c r="FF2" s="68" t="inlineStr">
        <is>
          <t>حصة 2</t>
        </is>
      </c>
      <c r="FG2" s="4" t="n"/>
      <c r="FH2" s="68" t="inlineStr">
        <is>
          <t>حصة 3</t>
        </is>
      </c>
      <c r="FI2" s="4" t="n"/>
      <c r="FJ2" s="68" t="inlineStr">
        <is>
          <t>حصة 4</t>
        </is>
      </c>
      <c r="FK2" s="4" t="n"/>
      <c r="FL2" s="68" t="inlineStr">
        <is>
          <t>حصة 5</t>
        </is>
      </c>
      <c r="FM2" s="4" t="n"/>
      <c r="FN2" s="68" t="inlineStr">
        <is>
          <t>حصة 6</t>
        </is>
      </c>
      <c r="FO2" s="4" t="n"/>
      <c r="FP2" s="68" t="inlineStr">
        <is>
          <t>حصة 7</t>
        </is>
      </c>
      <c r="FQ2" s="4" t="n"/>
      <c r="FR2" s="68" t="inlineStr">
        <is>
          <t>حصة 8</t>
        </is>
      </c>
      <c r="FS2" s="4" t="n"/>
      <c r="FT2" s="68" t="inlineStr">
        <is>
          <t>المصاريف</t>
        </is>
      </c>
      <c r="FU2" s="69" t="inlineStr">
        <is>
          <t>حصة 1</t>
        </is>
      </c>
      <c r="FV2" s="4" t="n"/>
      <c r="FW2" s="69" t="inlineStr">
        <is>
          <t>حصة 2</t>
        </is>
      </c>
      <c r="FX2" s="4" t="n"/>
      <c r="FY2" s="69" t="inlineStr">
        <is>
          <t>حصة 3</t>
        </is>
      </c>
      <c r="FZ2" s="4" t="n"/>
      <c r="GA2" s="69" t="inlineStr">
        <is>
          <t>حصة 4</t>
        </is>
      </c>
      <c r="GB2" s="4" t="n"/>
      <c r="GC2" s="69" t="inlineStr">
        <is>
          <t>حصة 5</t>
        </is>
      </c>
      <c r="GD2" s="4" t="n"/>
      <c r="GE2" s="69" t="inlineStr">
        <is>
          <t>حصة 6</t>
        </is>
      </c>
      <c r="GF2" s="4" t="n"/>
      <c r="GG2" s="69" t="inlineStr">
        <is>
          <t>حصة 7</t>
        </is>
      </c>
      <c r="GH2" s="4" t="n"/>
      <c r="GI2" s="69" t="inlineStr">
        <is>
          <t>حصة 8</t>
        </is>
      </c>
      <c r="GJ2" s="4" t="n"/>
      <c r="GK2" s="69" t="inlineStr">
        <is>
          <t>المصاريف</t>
        </is>
      </c>
      <c r="GL2" s="70" t="inlineStr">
        <is>
          <t>حصة 1</t>
        </is>
      </c>
      <c r="GM2" s="4" t="n"/>
      <c r="GN2" s="70" t="inlineStr">
        <is>
          <t>حصة 2</t>
        </is>
      </c>
      <c r="GO2" s="4" t="n"/>
      <c r="GP2" s="70" t="inlineStr">
        <is>
          <t>حصة 3</t>
        </is>
      </c>
      <c r="GQ2" s="4" t="n"/>
      <c r="GR2" s="70" t="inlineStr">
        <is>
          <t>حصة 4</t>
        </is>
      </c>
      <c r="GS2" s="4" t="n"/>
      <c r="GT2" s="70" t="inlineStr">
        <is>
          <t>حصة 5</t>
        </is>
      </c>
      <c r="GU2" s="4" t="n"/>
      <c r="GV2" s="70" t="inlineStr">
        <is>
          <t>حصة 6</t>
        </is>
      </c>
      <c r="GW2" s="4" t="n"/>
      <c r="GX2" s="70" t="inlineStr">
        <is>
          <t>حصة 7</t>
        </is>
      </c>
      <c r="GY2" s="4" t="n"/>
      <c r="GZ2" s="70" t="inlineStr">
        <is>
          <t>حصة 8</t>
        </is>
      </c>
      <c r="HA2" s="4" t="n"/>
      <c r="HB2" s="70" t="inlineStr">
        <is>
          <t>المصاريف</t>
        </is>
      </c>
    </row>
    <row r="3" ht="16.5" customHeight="1">
      <c r="A3" s="76" t="inlineStr">
        <is>
          <t>م</t>
        </is>
      </c>
      <c r="B3" s="76" t="inlineStr">
        <is>
          <t>الاسم</t>
        </is>
      </c>
      <c r="C3" s="76" t="inlineStr">
        <is>
          <t>ولي الأمر</t>
        </is>
      </c>
      <c r="D3" s="76" t="inlineStr">
        <is>
          <t>الحصة</t>
        </is>
      </c>
      <c r="E3" s="76" t="inlineStr">
        <is>
          <t>باقي</t>
        </is>
      </c>
      <c r="F3" s="76" t="inlineStr">
        <is>
          <t>الحالة</t>
        </is>
      </c>
      <c r="G3" s="8" t="inlineStr">
        <is>
          <t>ح</t>
        </is>
      </c>
      <c r="H3" s="77" t="inlineStr">
        <is>
          <t>و</t>
        </is>
      </c>
      <c r="I3" s="8" t="inlineStr">
        <is>
          <t>ح</t>
        </is>
      </c>
      <c r="J3" s="77" t="inlineStr">
        <is>
          <t>و</t>
        </is>
      </c>
      <c r="K3" s="8" t="inlineStr">
        <is>
          <t>ح</t>
        </is>
      </c>
      <c r="L3" s="77" t="inlineStr">
        <is>
          <t>و</t>
        </is>
      </c>
      <c r="M3" s="8" t="inlineStr">
        <is>
          <t>ح</t>
        </is>
      </c>
      <c r="N3" s="77" t="inlineStr">
        <is>
          <t>و</t>
        </is>
      </c>
      <c r="O3" s="8" t="inlineStr">
        <is>
          <t>ح</t>
        </is>
      </c>
      <c r="P3" s="77" t="inlineStr">
        <is>
          <t>و</t>
        </is>
      </c>
      <c r="Q3" s="8" t="inlineStr">
        <is>
          <t>ح</t>
        </is>
      </c>
      <c r="R3" s="77" t="inlineStr">
        <is>
          <t>و</t>
        </is>
      </c>
      <c r="S3" s="8" t="inlineStr">
        <is>
          <t>ح</t>
        </is>
      </c>
      <c r="T3" s="77" t="inlineStr">
        <is>
          <t>و</t>
        </is>
      </c>
      <c r="U3" s="8" t="inlineStr">
        <is>
          <t>ح</t>
        </is>
      </c>
      <c r="V3" s="77" t="inlineStr">
        <is>
          <t>و</t>
        </is>
      </c>
      <c r="W3" s="77" t="inlineStr">
        <is>
          <t>دفع</t>
        </is>
      </c>
      <c r="X3" s="9" t="inlineStr">
        <is>
          <t>ح</t>
        </is>
      </c>
      <c r="Y3" s="78" t="inlineStr">
        <is>
          <t>و</t>
        </is>
      </c>
      <c r="Z3" s="9" t="inlineStr">
        <is>
          <t>ح</t>
        </is>
      </c>
      <c r="AA3" s="78" t="inlineStr">
        <is>
          <t>و</t>
        </is>
      </c>
      <c r="AB3" s="9" t="inlineStr">
        <is>
          <t>ح</t>
        </is>
      </c>
      <c r="AC3" s="78" t="inlineStr">
        <is>
          <t>و</t>
        </is>
      </c>
      <c r="AD3" s="9" t="inlineStr">
        <is>
          <t>ح</t>
        </is>
      </c>
      <c r="AE3" s="78" t="inlineStr">
        <is>
          <t>و</t>
        </is>
      </c>
      <c r="AF3" s="9" t="inlineStr">
        <is>
          <t>ح</t>
        </is>
      </c>
      <c r="AG3" s="78" t="inlineStr">
        <is>
          <t>و</t>
        </is>
      </c>
      <c r="AH3" s="9" t="inlineStr">
        <is>
          <t>ح</t>
        </is>
      </c>
      <c r="AI3" s="78" t="inlineStr">
        <is>
          <t>و</t>
        </is>
      </c>
      <c r="AJ3" s="9" t="inlineStr">
        <is>
          <t>ح</t>
        </is>
      </c>
      <c r="AK3" s="78" t="inlineStr">
        <is>
          <t>و</t>
        </is>
      </c>
      <c r="AL3" s="9" t="inlineStr">
        <is>
          <t>ح</t>
        </is>
      </c>
      <c r="AM3" s="78" t="inlineStr">
        <is>
          <t>و</t>
        </is>
      </c>
      <c r="AN3" s="78" t="inlineStr">
        <is>
          <t>دفع</t>
        </is>
      </c>
      <c r="AO3" s="10" t="inlineStr">
        <is>
          <t>ح</t>
        </is>
      </c>
      <c r="AP3" s="79" t="inlineStr">
        <is>
          <t>و</t>
        </is>
      </c>
      <c r="AQ3" s="10" t="inlineStr">
        <is>
          <t>ح</t>
        </is>
      </c>
      <c r="AR3" s="79" t="inlineStr">
        <is>
          <t>و</t>
        </is>
      </c>
      <c r="AS3" s="10" t="inlineStr">
        <is>
          <t>ح</t>
        </is>
      </c>
      <c r="AT3" s="79" t="inlineStr">
        <is>
          <t>و</t>
        </is>
      </c>
      <c r="AU3" s="10" t="inlineStr">
        <is>
          <t>ح</t>
        </is>
      </c>
      <c r="AV3" s="79" t="inlineStr">
        <is>
          <t>و</t>
        </is>
      </c>
      <c r="AW3" s="10" t="inlineStr">
        <is>
          <t>ح</t>
        </is>
      </c>
      <c r="AX3" s="79" t="inlineStr">
        <is>
          <t>و</t>
        </is>
      </c>
      <c r="AY3" s="10" t="inlineStr">
        <is>
          <t>ح</t>
        </is>
      </c>
      <c r="AZ3" s="79" t="inlineStr">
        <is>
          <t>و</t>
        </is>
      </c>
      <c r="BA3" s="10" t="inlineStr">
        <is>
          <t>ح</t>
        </is>
      </c>
      <c r="BB3" s="79" t="inlineStr">
        <is>
          <t>و</t>
        </is>
      </c>
      <c r="BC3" s="10" t="inlineStr">
        <is>
          <t>ح</t>
        </is>
      </c>
      <c r="BD3" s="79" t="inlineStr">
        <is>
          <t>و</t>
        </is>
      </c>
      <c r="BE3" s="79" t="inlineStr">
        <is>
          <t>دفع</t>
        </is>
      </c>
      <c r="BF3" s="11" t="inlineStr">
        <is>
          <t>ح</t>
        </is>
      </c>
      <c r="BG3" s="80" t="inlineStr">
        <is>
          <t>و</t>
        </is>
      </c>
      <c r="BH3" s="11" t="inlineStr">
        <is>
          <t>ح</t>
        </is>
      </c>
      <c r="BI3" s="80" t="inlineStr">
        <is>
          <t>و</t>
        </is>
      </c>
      <c r="BJ3" s="11" t="inlineStr">
        <is>
          <t>ح</t>
        </is>
      </c>
      <c r="BK3" s="80" t="inlineStr">
        <is>
          <t>و</t>
        </is>
      </c>
      <c r="BL3" s="11" t="inlineStr">
        <is>
          <t>ح</t>
        </is>
      </c>
      <c r="BM3" s="80" t="inlineStr">
        <is>
          <t>و</t>
        </is>
      </c>
      <c r="BN3" s="11" t="inlineStr">
        <is>
          <t>ح</t>
        </is>
      </c>
      <c r="BO3" s="80" t="inlineStr">
        <is>
          <t>و</t>
        </is>
      </c>
      <c r="BP3" s="11" t="inlineStr">
        <is>
          <t>ح</t>
        </is>
      </c>
      <c r="BQ3" s="80" t="inlineStr">
        <is>
          <t>و</t>
        </is>
      </c>
      <c r="BR3" s="11" t="inlineStr">
        <is>
          <t>ح</t>
        </is>
      </c>
      <c r="BS3" s="80" t="inlineStr">
        <is>
          <t>و</t>
        </is>
      </c>
      <c r="BT3" s="11" t="inlineStr">
        <is>
          <t>ح</t>
        </is>
      </c>
      <c r="BU3" s="80" t="inlineStr">
        <is>
          <t>و</t>
        </is>
      </c>
      <c r="BV3" s="80" t="inlineStr">
        <is>
          <t>دفع</t>
        </is>
      </c>
      <c r="BW3" s="81" t="inlineStr">
        <is>
          <t>ح</t>
        </is>
      </c>
      <c r="BX3" s="82" t="inlineStr">
        <is>
          <t>و</t>
        </is>
      </c>
      <c r="BY3" s="81" t="inlineStr">
        <is>
          <t>ح</t>
        </is>
      </c>
      <c r="BZ3" s="82" t="inlineStr">
        <is>
          <t>و</t>
        </is>
      </c>
      <c r="CA3" s="81" t="inlineStr">
        <is>
          <t>ح</t>
        </is>
      </c>
      <c r="CB3" s="82" t="inlineStr">
        <is>
          <t>و</t>
        </is>
      </c>
      <c r="CC3" s="81" t="inlineStr">
        <is>
          <t>ح</t>
        </is>
      </c>
      <c r="CD3" s="82" t="inlineStr">
        <is>
          <t>و</t>
        </is>
      </c>
      <c r="CE3" s="81" t="inlineStr">
        <is>
          <t>ح</t>
        </is>
      </c>
      <c r="CF3" s="82" t="inlineStr">
        <is>
          <t>و</t>
        </is>
      </c>
      <c r="CG3" s="81" t="inlineStr">
        <is>
          <t>ح</t>
        </is>
      </c>
      <c r="CH3" s="82" t="inlineStr">
        <is>
          <t>و</t>
        </is>
      </c>
      <c r="CI3" s="81" t="inlineStr">
        <is>
          <t>ح</t>
        </is>
      </c>
      <c r="CJ3" s="82" t="inlineStr">
        <is>
          <t>و</t>
        </is>
      </c>
      <c r="CK3" s="81" t="inlineStr">
        <is>
          <t>ح</t>
        </is>
      </c>
      <c r="CL3" s="82" t="inlineStr">
        <is>
          <t>و</t>
        </is>
      </c>
      <c r="CM3" s="82" t="inlineStr">
        <is>
          <t>دفع</t>
        </is>
      </c>
      <c r="CN3" s="83" t="inlineStr">
        <is>
          <t>ح</t>
        </is>
      </c>
      <c r="CO3" s="84" t="inlineStr">
        <is>
          <t>و</t>
        </is>
      </c>
      <c r="CP3" s="83" t="inlineStr">
        <is>
          <t>ح</t>
        </is>
      </c>
      <c r="CQ3" s="84" t="inlineStr">
        <is>
          <t>و</t>
        </is>
      </c>
      <c r="CR3" s="83" t="inlineStr">
        <is>
          <t>ح</t>
        </is>
      </c>
      <c r="CS3" s="84" t="inlineStr">
        <is>
          <t>و</t>
        </is>
      </c>
      <c r="CT3" s="83" t="inlineStr">
        <is>
          <t>ح</t>
        </is>
      </c>
      <c r="CU3" s="84" t="inlineStr">
        <is>
          <t>و</t>
        </is>
      </c>
      <c r="CV3" s="83" t="inlineStr">
        <is>
          <t>ح</t>
        </is>
      </c>
      <c r="CW3" s="84" t="inlineStr">
        <is>
          <t>و</t>
        </is>
      </c>
      <c r="CX3" s="83" t="inlineStr">
        <is>
          <t>ح</t>
        </is>
      </c>
      <c r="CY3" s="84" t="inlineStr">
        <is>
          <t>و</t>
        </is>
      </c>
      <c r="CZ3" s="83" t="inlineStr">
        <is>
          <t>ح</t>
        </is>
      </c>
      <c r="DA3" s="84" t="inlineStr">
        <is>
          <t>و</t>
        </is>
      </c>
      <c r="DB3" s="83" t="inlineStr">
        <is>
          <t>ح</t>
        </is>
      </c>
      <c r="DC3" s="84" t="inlineStr">
        <is>
          <t>و</t>
        </is>
      </c>
      <c r="DD3" s="84" t="inlineStr">
        <is>
          <t>دفع</t>
        </is>
      </c>
      <c r="DE3" s="85" t="inlineStr">
        <is>
          <t>ح</t>
        </is>
      </c>
      <c r="DF3" s="86" t="inlineStr">
        <is>
          <t>و</t>
        </is>
      </c>
      <c r="DG3" s="85" t="inlineStr">
        <is>
          <t>ح</t>
        </is>
      </c>
      <c r="DH3" s="86" t="inlineStr">
        <is>
          <t>و</t>
        </is>
      </c>
      <c r="DI3" s="85" t="inlineStr">
        <is>
          <t>ح</t>
        </is>
      </c>
      <c r="DJ3" s="86" t="inlineStr">
        <is>
          <t>و</t>
        </is>
      </c>
      <c r="DK3" s="85" t="inlineStr">
        <is>
          <t>ح</t>
        </is>
      </c>
      <c r="DL3" s="86" t="inlineStr">
        <is>
          <t>و</t>
        </is>
      </c>
      <c r="DM3" s="85" t="inlineStr">
        <is>
          <t>ح</t>
        </is>
      </c>
      <c r="DN3" s="86" t="inlineStr">
        <is>
          <t>و</t>
        </is>
      </c>
      <c r="DO3" s="85" t="inlineStr">
        <is>
          <t>ح</t>
        </is>
      </c>
      <c r="DP3" s="86" t="inlineStr">
        <is>
          <t>و</t>
        </is>
      </c>
      <c r="DQ3" s="85" t="inlineStr">
        <is>
          <t>ح</t>
        </is>
      </c>
      <c r="DR3" s="86" t="inlineStr">
        <is>
          <t>و</t>
        </is>
      </c>
      <c r="DS3" s="85" t="inlineStr">
        <is>
          <t>ح</t>
        </is>
      </c>
      <c r="DT3" s="86" t="inlineStr">
        <is>
          <t>و</t>
        </is>
      </c>
      <c r="DU3" s="86" t="inlineStr">
        <is>
          <t>دفع</t>
        </is>
      </c>
      <c r="DV3" s="87" t="inlineStr">
        <is>
          <t>ح</t>
        </is>
      </c>
      <c r="DW3" s="88" t="inlineStr">
        <is>
          <t>و</t>
        </is>
      </c>
      <c r="DX3" s="87" t="inlineStr">
        <is>
          <t>ح</t>
        </is>
      </c>
      <c r="DY3" s="88" t="inlineStr">
        <is>
          <t>و</t>
        </is>
      </c>
      <c r="DZ3" s="87" t="inlineStr">
        <is>
          <t>ح</t>
        </is>
      </c>
      <c r="EA3" s="88" t="inlineStr">
        <is>
          <t>و</t>
        </is>
      </c>
      <c r="EB3" s="87" t="inlineStr">
        <is>
          <t>ح</t>
        </is>
      </c>
      <c r="EC3" s="88" t="inlineStr">
        <is>
          <t>و</t>
        </is>
      </c>
      <c r="ED3" s="87" t="inlineStr">
        <is>
          <t>ح</t>
        </is>
      </c>
      <c r="EE3" s="88" t="inlineStr">
        <is>
          <t>و</t>
        </is>
      </c>
      <c r="EF3" s="87" t="inlineStr">
        <is>
          <t>ح</t>
        </is>
      </c>
      <c r="EG3" s="88" t="inlineStr">
        <is>
          <t>و</t>
        </is>
      </c>
      <c r="EH3" s="87" t="inlineStr">
        <is>
          <t>ح</t>
        </is>
      </c>
      <c r="EI3" s="88" t="inlineStr">
        <is>
          <t>و</t>
        </is>
      </c>
      <c r="EJ3" s="87" t="inlineStr">
        <is>
          <t>ح</t>
        </is>
      </c>
      <c r="EK3" s="88" t="inlineStr">
        <is>
          <t>و</t>
        </is>
      </c>
      <c r="EL3" s="88" t="inlineStr">
        <is>
          <t>دفع</t>
        </is>
      </c>
      <c r="EM3" s="89" t="inlineStr">
        <is>
          <t>ح</t>
        </is>
      </c>
      <c r="EN3" s="90" t="inlineStr">
        <is>
          <t>و</t>
        </is>
      </c>
      <c r="EO3" s="89" t="inlineStr">
        <is>
          <t>ح</t>
        </is>
      </c>
      <c r="EP3" s="90" t="inlineStr">
        <is>
          <t>و</t>
        </is>
      </c>
      <c r="EQ3" s="89" t="inlineStr">
        <is>
          <t>ح</t>
        </is>
      </c>
      <c r="ER3" s="90" t="inlineStr">
        <is>
          <t>و</t>
        </is>
      </c>
      <c r="ES3" s="89" t="inlineStr">
        <is>
          <t>ح</t>
        </is>
      </c>
      <c r="ET3" s="90" t="inlineStr">
        <is>
          <t>و</t>
        </is>
      </c>
      <c r="EU3" s="89" t="inlineStr">
        <is>
          <t>ح</t>
        </is>
      </c>
      <c r="EV3" s="90" t="inlineStr">
        <is>
          <t>و</t>
        </is>
      </c>
      <c r="EW3" s="89" t="inlineStr">
        <is>
          <t>ح</t>
        </is>
      </c>
      <c r="EX3" s="90" t="inlineStr">
        <is>
          <t>و</t>
        </is>
      </c>
      <c r="EY3" s="89" t="inlineStr">
        <is>
          <t>ح</t>
        </is>
      </c>
      <c r="EZ3" s="90" t="inlineStr">
        <is>
          <t>و</t>
        </is>
      </c>
      <c r="FA3" s="89" t="inlineStr">
        <is>
          <t>ح</t>
        </is>
      </c>
      <c r="FB3" s="90" t="inlineStr">
        <is>
          <t>و</t>
        </is>
      </c>
      <c r="FC3" s="90" t="inlineStr">
        <is>
          <t>دفع</t>
        </is>
      </c>
      <c r="FD3" s="91" t="inlineStr">
        <is>
          <t>ح</t>
        </is>
      </c>
      <c r="FE3" s="92" t="inlineStr">
        <is>
          <t>و</t>
        </is>
      </c>
      <c r="FF3" s="91" t="inlineStr">
        <is>
          <t>ح</t>
        </is>
      </c>
      <c r="FG3" s="92" t="inlineStr">
        <is>
          <t>و</t>
        </is>
      </c>
      <c r="FH3" s="91" t="inlineStr">
        <is>
          <t>ح</t>
        </is>
      </c>
      <c r="FI3" s="92" t="inlineStr">
        <is>
          <t>و</t>
        </is>
      </c>
      <c r="FJ3" s="91" t="inlineStr">
        <is>
          <t>ح</t>
        </is>
      </c>
      <c r="FK3" s="92" t="inlineStr">
        <is>
          <t>و</t>
        </is>
      </c>
      <c r="FL3" s="91" t="inlineStr">
        <is>
          <t>ح</t>
        </is>
      </c>
      <c r="FM3" s="92" t="inlineStr">
        <is>
          <t>و</t>
        </is>
      </c>
      <c r="FN3" s="91" t="inlineStr">
        <is>
          <t>ح</t>
        </is>
      </c>
      <c r="FO3" s="92" t="inlineStr">
        <is>
          <t>و</t>
        </is>
      </c>
      <c r="FP3" s="91" t="inlineStr">
        <is>
          <t>ح</t>
        </is>
      </c>
      <c r="FQ3" s="92" t="inlineStr">
        <is>
          <t>و</t>
        </is>
      </c>
      <c r="FR3" s="91" t="inlineStr">
        <is>
          <t>ح</t>
        </is>
      </c>
      <c r="FS3" s="92" t="inlineStr">
        <is>
          <t>و</t>
        </is>
      </c>
      <c r="FT3" s="92" t="inlineStr">
        <is>
          <t>دفع</t>
        </is>
      </c>
      <c r="FU3" s="93" t="inlineStr">
        <is>
          <t>ح</t>
        </is>
      </c>
      <c r="FV3" s="94" t="inlineStr">
        <is>
          <t>و</t>
        </is>
      </c>
      <c r="FW3" s="93" t="inlineStr">
        <is>
          <t>ح</t>
        </is>
      </c>
      <c r="FX3" s="94" t="inlineStr">
        <is>
          <t>و</t>
        </is>
      </c>
      <c r="FY3" s="93" t="inlineStr">
        <is>
          <t>ح</t>
        </is>
      </c>
      <c r="FZ3" s="94" t="inlineStr">
        <is>
          <t>و</t>
        </is>
      </c>
      <c r="GA3" s="93" t="inlineStr">
        <is>
          <t>ح</t>
        </is>
      </c>
      <c r="GB3" s="94" t="inlineStr">
        <is>
          <t>و</t>
        </is>
      </c>
      <c r="GC3" s="93" t="inlineStr">
        <is>
          <t>ح</t>
        </is>
      </c>
      <c r="GD3" s="94" t="inlineStr">
        <is>
          <t>و</t>
        </is>
      </c>
      <c r="GE3" s="93" t="inlineStr">
        <is>
          <t>ح</t>
        </is>
      </c>
      <c r="GF3" s="94" t="inlineStr">
        <is>
          <t>و</t>
        </is>
      </c>
      <c r="GG3" s="93" t="inlineStr">
        <is>
          <t>ح</t>
        </is>
      </c>
      <c r="GH3" s="94" t="inlineStr">
        <is>
          <t>و</t>
        </is>
      </c>
      <c r="GI3" s="93" t="inlineStr">
        <is>
          <t>ح</t>
        </is>
      </c>
      <c r="GJ3" s="94" t="inlineStr">
        <is>
          <t>و</t>
        </is>
      </c>
      <c r="GK3" s="94" t="inlineStr">
        <is>
          <t>دفع</t>
        </is>
      </c>
      <c r="GL3" s="95" t="inlineStr">
        <is>
          <t>ح</t>
        </is>
      </c>
      <c r="GM3" s="96" t="inlineStr">
        <is>
          <t>و</t>
        </is>
      </c>
      <c r="GN3" s="95" t="inlineStr">
        <is>
          <t>ح</t>
        </is>
      </c>
      <c r="GO3" s="96" t="inlineStr">
        <is>
          <t>و</t>
        </is>
      </c>
      <c r="GP3" s="95" t="inlineStr">
        <is>
          <t>ح</t>
        </is>
      </c>
      <c r="GQ3" s="96" t="inlineStr">
        <is>
          <t>و</t>
        </is>
      </c>
      <c r="GR3" s="95" t="inlineStr">
        <is>
          <t>ح</t>
        </is>
      </c>
      <c r="GS3" s="96" t="inlineStr">
        <is>
          <t>و</t>
        </is>
      </c>
      <c r="GT3" s="95" t="inlineStr">
        <is>
          <t>ح</t>
        </is>
      </c>
      <c r="GU3" s="96" t="inlineStr">
        <is>
          <t>و</t>
        </is>
      </c>
      <c r="GV3" s="95" t="inlineStr">
        <is>
          <t>ح</t>
        </is>
      </c>
      <c r="GW3" s="96" t="inlineStr">
        <is>
          <t>و</t>
        </is>
      </c>
      <c r="GX3" s="95" t="inlineStr">
        <is>
          <t>ح</t>
        </is>
      </c>
      <c r="GY3" s="96" t="inlineStr">
        <is>
          <t>و</t>
        </is>
      </c>
      <c r="GZ3" s="95" t="inlineStr">
        <is>
          <t>ح</t>
        </is>
      </c>
      <c r="HA3" s="96" t="inlineStr">
        <is>
          <t>و</t>
        </is>
      </c>
      <c r="HB3" s="96" t="inlineStr">
        <is>
          <t>دفع</t>
        </is>
      </c>
    </row>
    <row r="4" ht="22.5" customHeight="1">
      <c r="A4" s="36" t="n">
        <v>1</v>
      </c>
      <c r="B4" s="97" t="n"/>
      <c r="C4" s="28" t="n"/>
      <c r="D4" s="98" t="str">
        <f>IF($B4="","",IF($HC4=0,"-",($HC4-8*INT(($HC4-1)/8))&amp;"/8"))</f>
        <v/>
      </c>
      <c r="E4" s="98" t="str">
        <f>IF($B4="","",IF(AND($HC4=0,$HD4=0),"-",$HE4))</f>
        <v/>
      </c>
      <c r="F4" s="99" t="str">
        <f>IF($B4="","",IF(AND($HC4=0,$HD4=0),"جديد",IF($HE4&gt;1,"تمام",IF($HE4=1,"آخر حصة",IF($HE4=0,"تجديد",IF($HE4=-1,"عليه حصة",IF($HE4=-2,"عليه حصتين","عليه "&amp;(-$HE4)&amp;" حصص")))))))</f>
        <v/>
      </c>
      <c r="G4" s="100" t="n"/>
      <c r="H4" s="101" t="n"/>
      <c r="I4" s="100" t="n"/>
      <c r="J4" s="101" t="n"/>
      <c r="K4" s="100" t="n"/>
      <c r="L4" s="101" t="n"/>
      <c r="M4" s="100" t="n"/>
      <c r="N4" s="101" t="n"/>
      <c r="O4" s="100" t="n"/>
      <c r="P4" s="101" t="n"/>
      <c r="Q4" s="100" t="n"/>
      <c r="R4" s="101" t="n"/>
      <c r="S4" s="100" t="n"/>
      <c r="T4" s="101" t="n"/>
      <c r="U4" s="100" t="n"/>
      <c r="V4" s="101" t="n"/>
      <c r="W4" s="102" t="n"/>
      <c r="X4" s="103" t="n"/>
      <c r="Y4" s="104" t="n"/>
      <c r="Z4" s="103" t="n"/>
      <c r="AA4" s="104" t="n"/>
      <c r="AB4" s="103" t="n"/>
      <c r="AC4" s="104" t="n"/>
      <c r="AD4" s="103" t="n"/>
      <c r="AE4" s="104" t="n"/>
      <c r="AF4" s="103" t="n"/>
      <c r="AG4" s="104" t="n"/>
      <c r="AH4" s="103" t="n"/>
      <c r="AI4" s="104" t="n"/>
      <c r="AJ4" s="103" t="n"/>
      <c r="AK4" s="104" t="n"/>
      <c r="AL4" s="103" t="n"/>
      <c r="AM4" s="104" t="n"/>
      <c r="AN4" s="105" t="n"/>
      <c r="AO4" s="106" t="n"/>
      <c r="AP4" s="107" t="n"/>
      <c r="AQ4" s="106" t="n"/>
      <c r="AR4" s="107" t="n"/>
      <c r="AS4" s="106" t="n"/>
      <c r="AT4" s="107" t="n"/>
      <c r="AU4" s="106" t="n"/>
      <c r="AV4" s="107" t="n"/>
      <c r="AW4" s="106" t="n"/>
      <c r="AX4" s="107" t="n"/>
      <c r="AY4" s="106" t="n"/>
      <c r="AZ4" s="107" t="n"/>
      <c r="BA4" s="106" t="n"/>
      <c r="BB4" s="107" t="n"/>
      <c r="BC4" s="106" t="n"/>
      <c r="BD4" s="107" t="n"/>
      <c r="BE4" s="108" t="n"/>
      <c r="BF4" s="109" t="n"/>
      <c r="BG4" s="110" t="n"/>
      <c r="BH4" s="109" t="n"/>
      <c r="BI4" s="110" t="n"/>
      <c r="BJ4" s="109" t="n"/>
      <c r="BK4" s="110" t="n"/>
      <c r="BL4" s="109" t="n"/>
      <c r="BM4" s="110" t="n"/>
      <c r="BN4" s="109" t="n"/>
      <c r="BO4" s="110" t="n"/>
      <c r="BP4" s="109" t="n"/>
      <c r="BQ4" s="110" t="n"/>
      <c r="BR4" s="109" t="n"/>
      <c r="BS4" s="110" t="n"/>
      <c r="BT4" s="109" t="n"/>
      <c r="BU4" s="110" t="n"/>
      <c r="BV4" s="111" t="n"/>
      <c r="BW4" s="112" t="n"/>
      <c r="BX4" s="113" t="n"/>
      <c r="BY4" s="112" t="n"/>
      <c r="BZ4" s="113" t="n"/>
      <c r="CA4" s="112" t="n"/>
      <c r="CB4" s="113" t="n"/>
      <c r="CC4" s="112" t="n"/>
      <c r="CD4" s="113" t="n"/>
      <c r="CE4" s="112" t="n"/>
      <c r="CF4" s="113" t="n"/>
      <c r="CG4" s="112" t="n"/>
      <c r="CH4" s="113" t="n"/>
      <c r="CI4" s="112" t="n"/>
      <c r="CJ4" s="113" t="n"/>
      <c r="CK4" s="112" t="n"/>
      <c r="CL4" s="113" t="n"/>
      <c r="CM4" s="114" t="n"/>
      <c r="CN4" s="115" t="n"/>
      <c r="CO4" s="116" t="n"/>
      <c r="CP4" s="115" t="n"/>
      <c r="CQ4" s="116" t="n"/>
      <c r="CR4" s="115" t="n"/>
      <c r="CS4" s="116" t="n"/>
      <c r="CT4" s="115" t="n"/>
      <c r="CU4" s="116" t="n"/>
      <c r="CV4" s="115" t="n"/>
      <c r="CW4" s="116" t="n"/>
      <c r="CX4" s="115" t="n"/>
      <c r="CY4" s="116" t="n"/>
      <c r="CZ4" s="115" t="n"/>
      <c r="DA4" s="116" t="n"/>
      <c r="DB4" s="115" t="n"/>
      <c r="DC4" s="116" t="n"/>
      <c r="DD4" s="117" t="n"/>
      <c r="DE4" s="118" t="n"/>
      <c r="DF4" s="119" t="n"/>
      <c r="DG4" s="118" t="n"/>
      <c r="DH4" s="119" t="n"/>
      <c r="DI4" s="118" t="n"/>
      <c r="DJ4" s="119" t="n"/>
      <c r="DK4" s="118" t="n"/>
      <c r="DL4" s="119" t="n"/>
      <c r="DM4" s="118" t="n"/>
      <c r="DN4" s="119" t="n"/>
      <c r="DO4" s="118" t="n"/>
      <c r="DP4" s="119" t="n"/>
      <c r="DQ4" s="118" t="n"/>
      <c r="DR4" s="119" t="n"/>
      <c r="DS4" s="118" t="n"/>
      <c r="DT4" s="119" t="n"/>
      <c r="DU4" s="120" t="n"/>
      <c r="DV4" s="121" t="n"/>
      <c r="DW4" s="122" t="n"/>
      <c r="DX4" s="121" t="n"/>
      <c r="DY4" s="122" t="n"/>
      <c r="DZ4" s="121" t="n"/>
      <c r="EA4" s="122" t="n"/>
      <c r="EB4" s="121" t="n"/>
      <c r="EC4" s="122" t="n"/>
      <c r="ED4" s="121" t="n"/>
      <c r="EE4" s="122" t="n"/>
      <c r="EF4" s="121" t="n"/>
      <c r="EG4" s="122" t="n"/>
      <c r="EH4" s="121" t="n"/>
      <c r="EI4" s="122" t="n"/>
      <c r="EJ4" s="121" t="n"/>
      <c r="EK4" s="122" t="n"/>
      <c r="EL4" s="123" t="n"/>
      <c r="EM4" s="124" t="n"/>
      <c r="EN4" s="125" t="n"/>
      <c r="EO4" s="124" t="n"/>
      <c r="EP4" s="125" t="n"/>
      <c r="EQ4" s="124" t="n"/>
      <c r="ER4" s="125" t="n"/>
      <c r="ES4" s="124" t="n"/>
      <c r="ET4" s="125" t="n"/>
      <c r="EU4" s="124" t="n"/>
      <c r="EV4" s="125" t="n"/>
      <c r="EW4" s="124" t="n"/>
      <c r="EX4" s="125" t="n"/>
      <c r="EY4" s="124" t="n"/>
      <c r="EZ4" s="125" t="n"/>
      <c r="FA4" s="124" t="n"/>
      <c r="FB4" s="125" t="n"/>
      <c r="FC4" s="126" t="n"/>
      <c r="FD4" s="127" t="n"/>
      <c r="FE4" s="128" t="n"/>
      <c r="FF4" s="127" t="n"/>
      <c r="FG4" s="128" t="n"/>
      <c r="FH4" s="127" t="n"/>
      <c r="FI4" s="128" t="n"/>
      <c r="FJ4" s="127" t="n"/>
      <c r="FK4" s="128" t="n"/>
      <c r="FL4" s="127" t="n"/>
      <c r="FM4" s="128" t="n"/>
      <c r="FN4" s="127" t="n"/>
      <c r="FO4" s="128" t="n"/>
      <c r="FP4" s="127" t="n"/>
      <c r="FQ4" s="128" t="n"/>
      <c r="FR4" s="127" t="n"/>
      <c r="FS4" s="128" t="n"/>
      <c r="FT4" s="129" t="n"/>
      <c r="FU4" s="130" t="n"/>
      <c r="FV4" s="131" t="n"/>
      <c r="FW4" s="130" t="n"/>
      <c r="FX4" s="131" t="n"/>
      <c r="FY4" s="130" t="n"/>
      <c r="FZ4" s="131" t="n"/>
      <c r="GA4" s="130" t="n"/>
      <c r="GB4" s="131" t="n"/>
      <c r="GC4" s="130" t="n"/>
      <c r="GD4" s="131" t="n"/>
      <c r="GE4" s="130" t="n"/>
      <c r="GF4" s="131" t="n"/>
      <c r="GG4" s="130" t="n"/>
      <c r="GH4" s="131" t="n"/>
      <c r="GI4" s="130" t="n"/>
      <c r="GJ4" s="131" t="n"/>
      <c r="GK4" s="132" t="n"/>
      <c r="GL4" s="133" t="n"/>
      <c r="GM4" s="134" t="n"/>
      <c r="GN4" s="133" t="n"/>
      <c r="GO4" s="134" t="n"/>
      <c r="GP4" s="133" t="n"/>
      <c r="GQ4" s="134" t="n"/>
      <c r="GR4" s="133" t="n"/>
      <c r="GS4" s="134" t="n"/>
      <c r="GT4" s="133" t="n"/>
      <c r="GU4" s="134" t="n"/>
      <c r="GV4" s="133" t="n"/>
      <c r="GW4" s="134" t="n"/>
      <c r="GX4" s="133" t="n"/>
      <c r="GY4" s="134" t="n"/>
      <c r="GZ4" s="133" t="n"/>
      <c r="HA4" s="134" t="n"/>
      <c r="HB4" s="135" t="n"/>
      <c r="HC4">
        <f>COUNTIFS($G$3:$HB$3,"ح",$G4:$HB4,TRUE)</f>
        <v>0</v>
      </c>
      <c r="HD4">
        <f>COUNTIFS($G$3:$HB$3,"دفع",$G4:$HB4,TRUE)</f>
        <v>0</v>
      </c>
      <c r="HE4">
        <f>8*$HD4-$HC4</f>
        <v>0</v>
      </c>
    </row>
    <row r="5" ht="22.5" customHeight="1">
      <c r="A5" s="36" t="n">
        <v>2</v>
      </c>
      <c r="B5" s="97" t="n"/>
      <c r="C5" s="28" t="n"/>
      <c r="D5" s="98" t="str">
        <f>IF($B5="","",IF($HC5=0,"-",($HC5-8*INT(($HC5-1)/8))&amp;"/8"))</f>
        <v/>
      </c>
      <c r="E5" s="98" t="str">
        <f>IF($B5="","",IF(AND($HC5=0,$HD5=0),"-",$HE5))</f>
        <v/>
      </c>
      <c r="F5" s="99" t="str">
        <f>IF($B5="","",IF(AND($HC5=0,$HD5=0),"جديد",IF($HE5&gt;1,"تمام",IF($HE5=1,"آخر حصة",IF($HE5=0,"تجديد",IF($HE5=-1,"عليه حصة",IF($HE5=-2,"عليه حصتين","عليه "&amp;(-$HE5)&amp;" حصص")))))))</f>
        <v/>
      </c>
      <c r="G5" s="100" t="n"/>
      <c r="H5" s="101" t="n"/>
      <c r="I5" s="100" t="n"/>
      <c r="J5" s="101" t="n"/>
      <c r="K5" s="100" t="n"/>
      <c r="L5" s="101" t="n"/>
      <c r="M5" s="100" t="n"/>
      <c r="N5" s="101" t="n"/>
      <c r="O5" s="100" t="n"/>
      <c r="P5" s="101" t="n"/>
      <c r="Q5" s="100" t="n"/>
      <c r="R5" s="101" t="n"/>
      <c r="S5" s="100" t="n"/>
      <c r="T5" s="101" t="n"/>
      <c r="U5" s="100" t="n"/>
      <c r="V5" s="101" t="n"/>
      <c r="W5" s="102" t="n"/>
      <c r="X5" s="103" t="n"/>
      <c r="Y5" s="104" t="n"/>
      <c r="Z5" s="103" t="n"/>
      <c r="AA5" s="104" t="n"/>
      <c r="AB5" s="103" t="n"/>
      <c r="AC5" s="104" t="n"/>
      <c r="AD5" s="103" t="n"/>
      <c r="AE5" s="104" t="n"/>
      <c r="AF5" s="103" t="n"/>
      <c r="AG5" s="104" t="n"/>
      <c r="AH5" s="103" t="n"/>
      <c r="AI5" s="104" t="n"/>
      <c r="AJ5" s="103" t="n"/>
      <c r="AK5" s="104" t="n"/>
      <c r="AL5" s="103" t="n"/>
      <c r="AM5" s="104" t="n"/>
      <c r="AN5" s="105" t="n"/>
      <c r="AO5" s="106" t="n"/>
      <c r="AP5" s="107" t="n"/>
      <c r="AQ5" s="106" t="n"/>
      <c r="AR5" s="107" t="n"/>
      <c r="AS5" s="106" t="n"/>
      <c r="AT5" s="107" t="n"/>
      <c r="AU5" s="106" t="n"/>
      <c r="AV5" s="107" t="n"/>
      <c r="AW5" s="106" t="n"/>
      <c r="AX5" s="107" t="n"/>
      <c r="AY5" s="106" t="n"/>
      <c r="AZ5" s="107" t="n"/>
      <c r="BA5" s="106" t="n"/>
      <c r="BB5" s="107" t="n"/>
      <c r="BC5" s="106" t="n"/>
      <c r="BD5" s="107" t="n"/>
      <c r="BE5" s="108" t="n"/>
      <c r="BF5" s="109" t="n"/>
      <c r="BG5" s="110" t="n"/>
      <c r="BH5" s="109" t="n"/>
      <c r="BI5" s="110" t="n"/>
      <c r="BJ5" s="109" t="n"/>
      <c r="BK5" s="110" t="n"/>
      <c r="BL5" s="109" t="n"/>
      <c r="BM5" s="110" t="n"/>
      <c r="BN5" s="109" t="n"/>
      <c r="BO5" s="110" t="n"/>
      <c r="BP5" s="109" t="n"/>
      <c r="BQ5" s="110" t="n"/>
      <c r="BR5" s="109" t="n"/>
      <c r="BS5" s="110" t="n"/>
      <c r="BT5" s="109" t="n"/>
      <c r="BU5" s="110" t="n"/>
      <c r="BV5" s="111" t="n"/>
      <c r="BW5" s="112" t="n"/>
      <c r="BX5" s="113" t="n"/>
      <c r="BY5" s="112" t="n"/>
      <c r="BZ5" s="113" t="n"/>
      <c r="CA5" s="112" t="n"/>
      <c r="CB5" s="113" t="n"/>
      <c r="CC5" s="112" t="n"/>
      <c r="CD5" s="113" t="n"/>
      <c r="CE5" s="112" t="n"/>
      <c r="CF5" s="113" t="n"/>
      <c r="CG5" s="112" t="n"/>
      <c r="CH5" s="113" t="n"/>
      <c r="CI5" s="112" t="n"/>
      <c r="CJ5" s="113" t="n"/>
      <c r="CK5" s="112" t="n"/>
      <c r="CL5" s="113" t="n"/>
      <c r="CM5" s="114" t="n"/>
      <c r="CN5" s="115" t="n"/>
      <c r="CO5" s="116" t="n"/>
      <c r="CP5" s="115" t="n"/>
      <c r="CQ5" s="116" t="n"/>
      <c r="CR5" s="115" t="n"/>
      <c r="CS5" s="116" t="n"/>
      <c r="CT5" s="115" t="n"/>
      <c r="CU5" s="116" t="n"/>
      <c r="CV5" s="115" t="n"/>
      <c r="CW5" s="116" t="n"/>
      <c r="CX5" s="115" t="n"/>
      <c r="CY5" s="116" t="n"/>
      <c r="CZ5" s="115" t="n"/>
      <c r="DA5" s="116" t="n"/>
      <c r="DB5" s="115" t="n"/>
      <c r="DC5" s="116" t="n"/>
      <c r="DD5" s="117" t="n"/>
      <c r="DE5" s="118" t="n"/>
      <c r="DF5" s="119" t="n"/>
      <c r="DG5" s="118" t="n"/>
      <c r="DH5" s="119" t="n"/>
      <c r="DI5" s="118" t="n"/>
      <c r="DJ5" s="119" t="n"/>
      <c r="DK5" s="118" t="n"/>
      <c r="DL5" s="119" t="n"/>
      <c r="DM5" s="118" t="n"/>
      <c r="DN5" s="119" t="n"/>
      <c r="DO5" s="118" t="n"/>
      <c r="DP5" s="119" t="n"/>
      <c r="DQ5" s="118" t="n"/>
      <c r="DR5" s="119" t="n"/>
      <c r="DS5" s="118" t="n"/>
      <c r="DT5" s="119" t="n"/>
      <c r="DU5" s="120" t="n"/>
      <c r="DV5" s="121" t="n"/>
      <c r="DW5" s="122" t="n"/>
      <c r="DX5" s="121" t="n"/>
      <c r="DY5" s="122" t="n"/>
      <c r="DZ5" s="121" t="n"/>
      <c r="EA5" s="122" t="n"/>
      <c r="EB5" s="121" t="n"/>
      <c r="EC5" s="122" t="n"/>
      <c r="ED5" s="121" t="n"/>
      <c r="EE5" s="122" t="n"/>
      <c r="EF5" s="121" t="n"/>
      <c r="EG5" s="122" t="n"/>
      <c r="EH5" s="121" t="n"/>
      <c r="EI5" s="122" t="n"/>
      <c r="EJ5" s="121" t="n"/>
      <c r="EK5" s="122" t="n"/>
      <c r="EL5" s="123" t="n"/>
      <c r="EM5" s="124" t="n"/>
      <c r="EN5" s="125" t="n"/>
      <c r="EO5" s="124" t="n"/>
      <c r="EP5" s="125" t="n"/>
      <c r="EQ5" s="124" t="n"/>
      <c r="ER5" s="125" t="n"/>
      <c r="ES5" s="124" t="n"/>
      <c r="ET5" s="125" t="n"/>
      <c r="EU5" s="124" t="n"/>
      <c r="EV5" s="125" t="n"/>
      <c r="EW5" s="124" t="n"/>
      <c r="EX5" s="125" t="n"/>
      <c r="EY5" s="124" t="n"/>
      <c r="EZ5" s="125" t="n"/>
      <c r="FA5" s="124" t="n"/>
      <c r="FB5" s="125" t="n"/>
      <c r="FC5" s="126" t="n"/>
      <c r="FD5" s="127" t="n"/>
      <c r="FE5" s="128" t="n"/>
      <c r="FF5" s="127" t="n"/>
      <c r="FG5" s="128" t="n"/>
      <c r="FH5" s="127" t="n"/>
      <c r="FI5" s="128" t="n"/>
      <c r="FJ5" s="127" t="n"/>
      <c r="FK5" s="128" t="n"/>
      <c r="FL5" s="127" t="n"/>
      <c r="FM5" s="128" t="n"/>
      <c r="FN5" s="127" t="n"/>
      <c r="FO5" s="128" t="n"/>
      <c r="FP5" s="127" t="n"/>
      <c r="FQ5" s="128" t="n"/>
      <c r="FR5" s="127" t="n"/>
      <c r="FS5" s="128" t="n"/>
      <c r="FT5" s="129" t="n"/>
      <c r="FU5" s="130" t="n"/>
      <c r="FV5" s="131" t="n"/>
      <c r="FW5" s="130" t="n"/>
      <c r="FX5" s="131" t="n"/>
      <c r="FY5" s="130" t="n"/>
      <c r="FZ5" s="131" t="n"/>
      <c r="GA5" s="130" t="n"/>
      <c r="GB5" s="131" t="n"/>
      <c r="GC5" s="130" t="n"/>
      <c r="GD5" s="131" t="n"/>
      <c r="GE5" s="130" t="n"/>
      <c r="GF5" s="131" t="n"/>
      <c r="GG5" s="130" t="n"/>
      <c r="GH5" s="131" t="n"/>
      <c r="GI5" s="130" t="n"/>
      <c r="GJ5" s="131" t="n"/>
      <c r="GK5" s="132" t="n"/>
      <c r="GL5" s="133" t="n"/>
      <c r="GM5" s="134" t="n"/>
      <c r="GN5" s="133" t="n"/>
      <c r="GO5" s="134" t="n"/>
      <c r="GP5" s="133" t="n"/>
      <c r="GQ5" s="134" t="n"/>
      <c r="GR5" s="133" t="n"/>
      <c r="GS5" s="134" t="n"/>
      <c r="GT5" s="133" t="n"/>
      <c r="GU5" s="134" t="n"/>
      <c r="GV5" s="133" t="n"/>
      <c r="GW5" s="134" t="n"/>
      <c r="GX5" s="133" t="n"/>
      <c r="GY5" s="134" t="n"/>
      <c r="GZ5" s="133" t="n"/>
      <c r="HA5" s="134" t="n"/>
      <c r="HB5" s="135" t="n"/>
      <c r="HC5">
        <f>COUNTIFS($G$3:$HB$3,"ح",$G5:$HB5,TRUE)</f>
        <v>0</v>
      </c>
      <c r="HD5">
        <f>COUNTIFS($G$3:$HB$3,"دفع",$G5:$HB5,TRUE)</f>
        <v>0</v>
      </c>
      <c r="HE5">
        <f>8*$HD5-$HC5</f>
        <v>0</v>
      </c>
    </row>
    <row r="6" ht="22.5" customHeight="1">
      <c r="A6" s="36" t="n">
        <v>3</v>
      </c>
      <c r="B6" s="97" t="n"/>
      <c r="C6" s="28" t="n"/>
      <c r="D6" s="98" t="str">
        <f>IF($B6="","",IF($HC6=0,"-",($HC6-8*INT(($HC6-1)/8))&amp;"/8"))</f>
        <v/>
      </c>
      <c r="E6" s="98" t="str">
        <f>IF($B6="","",IF(AND($HC6=0,$HD6=0),"-",$HE6))</f>
        <v/>
      </c>
      <c r="F6" s="99" t="str">
        <f>IF($B6="","",IF(AND($HC6=0,$HD6=0),"جديد",IF($HE6&gt;1,"تمام",IF($HE6=1,"آخر حصة",IF($HE6=0,"تجديد",IF($HE6=-1,"عليه حصة",IF($HE6=-2,"عليه حصتين","عليه "&amp;(-$HE6)&amp;" حصص")))))))</f>
        <v/>
      </c>
      <c r="G6" s="100" t="n"/>
      <c r="H6" s="101" t="n"/>
      <c r="I6" s="100" t="n"/>
      <c r="J6" s="101" t="n"/>
      <c r="K6" s="100" t="n"/>
      <c r="L6" s="101" t="n"/>
      <c r="M6" s="100" t="n"/>
      <c r="N6" s="101" t="n"/>
      <c r="O6" s="100" t="n"/>
      <c r="P6" s="101" t="n"/>
      <c r="Q6" s="100" t="n"/>
      <c r="R6" s="101" t="n"/>
      <c r="S6" s="100" t="n"/>
      <c r="T6" s="101" t="n"/>
      <c r="U6" s="100" t="n"/>
      <c r="V6" s="101" t="n"/>
      <c r="W6" s="102" t="n"/>
      <c r="X6" s="103" t="n"/>
      <c r="Y6" s="104" t="n"/>
      <c r="Z6" s="103" t="n"/>
      <c r="AA6" s="104" t="n"/>
      <c r="AB6" s="103" t="n"/>
      <c r="AC6" s="104" t="n"/>
      <c r="AD6" s="103" t="n"/>
      <c r="AE6" s="104" t="n"/>
      <c r="AF6" s="103" t="n"/>
      <c r="AG6" s="104" t="n"/>
      <c r="AH6" s="103" t="n"/>
      <c r="AI6" s="104" t="n"/>
      <c r="AJ6" s="103" t="n"/>
      <c r="AK6" s="104" t="n"/>
      <c r="AL6" s="103" t="n"/>
      <c r="AM6" s="104" t="n"/>
      <c r="AN6" s="105" t="n"/>
      <c r="AO6" s="106" t="n"/>
      <c r="AP6" s="107" t="n"/>
      <c r="AQ6" s="106" t="n"/>
      <c r="AR6" s="107" t="n"/>
      <c r="AS6" s="106" t="n"/>
      <c r="AT6" s="107" t="n"/>
      <c r="AU6" s="106" t="n"/>
      <c r="AV6" s="107" t="n"/>
      <c r="AW6" s="106" t="n"/>
      <c r="AX6" s="107" t="n"/>
      <c r="AY6" s="106" t="n"/>
      <c r="AZ6" s="107" t="n"/>
      <c r="BA6" s="106" t="n"/>
      <c r="BB6" s="107" t="n"/>
      <c r="BC6" s="106" t="n"/>
      <c r="BD6" s="107" t="n"/>
      <c r="BE6" s="108" t="n"/>
      <c r="BF6" s="109" t="n"/>
      <c r="BG6" s="110" t="n"/>
      <c r="BH6" s="109" t="n"/>
      <c r="BI6" s="110" t="n"/>
      <c r="BJ6" s="109" t="n"/>
      <c r="BK6" s="110" t="n"/>
      <c r="BL6" s="109" t="n"/>
      <c r="BM6" s="110" t="n"/>
      <c r="BN6" s="109" t="n"/>
      <c r="BO6" s="110" t="n"/>
      <c r="BP6" s="109" t="n"/>
      <c r="BQ6" s="110" t="n"/>
      <c r="BR6" s="109" t="n"/>
      <c r="BS6" s="110" t="n"/>
      <c r="BT6" s="109" t="n"/>
      <c r="BU6" s="110" t="n"/>
      <c r="BV6" s="111" t="n"/>
      <c r="BW6" s="112" t="n"/>
      <c r="BX6" s="113" t="n"/>
      <c r="BY6" s="112" t="n"/>
      <c r="BZ6" s="113" t="n"/>
      <c r="CA6" s="112" t="n"/>
      <c r="CB6" s="113" t="n"/>
      <c r="CC6" s="112" t="n"/>
      <c r="CD6" s="113" t="n"/>
      <c r="CE6" s="112" t="n"/>
      <c r="CF6" s="113" t="n"/>
      <c r="CG6" s="112" t="n"/>
      <c r="CH6" s="113" t="n"/>
      <c r="CI6" s="112" t="n"/>
      <c r="CJ6" s="113" t="n"/>
      <c r="CK6" s="112" t="n"/>
      <c r="CL6" s="113" t="n"/>
      <c r="CM6" s="114" t="n"/>
      <c r="CN6" s="115" t="n"/>
      <c r="CO6" s="116" t="n"/>
      <c r="CP6" s="115" t="n"/>
      <c r="CQ6" s="116" t="n"/>
      <c r="CR6" s="115" t="n"/>
      <c r="CS6" s="116" t="n"/>
      <c r="CT6" s="115" t="n"/>
      <c r="CU6" s="116" t="n"/>
      <c r="CV6" s="115" t="n"/>
      <c r="CW6" s="116" t="n"/>
      <c r="CX6" s="115" t="n"/>
      <c r="CY6" s="116" t="n"/>
      <c r="CZ6" s="115" t="n"/>
      <c r="DA6" s="116" t="n"/>
      <c r="DB6" s="115" t="n"/>
      <c r="DC6" s="116" t="n"/>
      <c r="DD6" s="117" t="n"/>
      <c r="DE6" s="118" t="n"/>
      <c r="DF6" s="119" t="n"/>
      <c r="DG6" s="118" t="n"/>
      <c r="DH6" s="119" t="n"/>
      <c r="DI6" s="118" t="n"/>
      <c r="DJ6" s="119" t="n"/>
      <c r="DK6" s="118" t="n"/>
      <c r="DL6" s="119" t="n"/>
      <c r="DM6" s="118" t="n"/>
      <c r="DN6" s="119" t="n"/>
      <c r="DO6" s="118" t="n"/>
      <c r="DP6" s="119" t="n"/>
      <c r="DQ6" s="118" t="n"/>
      <c r="DR6" s="119" t="n"/>
      <c r="DS6" s="118" t="n"/>
      <c r="DT6" s="119" t="n"/>
      <c r="DU6" s="120" t="n"/>
      <c r="DV6" s="121" t="n"/>
      <c r="DW6" s="122" t="n"/>
      <c r="DX6" s="121" t="n"/>
      <c r="DY6" s="122" t="n"/>
      <c r="DZ6" s="121" t="n"/>
      <c r="EA6" s="122" t="n"/>
      <c r="EB6" s="121" t="n"/>
      <c r="EC6" s="122" t="n"/>
      <c r="ED6" s="121" t="n"/>
      <c r="EE6" s="122" t="n"/>
      <c r="EF6" s="121" t="n"/>
      <c r="EG6" s="122" t="n"/>
      <c r="EH6" s="121" t="n"/>
      <c r="EI6" s="122" t="n"/>
      <c r="EJ6" s="121" t="n"/>
      <c r="EK6" s="122" t="n"/>
      <c r="EL6" s="123" t="n"/>
      <c r="EM6" s="124" t="n"/>
      <c r="EN6" s="125" t="n"/>
      <c r="EO6" s="124" t="n"/>
      <c r="EP6" s="125" t="n"/>
      <c r="EQ6" s="124" t="n"/>
      <c r="ER6" s="125" t="n"/>
      <c r="ES6" s="124" t="n"/>
      <c r="ET6" s="125" t="n"/>
      <c r="EU6" s="124" t="n"/>
      <c r="EV6" s="125" t="n"/>
      <c r="EW6" s="124" t="n"/>
      <c r="EX6" s="125" t="n"/>
      <c r="EY6" s="124" t="n"/>
      <c r="EZ6" s="125" t="n"/>
      <c r="FA6" s="124" t="n"/>
      <c r="FB6" s="125" t="n"/>
      <c r="FC6" s="126" t="n"/>
      <c r="FD6" s="127" t="n"/>
      <c r="FE6" s="128" t="n"/>
      <c r="FF6" s="127" t="n"/>
      <c r="FG6" s="128" t="n"/>
      <c r="FH6" s="127" t="n"/>
      <c r="FI6" s="128" t="n"/>
      <c r="FJ6" s="127" t="n"/>
      <c r="FK6" s="128" t="n"/>
      <c r="FL6" s="127" t="n"/>
      <c r="FM6" s="128" t="n"/>
      <c r="FN6" s="127" t="n"/>
      <c r="FO6" s="128" t="n"/>
      <c r="FP6" s="127" t="n"/>
      <c r="FQ6" s="128" t="n"/>
      <c r="FR6" s="127" t="n"/>
      <c r="FS6" s="128" t="n"/>
      <c r="FT6" s="129" t="n"/>
      <c r="FU6" s="130" t="n"/>
      <c r="FV6" s="131" t="n"/>
      <c r="FW6" s="130" t="n"/>
      <c r="FX6" s="131" t="n"/>
      <c r="FY6" s="130" t="n"/>
      <c r="FZ6" s="131" t="n"/>
      <c r="GA6" s="130" t="n"/>
      <c r="GB6" s="131" t="n"/>
      <c r="GC6" s="130" t="n"/>
      <c r="GD6" s="131" t="n"/>
      <c r="GE6" s="130" t="n"/>
      <c r="GF6" s="131" t="n"/>
      <c r="GG6" s="130" t="n"/>
      <c r="GH6" s="131" t="n"/>
      <c r="GI6" s="130" t="n"/>
      <c r="GJ6" s="131" t="n"/>
      <c r="GK6" s="132" t="n"/>
      <c r="GL6" s="133" t="n"/>
      <c r="GM6" s="134" t="n"/>
      <c r="GN6" s="133" t="n"/>
      <c r="GO6" s="134" t="n"/>
      <c r="GP6" s="133" t="n"/>
      <c r="GQ6" s="134" t="n"/>
      <c r="GR6" s="133" t="n"/>
      <c r="GS6" s="134" t="n"/>
      <c r="GT6" s="133" t="n"/>
      <c r="GU6" s="134" t="n"/>
      <c r="GV6" s="133" t="n"/>
      <c r="GW6" s="134" t="n"/>
      <c r="GX6" s="133" t="n"/>
      <c r="GY6" s="134" t="n"/>
      <c r="GZ6" s="133" t="n"/>
      <c r="HA6" s="134" t="n"/>
      <c r="HB6" s="135" t="n"/>
      <c r="HC6">
        <f>COUNTIFS($G$3:$HB$3,"ح",$G6:$HB6,TRUE)</f>
        <v>0</v>
      </c>
      <c r="HD6">
        <f>COUNTIFS($G$3:$HB$3,"دفع",$G6:$HB6,TRUE)</f>
        <v>0</v>
      </c>
      <c r="HE6">
        <f>8*$HD6-$HC6</f>
        <v>0</v>
      </c>
    </row>
    <row r="7" ht="22.5" customHeight="1">
      <c r="A7" s="36" t="n">
        <v>4</v>
      </c>
      <c r="B7" s="97" t="n"/>
      <c r="C7" s="28" t="n"/>
      <c r="D7" s="98" t="str">
        <f>IF($B7="","",IF($HC7=0,"-",($HC7-8*INT(($HC7-1)/8))&amp;"/8"))</f>
        <v/>
      </c>
      <c r="E7" s="98" t="str">
        <f>IF($B7="","",IF(AND($HC7=0,$HD7=0),"-",$HE7))</f>
        <v/>
      </c>
      <c r="F7" s="99" t="str">
        <f>IF($B7="","",IF(AND($HC7=0,$HD7=0),"جديد",IF($HE7&gt;1,"تمام",IF($HE7=1,"آخر حصة",IF($HE7=0,"تجديد",IF($HE7=-1,"عليه حصة",IF($HE7=-2,"عليه حصتين","عليه "&amp;(-$HE7)&amp;" حصص")))))))</f>
        <v/>
      </c>
      <c r="G7" s="100" t="n"/>
      <c r="H7" s="101" t="n"/>
      <c r="I7" s="100" t="n"/>
      <c r="J7" s="101" t="n"/>
      <c r="K7" s="100" t="n"/>
      <c r="L7" s="101" t="n"/>
      <c r="M7" s="100" t="n"/>
      <c r="N7" s="101" t="n"/>
      <c r="O7" s="100" t="n"/>
      <c r="P7" s="101" t="n"/>
      <c r="Q7" s="100" t="n"/>
      <c r="R7" s="101" t="n"/>
      <c r="S7" s="100" t="n"/>
      <c r="T7" s="101" t="n"/>
      <c r="U7" s="100" t="n"/>
      <c r="V7" s="101" t="n"/>
      <c r="W7" s="102" t="n"/>
      <c r="X7" s="103" t="n"/>
      <c r="Y7" s="104" t="n"/>
      <c r="Z7" s="103" t="n"/>
      <c r="AA7" s="104" t="n"/>
      <c r="AB7" s="103" t="n"/>
      <c r="AC7" s="104" t="n"/>
      <c r="AD7" s="103" t="n"/>
      <c r="AE7" s="104" t="n"/>
      <c r="AF7" s="103" t="n"/>
      <c r="AG7" s="104" t="n"/>
      <c r="AH7" s="103" t="n"/>
      <c r="AI7" s="104" t="n"/>
      <c r="AJ7" s="103" t="n"/>
      <c r="AK7" s="104" t="n"/>
      <c r="AL7" s="103" t="n"/>
      <c r="AM7" s="104" t="n"/>
      <c r="AN7" s="105" t="n"/>
      <c r="AO7" s="106" t="n"/>
      <c r="AP7" s="107" t="n"/>
      <c r="AQ7" s="106" t="n"/>
      <c r="AR7" s="107" t="n"/>
      <c r="AS7" s="106" t="n"/>
      <c r="AT7" s="107" t="n"/>
      <c r="AU7" s="106" t="n"/>
      <c r="AV7" s="107" t="n"/>
      <c r="AW7" s="106" t="n"/>
      <c r="AX7" s="107" t="n"/>
      <c r="AY7" s="106" t="n"/>
      <c r="AZ7" s="107" t="n"/>
      <c r="BA7" s="106" t="n"/>
      <c r="BB7" s="107" t="n"/>
      <c r="BC7" s="106" t="n"/>
      <c r="BD7" s="107" t="n"/>
      <c r="BE7" s="108" t="n"/>
      <c r="BF7" s="109" t="n"/>
      <c r="BG7" s="110" t="n"/>
      <c r="BH7" s="109" t="n"/>
      <c r="BI7" s="110" t="n"/>
      <c r="BJ7" s="109" t="n"/>
      <c r="BK7" s="110" t="n"/>
      <c r="BL7" s="109" t="n"/>
      <c r="BM7" s="110" t="n"/>
      <c r="BN7" s="109" t="n"/>
      <c r="BO7" s="110" t="n"/>
      <c r="BP7" s="109" t="n"/>
      <c r="BQ7" s="110" t="n"/>
      <c r="BR7" s="109" t="n"/>
      <c r="BS7" s="110" t="n"/>
      <c r="BT7" s="109" t="n"/>
      <c r="BU7" s="110" t="n"/>
      <c r="BV7" s="111" t="n"/>
      <c r="BW7" s="112" t="n"/>
      <c r="BX7" s="113" t="n"/>
      <c r="BY7" s="112" t="n"/>
      <c r="BZ7" s="113" t="n"/>
      <c r="CA7" s="112" t="n"/>
      <c r="CB7" s="113" t="n"/>
      <c r="CC7" s="112" t="n"/>
      <c r="CD7" s="113" t="n"/>
      <c r="CE7" s="112" t="n"/>
      <c r="CF7" s="113" t="n"/>
      <c r="CG7" s="112" t="n"/>
      <c r="CH7" s="113" t="n"/>
      <c r="CI7" s="112" t="n"/>
      <c r="CJ7" s="113" t="n"/>
      <c r="CK7" s="112" t="n"/>
      <c r="CL7" s="113" t="n"/>
      <c r="CM7" s="114" t="n"/>
      <c r="CN7" s="115" t="n"/>
      <c r="CO7" s="116" t="n"/>
      <c r="CP7" s="115" t="n"/>
      <c r="CQ7" s="116" t="n"/>
      <c r="CR7" s="115" t="n"/>
      <c r="CS7" s="116" t="n"/>
      <c r="CT7" s="115" t="n"/>
      <c r="CU7" s="116" t="n"/>
      <c r="CV7" s="115" t="n"/>
      <c r="CW7" s="116" t="n"/>
      <c r="CX7" s="115" t="n"/>
      <c r="CY7" s="116" t="n"/>
      <c r="CZ7" s="115" t="n"/>
      <c r="DA7" s="116" t="n"/>
      <c r="DB7" s="115" t="n"/>
      <c r="DC7" s="116" t="n"/>
      <c r="DD7" s="117" t="n"/>
      <c r="DE7" s="118" t="n"/>
      <c r="DF7" s="119" t="n"/>
      <c r="DG7" s="118" t="n"/>
      <c r="DH7" s="119" t="n"/>
      <c r="DI7" s="118" t="n"/>
      <c r="DJ7" s="119" t="n"/>
      <c r="DK7" s="118" t="n"/>
      <c r="DL7" s="119" t="n"/>
      <c r="DM7" s="118" t="n"/>
      <c r="DN7" s="119" t="n"/>
      <c r="DO7" s="118" t="n"/>
      <c r="DP7" s="119" t="n"/>
      <c r="DQ7" s="118" t="n"/>
      <c r="DR7" s="119" t="n"/>
      <c r="DS7" s="118" t="n"/>
      <c r="DT7" s="119" t="n"/>
      <c r="DU7" s="120" t="n"/>
      <c r="DV7" s="121" t="n"/>
      <c r="DW7" s="122" t="n"/>
      <c r="DX7" s="121" t="n"/>
      <c r="DY7" s="122" t="n"/>
      <c r="DZ7" s="121" t="n"/>
      <c r="EA7" s="122" t="n"/>
      <c r="EB7" s="121" t="n"/>
      <c r="EC7" s="122" t="n"/>
      <c r="ED7" s="121" t="n"/>
      <c r="EE7" s="122" t="n"/>
      <c r="EF7" s="121" t="n"/>
      <c r="EG7" s="122" t="n"/>
      <c r="EH7" s="121" t="n"/>
      <c r="EI7" s="122" t="n"/>
      <c r="EJ7" s="121" t="n"/>
      <c r="EK7" s="122" t="n"/>
      <c r="EL7" s="123" t="n"/>
      <c r="EM7" s="124" t="n"/>
      <c r="EN7" s="125" t="n"/>
      <c r="EO7" s="124" t="n"/>
      <c r="EP7" s="125" t="n"/>
      <c r="EQ7" s="124" t="n"/>
      <c r="ER7" s="125" t="n"/>
      <c r="ES7" s="124" t="n"/>
      <c r="ET7" s="125" t="n"/>
      <c r="EU7" s="124" t="n"/>
      <c r="EV7" s="125" t="n"/>
      <c r="EW7" s="124" t="n"/>
      <c r="EX7" s="125" t="n"/>
      <c r="EY7" s="124" t="n"/>
      <c r="EZ7" s="125" t="n"/>
      <c r="FA7" s="124" t="n"/>
      <c r="FB7" s="125" t="n"/>
      <c r="FC7" s="126" t="n"/>
      <c r="FD7" s="127" t="n"/>
      <c r="FE7" s="128" t="n"/>
      <c r="FF7" s="127" t="n"/>
      <c r="FG7" s="128" t="n"/>
      <c r="FH7" s="127" t="n"/>
      <c r="FI7" s="128" t="n"/>
      <c r="FJ7" s="127" t="n"/>
      <c r="FK7" s="128" t="n"/>
      <c r="FL7" s="127" t="n"/>
      <c r="FM7" s="128" t="n"/>
      <c r="FN7" s="127" t="n"/>
      <c r="FO7" s="128" t="n"/>
      <c r="FP7" s="127" t="n"/>
      <c r="FQ7" s="128" t="n"/>
      <c r="FR7" s="127" t="n"/>
      <c r="FS7" s="128" t="n"/>
      <c r="FT7" s="129" t="n"/>
      <c r="FU7" s="130" t="n"/>
      <c r="FV7" s="131" t="n"/>
      <c r="FW7" s="130" t="n"/>
      <c r="FX7" s="131" t="n"/>
      <c r="FY7" s="130" t="n"/>
      <c r="FZ7" s="131" t="n"/>
      <c r="GA7" s="130" t="n"/>
      <c r="GB7" s="131" t="n"/>
      <c r="GC7" s="130" t="n"/>
      <c r="GD7" s="131" t="n"/>
      <c r="GE7" s="130" t="n"/>
      <c r="GF7" s="131" t="n"/>
      <c r="GG7" s="130" t="n"/>
      <c r="GH7" s="131" t="n"/>
      <c r="GI7" s="130" t="n"/>
      <c r="GJ7" s="131" t="n"/>
      <c r="GK7" s="132" t="n"/>
      <c r="GL7" s="133" t="n"/>
      <c r="GM7" s="134" t="n"/>
      <c r="GN7" s="133" t="n"/>
      <c r="GO7" s="134" t="n"/>
      <c r="GP7" s="133" t="n"/>
      <c r="GQ7" s="134" t="n"/>
      <c r="GR7" s="133" t="n"/>
      <c r="GS7" s="134" t="n"/>
      <c r="GT7" s="133" t="n"/>
      <c r="GU7" s="134" t="n"/>
      <c r="GV7" s="133" t="n"/>
      <c r="GW7" s="134" t="n"/>
      <c r="GX7" s="133" t="n"/>
      <c r="GY7" s="134" t="n"/>
      <c r="GZ7" s="133" t="n"/>
      <c r="HA7" s="134" t="n"/>
      <c r="HB7" s="135" t="n"/>
      <c r="HC7">
        <f>COUNTIFS($G$3:$HB$3,"ح",$G7:$HB7,TRUE)</f>
        <v>0</v>
      </c>
      <c r="HD7">
        <f>COUNTIFS($G$3:$HB$3,"دفع",$G7:$HB7,TRUE)</f>
        <v>0</v>
      </c>
      <c r="HE7">
        <f>8*$HD7-$HC7</f>
        <v>0</v>
      </c>
    </row>
    <row r="8" ht="22.5" customHeight="1">
      <c r="A8" s="36" t="n">
        <v>5</v>
      </c>
      <c r="B8" s="97" t="n"/>
      <c r="C8" s="28" t="n"/>
      <c r="D8" s="98" t="str">
        <f>IF($B8="","",IF($HC8=0,"-",($HC8-8*INT(($HC8-1)/8))&amp;"/8"))</f>
        <v/>
      </c>
      <c r="E8" s="98" t="str">
        <f>IF($B8="","",IF(AND($HC8=0,$HD8=0),"-",$HE8))</f>
        <v/>
      </c>
      <c r="F8" s="99" t="str">
        <f>IF($B8="","",IF(AND($HC8=0,$HD8=0),"جديد",IF($HE8&gt;1,"تمام",IF($HE8=1,"آخر حصة",IF($HE8=0,"تجديد",IF($HE8=-1,"عليه حصة",IF($HE8=-2,"عليه حصتين","عليه "&amp;(-$HE8)&amp;" حصص")))))))</f>
        <v/>
      </c>
      <c r="G8" s="100" t="n"/>
      <c r="H8" s="101" t="n"/>
      <c r="I8" s="100" t="n"/>
      <c r="J8" s="101" t="n"/>
      <c r="K8" s="100" t="n"/>
      <c r="L8" s="101" t="n"/>
      <c r="M8" s="100" t="n"/>
      <c r="N8" s="101" t="n"/>
      <c r="O8" s="100" t="n"/>
      <c r="P8" s="101" t="n"/>
      <c r="Q8" s="100" t="n"/>
      <c r="R8" s="101" t="n"/>
      <c r="S8" s="100" t="n"/>
      <c r="T8" s="101" t="n"/>
      <c r="U8" s="100" t="n"/>
      <c r="V8" s="101" t="n"/>
      <c r="W8" s="102" t="n"/>
      <c r="X8" s="103" t="n"/>
      <c r="Y8" s="104" t="n"/>
      <c r="Z8" s="103" t="n"/>
      <c r="AA8" s="104" t="n"/>
      <c r="AB8" s="103" t="n"/>
      <c r="AC8" s="104" t="n"/>
      <c r="AD8" s="103" t="n"/>
      <c r="AE8" s="104" t="n"/>
      <c r="AF8" s="103" t="n"/>
      <c r="AG8" s="104" t="n"/>
      <c r="AH8" s="103" t="n"/>
      <c r="AI8" s="104" t="n"/>
      <c r="AJ8" s="103" t="n"/>
      <c r="AK8" s="104" t="n"/>
      <c r="AL8" s="103" t="n"/>
      <c r="AM8" s="104" t="n"/>
      <c r="AN8" s="105" t="n"/>
      <c r="AO8" s="106" t="n"/>
      <c r="AP8" s="107" t="n"/>
      <c r="AQ8" s="106" t="n"/>
      <c r="AR8" s="107" t="n"/>
      <c r="AS8" s="106" t="n"/>
      <c r="AT8" s="107" t="n"/>
      <c r="AU8" s="106" t="n"/>
      <c r="AV8" s="107" t="n"/>
      <c r="AW8" s="106" t="n"/>
      <c r="AX8" s="107" t="n"/>
      <c r="AY8" s="106" t="n"/>
      <c r="AZ8" s="107" t="n"/>
      <c r="BA8" s="106" t="n"/>
      <c r="BB8" s="107" t="n"/>
      <c r="BC8" s="106" t="n"/>
      <c r="BD8" s="107" t="n"/>
      <c r="BE8" s="108" t="n"/>
      <c r="BF8" s="109" t="n"/>
      <c r="BG8" s="110" t="n"/>
      <c r="BH8" s="109" t="n"/>
      <c r="BI8" s="110" t="n"/>
      <c r="BJ8" s="109" t="n"/>
      <c r="BK8" s="110" t="n"/>
      <c r="BL8" s="109" t="n"/>
      <c r="BM8" s="110" t="n"/>
      <c r="BN8" s="109" t="n"/>
      <c r="BO8" s="110" t="n"/>
      <c r="BP8" s="109" t="n"/>
      <c r="BQ8" s="110" t="n"/>
      <c r="BR8" s="109" t="n"/>
      <c r="BS8" s="110" t="n"/>
      <c r="BT8" s="109" t="n"/>
      <c r="BU8" s="110" t="n"/>
      <c r="BV8" s="111" t="n"/>
      <c r="BW8" s="112" t="n"/>
      <c r="BX8" s="113" t="n"/>
      <c r="BY8" s="112" t="n"/>
      <c r="BZ8" s="113" t="n"/>
      <c r="CA8" s="112" t="n"/>
      <c r="CB8" s="113" t="n"/>
      <c r="CC8" s="112" t="n"/>
      <c r="CD8" s="113" t="n"/>
      <c r="CE8" s="112" t="n"/>
      <c r="CF8" s="113" t="n"/>
      <c r="CG8" s="112" t="n"/>
      <c r="CH8" s="113" t="n"/>
      <c r="CI8" s="112" t="n"/>
      <c r="CJ8" s="113" t="n"/>
      <c r="CK8" s="112" t="n"/>
      <c r="CL8" s="113" t="n"/>
      <c r="CM8" s="114" t="n"/>
      <c r="CN8" s="115" t="n"/>
      <c r="CO8" s="116" t="n"/>
      <c r="CP8" s="115" t="n"/>
      <c r="CQ8" s="116" t="n"/>
      <c r="CR8" s="115" t="n"/>
      <c r="CS8" s="116" t="n"/>
      <c r="CT8" s="115" t="n"/>
      <c r="CU8" s="116" t="n"/>
      <c r="CV8" s="115" t="n"/>
      <c r="CW8" s="116" t="n"/>
      <c r="CX8" s="115" t="n"/>
      <c r="CY8" s="116" t="n"/>
      <c r="CZ8" s="115" t="n"/>
      <c r="DA8" s="116" t="n"/>
      <c r="DB8" s="115" t="n"/>
      <c r="DC8" s="116" t="n"/>
      <c r="DD8" s="117" t="n"/>
      <c r="DE8" s="118" t="n"/>
      <c r="DF8" s="119" t="n"/>
      <c r="DG8" s="118" t="n"/>
      <c r="DH8" s="119" t="n"/>
      <c r="DI8" s="118" t="n"/>
      <c r="DJ8" s="119" t="n"/>
      <c r="DK8" s="118" t="n"/>
      <c r="DL8" s="119" t="n"/>
      <c r="DM8" s="118" t="n"/>
      <c r="DN8" s="119" t="n"/>
      <c r="DO8" s="118" t="n"/>
      <c r="DP8" s="119" t="n"/>
      <c r="DQ8" s="118" t="n"/>
      <c r="DR8" s="119" t="n"/>
      <c r="DS8" s="118" t="n"/>
      <c r="DT8" s="119" t="n"/>
      <c r="DU8" s="120" t="n"/>
      <c r="DV8" s="121" t="n"/>
      <c r="DW8" s="122" t="n"/>
      <c r="DX8" s="121" t="n"/>
      <c r="DY8" s="122" t="n"/>
      <c r="DZ8" s="121" t="n"/>
      <c r="EA8" s="122" t="n"/>
      <c r="EB8" s="121" t="n"/>
      <c r="EC8" s="122" t="n"/>
      <c r="ED8" s="121" t="n"/>
      <c r="EE8" s="122" t="n"/>
      <c r="EF8" s="121" t="n"/>
      <c r="EG8" s="122" t="n"/>
      <c r="EH8" s="121" t="n"/>
      <c r="EI8" s="122" t="n"/>
      <c r="EJ8" s="121" t="n"/>
      <c r="EK8" s="122" t="n"/>
      <c r="EL8" s="123" t="n"/>
      <c r="EM8" s="124" t="n"/>
      <c r="EN8" s="125" t="n"/>
      <c r="EO8" s="124" t="n"/>
      <c r="EP8" s="125" t="n"/>
      <c r="EQ8" s="124" t="n"/>
      <c r="ER8" s="125" t="n"/>
      <c r="ES8" s="124" t="n"/>
      <c r="ET8" s="125" t="n"/>
      <c r="EU8" s="124" t="n"/>
      <c r="EV8" s="125" t="n"/>
      <c r="EW8" s="124" t="n"/>
      <c r="EX8" s="125" t="n"/>
      <c r="EY8" s="124" t="n"/>
      <c r="EZ8" s="125" t="n"/>
      <c r="FA8" s="124" t="n"/>
      <c r="FB8" s="125" t="n"/>
      <c r="FC8" s="126" t="n"/>
      <c r="FD8" s="127" t="n"/>
      <c r="FE8" s="128" t="n"/>
      <c r="FF8" s="127" t="n"/>
      <c r="FG8" s="128" t="n"/>
      <c r="FH8" s="127" t="n"/>
      <c r="FI8" s="128" t="n"/>
      <c r="FJ8" s="127" t="n"/>
      <c r="FK8" s="128" t="n"/>
      <c r="FL8" s="127" t="n"/>
      <c r="FM8" s="128" t="n"/>
      <c r="FN8" s="127" t="n"/>
      <c r="FO8" s="128" t="n"/>
      <c r="FP8" s="127" t="n"/>
      <c r="FQ8" s="128" t="n"/>
      <c r="FR8" s="127" t="n"/>
      <c r="FS8" s="128" t="n"/>
      <c r="FT8" s="129" t="n"/>
      <c r="FU8" s="130" t="n"/>
      <c r="FV8" s="131" t="n"/>
      <c r="FW8" s="130" t="n"/>
      <c r="FX8" s="131" t="n"/>
      <c r="FY8" s="130" t="n"/>
      <c r="FZ8" s="131" t="n"/>
      <c r="GA8" s="130" t="n"/>
      <c r="GB8" s="131" t="n"/>
      <c r="GC8" s="130" t="n"/>
      <c r="GD8" s="131" t="n"/>
      <c r="GE8" s="130" t="n"/>
      <c r="GF8" s="131" t="n"/>
      <c r="GG8" s="130" t="n"/>
      <c r="GH8" s="131" t="n"/>
      <c r="GI8" s="130" t="n"/>
      <c r="GJ8" s="131" t="n"/>
      <c r="GK8" s="132" t="n"/>
      <c r="GL8" s="133" t="n"/>
      <c r="GM8" s="134" t="n"/>
      <c r="GN8" s="133" t="n"/>
      <c r="GO8" s="134" t="n"/>
      <c r="GP8" s="133" t="n"/>
      <c r="GQ8" s="134" t="n"/>
      <c r="GR8" s="133" t="n"/>
      <c r="GS8" s="134" t="n"/>
      <c r="GT8" s="133" t="n"/>
      <c r="GU8" s="134" t="n"/>
      <c r="GV8" s="133" t="n"/>
      <c r="GW8" s="134" t="n"/>
      <c r="GX8" s="133" t="n"/>
      <c r="GY8" s="134" t="n"/>
      <c r="GZ8" s="133" t="n"/>
      <c r="HA8" s="134" t="n"/>
      <c r="HB8" s="135" t="n"/>
      <c r="HC8">
        <f>COUNTIFS($G$3:$HB$3,"ح",$G8:$HB8,TRUE)</f>
        <v>0</v>
      </c>
      <c r="HD8">
        <f>COUNTIFS($G$3:$HB$3,"دفع",$G8:$HB8,TRUE)</f>
        <v>0</v>
      </c>
      <c r="HE8">
        <f>8*$HD8-$HC8</f>
        <v>0</v>
      </c>
    </row>
    <row r="9" ht="22.5" customHeight="1">
      <c r="A9" s="36" t="n">
        <v>6</v>
      </c>
      <c r="B9" s="97" t="n"/>
      <c r="C9" s="28" t="n"/>
      <c r="D9" s="98" t="str">
        <f>IF($B9="","",IF($HC9=0,"-",($HC9-8*INT(($HC9-1)/8))&amp;"/8"))</f>
        <v/>
      </c>
      <c r="E9" s="98" t="str">
        <f>IF($B9="","",IF(AND($HC9=0,$HD9=0),"-",$HE9))</f>
        <v/>
      </c>
      <c r="F9" s="99" t="str">
        <f>IF($B9="","",IF(AND($HC9=0,$HD9=0),"جديد",IF($HE9&gt;1,"تمام",IF($HE9=1,"آخر حصة",IF($HE9=0,"تجديد",IF($HE9=-1,"عليه حصة",IF($HE9=-2,"عليه حصتين","عليه "&amp;(-$HE9)&amp;" حصص")))))))</f>
        <v/>
      </c>
      <c r="G9" s="100" t="n"/>
      <c r="H9" s="101" t="n"/>
      <c r="I9" s="100" t="n"/>
      <c r="J9" s="101" t="n"/>
      <c r="K9" s="100" t="n"/>
      <c r="L9" s="101" t="n"/>
      <c r="M9" s="100" t="n"/>
      <c r="N9" s="101" t="n"/>
      <c r="O9" s="100" t="n"/>
      <c r="P9" s="101" t="n"/>
      <c r="Q9" s="100" t="n"/>
      <c r="R9" s="101" t="n"/>
      <c r="S9" s="100" t="n"/>
      <c r="T9" s="101" t="n"/>
      <c r="U9" s="100" t="n"/>
      <c r="V9" s="101" t="n"/>
      <c r="W9" s="102" t="n"/>
      <c r="X9" s="103" t="n"/>
      <c r="Y9" s="104" t="n"/>
      <c r="Z9" s="103" t="n"/>
      <c r="AA9" s="104" t="n"/>
      <c r="AB9" s="103" t="n"/>
      <c r="AC9" s="104" t="n"/>
      <c r="AD9" s="103" t="n"/>
      <c r="AE9" s="104" t="n"/>
      <c r="AF9" s="103" t="n"/>
      <c r="AG9" s="104" t="n"/>
      <c r="AH9" s="103" t="n"/>
      <c r="AI9" s="104" t="n"/>
      <c r="AJ9" s="103" t="n"/>
      <c r="AK9" s="104" t="n"/>
      <c r="AL9" s="103" t="n"/>
      <c r="AM9" s="104" t="n"/>
      <c r="AN9" s="105" t="n"/>
      <c r="AO9" s="106" t="n"/>
      <c r="AP9" s="107" t="n"/>
      <c r="AQ9" s="106" t="n"/>
      <c r="AR9" s="107" t="n"/>
      <c r="AS9" s="106" t="n"/>
      <c r="AT9" s="107" t="n"/>
      <c r="AU9" s="106" t="n"/>
      <c r="AV9" s="107" t="n"/>
      <c r="AW9" s="106" t="n"/>
      <c r="AX9" s="107" t="n"/>
      <c r="AY9" s="106" t="n"/>
      <c r="AZ9" s="107" t="n"/>
      <c r="BA9" s="106" t="n"/>
      <c r="BB9" s="107" t="n"/>
      <c r="BC9" s="106" t="n"/>
      <c r="BD9" s="107" t="n"/>
      <c r="BE9" s="108" t="n"/>
      <c r="BF9" s="109" t="n"/>
      <c r="BG9" s="110" t="n"/>
      <c r="BH9" s="109" t="n"/>
      <c r="BI9" s="110" t="n"/>
      <c r="BJ9" s="109" t="n"/>
      <c r="BK9" s="110" t="n"/>
      <c r="BL9" s="109" t="n"/>
      <c r="BM9" s="110" t="n"/>
      <c r="BN9" s="109" t="n"/>
      <c r="BO9" s="110" t="n"/>
      <c r="BP9" s="109" t="n"/>
      <c r="BQ9" s="110" t="n"/>
      <c r="BR9" s="109" t="n"/>
      <c r="BS9" s="110" t="n"/>
      <c r="BT9" s="109" t="n"/>
      <c r="BU9" s="110" t="n"/>
      <c r="BV9" s="111" t="n"/>
      <c r="BW9" s="112" t="n"/>
      <c r="BX9" s="113" t="n"/>
      <c r="BY9" s="112" t="n"/>
      <c r="BZ9" s="113" t="n"/>
      <c r="CA9" s="112" t="n"/>
      <c r="CB9" s="113" t="n"/>
      <c r="CC9" s="112" t="n"/>
      <c r="CD9" s="113" t="n"/>
      <c r="CE9" s="112" t="n"/>
      <c r="CF9" s="113" t="n"/>
      <c r="CG9" s="112" t="n"/>
      <c r="CH9" s="113" t="n"/>
      <c r="CI9" s="112" t="n"/>
      <c r="CJ9" s="113" t="n"/>
      <c r="CK9" s="112" t="n"/>
      <c r="CL9" s="113" t="n"/>
      <c r="CM9" s="114" t="n"/>
      <c r="CN9" s="115" t="n"/>
      <c r="CO9" s="116" t="n"/>
      <c r="CP9" s="115" t="n"/>
      <c r="CQ9" s="116" t="n"/>
      <c r="CR9" s="115" t="n"/>
      <c r="CS9" s="116" t="n"/>
      <c r="CT9" s="115" t="n"/>
      <c r="CU9" s="116" t="n"/>
      <c r="CV9" s="115" t="n"/>
      <c r="CW9" s="116" t="n"/>
      <c r="CX9" s="115" t="n"/>
      <c r="CY9" s="116" t="n"/>
      <c r="CZ9" s="115" t="n"/>
      <c r="DA9" s="116" t="n"/>
      <c r="DB9" s="115" t="n"/>
      <c r="DC9" s="116" t="n"/>
      <c r="DD9" s="117" t="n"/>
      <c r="DE9" s="118" t="n"/>
      <c r="DF9" s="119" t="n"/>
      <c r="DG9" s="118" t="n"/>
      <c r="DH9" s="119" t="n"/>
      <c r="DI9" s="118" t="n"/>
      <c r="DJ9" s="119" t="n"/>
      <c r="DK9" s="118" t="n"/>
      <c r="DL9" s="119" t="n"/>
      <c r="DM9" s="118" t="n"/>
      <c r="DN9" s="119" t="n"/>
      <c r="DO9" s="118" t="n"/>
      <c r="DP9" s="119" t="n"/>
      <c r="DQ9" s="118" t="n"/>
      <c r="DR9" s="119" t="n"/>
      <c r="DS9" s="118" t="n"/>
      <c r="DT9" s="119" t="n"/>
      <c r="DU9" s="120" t="n"/>
      <c r="DV9" s="121" t="n"/>
      <c r="DW9" s="122" t="n"/>
      <c r="DX9" s="121" t="n"/>
      <c r="DY9" s="122" t="n"/>
      <c r="DZ9" s="121" t="n"/>
      <c r="EA9" s="122" t="n"/>
      <c r="EB9" s="121" t="n"/>
      <c r="EC9" s="122" t="n"/>
      <c r="ED9" s="121" t="n"/>
      <c r="EE9" s="122" t="n"/>
      <c r="EF9" s="121" t="n"/>
      <c r="EG9" s="122" t="n"/>
      <c r="EH9" s="121" t="n"/>
      <c r="EI9" s="122" t="n"/>
      <c r="EJ9" s="121" t="n"/>
      <c r="EK9" s="122" t="n"/>
      <c r="EL9" s="123" t="n"/>
      <c r="EM9" s="124" t="n"/>
      <c r="EN9" s="125" t="n"/>
      <c r="EO9" s="124" t="n"/>
      <c r="EP9" s="125" t="n"/>
      <c r="EQ9" s="124" t="n"/>
      <c r="ER9" s="125" t="n"/>
      <c r="ES9" s="124" t="n"/>
      <c r="ET9" s="125" t="n"/>
      <c r="EU9" s="124" t="n"/>
      <c r="EV9" s="125" t="n"/>
      <c r="EW9" s="124" t="n"/>
      <c r="EX9" s="125" t="n"/>
      <c r="EY9" s="124" t="n"/>
      <c r="EZ9" s="125" t="n"/>
      <c r="FA9" s="124" t="n"/>
      <c r="FB9" s="125" t="n"/>
      <c r="FC9" s="126" t="n"/>
      <c r="FD9" s="127" t="n"/>
      <c r="FE9" s="128" t="n"/>
      <c r="FF9" s="127" t="n"/>
      <c r="FG9" s="128" t="n"/>
      <c r="FH9" s="127" t="n"/>
      <c r="FI9" s="128" t="n"/>
      <c r="FJ9" s="127" t="n"/>
      <c r="FK9" s="128" t="n"/>
      <c r="FL9" s="127" t="n"/>
      <c r="FM9" s="128" t="n"/>
      <c r="FN9" s="127" t="n"/>
      <c r="FO9" s="128" t="n"/>
      <c r="FP9" s="127" t="n"/>
      <c r="FQ9" s="128" t="n"/>
      <c r="FR9" s="127" t="n"/>
      <c r="FS9" s="128" t="n"/>
      <c r="FT9" s="129" t="n"/>
      <c r="FU9" s="130" t="n"/>
      <c r="FV9" s="131" t="n"/>
      <c r="FW9" s="130" t="n"/>
      <c r="FX9" s="131" t="n"/>
      <c r="FY9" s="130" t="n"/>
      <c r="FZ9" s="131" t="n"/>
      <c r="GA9" s="130" t="n"/>
      <c r="GB9" s="131" t="n"/>
      <c r="GC9" s="130" t="n"/>
      <c r="GD9" s="131" t="n"/>
      <c r="GE9" s="130" t="n"/>
      <c r="GF9" s="131" t="n"/>
      <c r="GG9" s="130" t="n"/>
      <c r="GH9" s="131" t="n"/>
      <c r="GI9" s="130" t="n"/>
      <c r="GJ9" s="131" t="n"/>
      <c r="GK9" s="132" t="n"/>
      <c r="GL9" s="133" t="n"/>
      <c r="GM9" s="134" t="n"/>
      <c r="GN9" s="133" t="n"/>
      <c r="GO9" s="134" t="n"/>
      <c r="GP9" s="133" t="n"/>
      <c r="GQ9" s="134" t="n"/>
      <c r="GR9" s="133" t="n"/>
      <c r="GS9" s="134" t="n"/>
      <c r="GT9" s="133" t="n"/>
      <c r="GU9" s="134" t="n"/>
      <c r="GV9" s="133" t="n"/>
      <c r="GW9" s="134" t="n"/>
      <c r="GX9" s="133" t="n"/>
      <c r="GY9" s="134" t="n"/>
      <c r="GZ9" s="133" t="n"/>
      <c r="HA9" s="134" t="n"/>
      <c r="HB9" s="135" t="n"/>
      <c r="HC9">
        <f>COUNTIFS($G$3:$HB$3,"ح",$G9:$HB9,TRUE)</f>
        <v>0</v>
      </c>
      <c r="HD9">
        <f>COUNTIFS($G$3:$HB$3,"دفع",$G9:$HB9,TRUE)</f>
        <v>0</v>
      </c>
      <c r="HE9">
        <f>8*$HD9-$HC9</f>
        <v>0</v>
      </c>
    </row>
    <row r="10" ht="22.5" customHeight="1">
      <c r="A10" s="36" t="n">
        <v>7</v>
      </c>
      <c r="B10" s="97" t="n"/>
      <c r="C10" s="28" t="n"/>
      <c r="D10" s="98" t="str">
        <f>IF($B10="","",IF($HC10=0,"-",($HC10-8*INT(($HC10-1)/8))&amp;"/8"))</f>
        <v/>
      </c>
      <c r="E10" s="98" t="str">
        <f>IF($B10="","",IF(AND($HC10=0,$HD10=0),"-",$HE10))</f>
        <v/>
      </c>
      <c r="F10" s="99" t="str">
        <f>IF($B10="","",IF(AND($HC10=0,$HD10=0),"جديد",IF($HE10&gt;1,"تمام",IF($HE10=1,"آخر حصة",IF($HE10=0,"تجديد",IF($HE10=-1,"عليه حصة",IF($HE10=-2,"عليه حصتين","عليه "&amp;(-$HE10)&amp;" حصص")))))))</f>
        <v/>
      </c>
      <c r="G10" s="100" t="n"/>
      <c r="H10" s="101" t="n"/>
      <c r="I10" s="100" t="n"/>
      <c r="J10" s="101" t="n"/>
      <c r="K10" s="100" t="n"/>
      <c r="L10" s="101" t="n"/>
      <c r="M10" s="100" t="n"/>
      <c r="N10" s="101" t="n"/>
      <c r="O10" s="100" t="n"/>
      <c r="P10" s="101" t="n"/>
      <c r="Q10" s="100" t="n"/>
      <c r="R10" s="101" t="n"/>
      <c r="S10" s="100" t="n"/>
      <c r="T10" s="101" t="n"/>
      <c r="U10" s="100" t="n"/>
      <c r="V10" s="101" t="n"/>
      <c r="W10" s="102" t="n"/>
      <c r="X10" s="103" t="n"/>
      <c r="Y10" s="104" t="n"/>
      <c r="Z10" s="103" t="n"/>
      <c r="AA10" s="104" t="n"/>
      <c r="AB10" s="103" t="n"/>
      <c r="AC10" s="104" t="n"/>
      <c r="AD10" s="103" t="n"/>
      <c r="AE10" s="104" t="n"/>
      <c r="AF10" s="103" t="n"/>
      <c r="AG10" s="104" t="n"/>
      <c r="AH10" s="103" t="n"/>
      <c r="AI10" s="104" t="n"/>
      <c r="AJ10" s="103" t="n"/>
      <c r="AK10" s="104" t="n"/>
      <c r="AL10" s="103" t="n"/>
      <c r="AM10" s="104" t="n"/>
      <c r="AN10" s="105" t="n"/>
      <c r="AO10" s="106" t="n"/>
      <c r="AP10" s="107" t="n"/>
      <c r="AQ10" s="106" t="n"/>
      <c r="AR10" s="107" t="n"/>
      <c r="AS10" s="106" t="n"/>
      <c r="AT10" s="107" t="n"/>
      <c r="AU10" s="106" t="n"/>
      <c r="AV10" s="107" t="n"/>
      <c r="AW10" s="106" t="n"/>
      <c r="AX10" s="107" t="n"/>
      <c r="AY10" s="106" t="n"/>
      <c r="AZ10" s="107" t="n"/>
      <c r="BA10" s="106" t="n"/>
      <c r="BB10" s="107" t="n"/>
      <c r="BC10" s="106" t="n"/>
      <c r="BD10" s="107" t="n"/>
      <c r="BE10" s="108" t="n"/>
      <c r="BF10" s="109" t="n"/>
      <c r="BG10" s="110" t="n"/>
      <c r="BH10" s="109" t="n"/>
      <c r="BI10" s="110" t="n"/>
      <c r="BJ10" s="109" t="n"/>
      <c r="BK10" s="110" t="n"/>
      <c r="BL10" s="109" t="n"/>
      <c r="BM10" s="110" t="n"/>
      <c r="BN10" s="109" t="n"/>
      <c r="BO10" s="110" t="n"/>
      <c r="BP10" s="109" t="n"/>
      <c r="BQ10" s="110" t="n"/>
      <c r="BR10" s="109" t="n"/>
      <c r="BS10" s="110" t="n"/>
      <c r="BT10" s="109" t="n"/>
      <c r="BU10" s="110" t="n"/>
      <c r="BV10" s="111" t="n"/>
      <c r="BW10" s="112" t="n"/>
      <c r="BX10" s="113" t="n"/>
      <c r="BY10" s="112" t="n"/>
      <c r="BZ10" s="113" t="n"/>
      <c r="CA10" s="112" t="n"/>
      <c r="CB10" s="113" t="n"/>
      <c r="CC10" s="112" t="n"/>
      <c r="CD10" s="113" t="n"/>
      <c r="CE10" s="112" t="n"/>
      <c r="CF10" s="113" t="n"/>
      <c r="CG10" s="112" t="n"/>
      <c r="CH10" s="113" t="n"/>
      <c r="CI10" s="112" t="n"/>
      <c r="CJ10" s="113" t="n"/>
      <c r="CK10" s="112" t="n"/>
      <c r="CL10" s="113" t="n"/>
      <c r="CM10" s="114" t="n"/>
      <c r="CN10" s="115" t="n"/>
      <c r="CO10" s="116" t="n"/>
      <c r="CP10" s="115" t="n"/>
      <c r="CQ10" s="116" t="n"/>
      <c r="CR10" s="115" t="n"/>
      <c r="CS10" s="116" t="n"/>
      <c r="CT10" s="115" t="n"/>
      <c r="CU10" s="116" t="n"/>
      <c r="CV10" s="115" t="n"/>
      <c r="CW10" s="116" t="n"/>
      <c r="CX10" s="115" t="n"/>
      <c r="CY10" s="116" t="n"/>
      <c r="CZ10" s="115" t="n"/>
      <c r="DA10" s="116" t="n"/>
      <c r="DB10" s="115" t="n"/>
      <c r="DC10" s="116" t="n"/>
      <c r="DD10" s="117" t="n"/>
      <c r="DE10" s="118" t="n"/>
      <c r="DF10" s="119" t="n"/>
      <c r="DG10" s="118" t="n"/>
      <c r="DH10" s="119" t="n"/>
      <c r="DI10" s="118" t="n"/>
      <c r="DJ10" s="119" t="n"/>
      <c r="DK10" s="118" t="n"/>
      <c r="DL10" s="119" t="n"/>
      <c r="DM10" s="118" t="n"/>
      <c r="DN10" s="119" t="n"/>
      <c r="DO10" s="118" t="n"/>
      <c r="DP10" s="119" t="n"/>
      <c r="DQ10" s="118" t="n"/>
      <c r="DR10" s="119" t="n"/>
      <c r="DS10" s="118" t="n"/>
      <c r="DT10" s="119" t="n"/>
      <c r="DU10" s="120" t="n"/>
      <c r="DV10" s="121" t="n"/>
      <c r="DW10" s="122" t="n"/>
      <c r="DX10" s="121" t="n"/>
      <c r="DY10" s="122" t="n"/>
      <c r="DZ10" s="121" t="n"/>
      <c r="EA10" s="122" t="n"/>
      <c r="EB10" s="121" t="n"/>
      <c r="EC10" s="122" t="n"/>
      <c r="ED10" s="121" t="n"/>
      <c r="EE10" s="122" t="n"/>
      <c r="EF10" s="121" t="n"/>
      <c r="EG10" s="122" t="n"/>
      <c r="EH10" s="121" t="n"/>
      <c r="EI10" s="122" t="n"/>
      <c r="EJ10" s="121" t="n"/>
      <c r="EK10" s="122" t="n"/>
      <c r="EL10" s="123" t="n"/>
      <c r="EM10" s="124" t="n"/>
      <c r="EN10" s="125" t="n"/>
      <c r="EO10" s="124" t="n"/>
      <c r="EP10" s="125" t="n"/>
      <c r="EQ10" s="124" t="n"/>
      <c r="ER10" s="125" t="n"/>
      <c r="ES10" s="124" t="n"/>
      <c r="ET10" s="125" t="n"/>
      <c r="EU10" s="124" t="n"/>
      <c r="EV10" s="125" t="n"/>
      <c r="EW10" s="124" t="n"/>
      <c r="EX10" s="125" t="n"/>
      <c r="EY10" s="124" t="n"/>
      <c r="EZ10" s="125" t="n"/>
      <c r="FA10" s="124" t="n"/>
      <c r="FB10" s="125" t="n"/>
      <c r="FC10" s="126" t="n"/>
      <c r="FD10" s="127" t="n"/>
      <c r="FE10" s="128" t="n"/>
      <c r="FF10" s="127" t="n"/>
      <c r="FG10" s="128" t="n"/>
      <c r="FH10" s="127" t="n"/>
      <c r="FI10" s="128" t="n"/>
      <c r="FJ10" s="127" t="n"/>
      <c r="FK10" s="128" t="n"/>
      <c r="FL10" s="127" t="n"/>
      <c r="FM10" s="128" t="n"/>
      <c r="FN10" s="127" t="n"/>
      <c r="FO10" s="128" t="n"/>
      <c r="FP10" s="127" t="n"/>
      <c r="FQ10" s="128" t="n"/>
      <c r="FR10" s="127" t="n"/>
      <c r="FS10" s="128" t="n"/>
      <c r="FT10" s="129" t="n"/>
      <c r="FU10" s="130" t="n"/>
      <c r="FV10" s="131" t="n"/>
      <c r="FW10" s="130" t="n"/>
      <c r="FX10" s="131" t="n"/>
      <c r="FY10" s="130" t="n"/>
      <c r="FZ10" s="131" t="n"/>
      <c r="GA10" s="130" t="n"/>
      <c r="GB10" s="131" t="n"/>
      <c r="GC10" s="130" t="n"/>
      <c r="GD10" s="131" t="n"/>
      <c r="GE10" s="130" t="n"/>
      <c r="GF10" s="131" t="n"/>
      <c r="GG10" s="130" t="n"/>
      <c r="GH10" s="131" t="n"/>
      <c r="GI10" s="130" t="n"/>
      <c r="GJ10" s="131" t="n"/>
      <c r="GK10" s="132" t="n"/>
      <c r="GL10" s="133" t="n"/>
      <c r="GM10" s="134" t="n"/>
      <c r="GN10" s="133" t="n"/>
      <c r="GO10" s="134" t="n"/>
      <c r="GP10" s="133" t="n"/>
      <c r="GQ10" s="134" t="n"/>
      <c r="GR10" s="133" t="n"/>
      <c r="GS10" s="134" t="n"/>
      <c r="GT10" s="133" t="n"/>
      <c r="GU10" s="134" t="n"/>
      <c r="GV10" s="133" t="n"/>
      <c r="GW10" s="134" t="n"/>
      <c r="GX10" s="133" t="n"/>
      <c r="GY10" s="134" t="n"/>
      <c r="GZ10" s="133" t="n"/>
      <c r="HA10" s="134" t="n"/>
      <c r="HB10" s="135" t="n"/>
      <c r="HC10">
        <f>COUNTIFS($G$3:$HB$3,"ح",$G10:$HB10,TRUE)</f>
        <v>0</v>
      </c>
      <c r="HD10">
        <f>COUNTIFS($G$3:$HB$3,"دفع",$G10:$HB10,TRUE)</f>
        <v>0</v>
      </c>
      <c r="HE10">
        <f>8*$HD10-$HC10</f>
        <v>0</v>
      </c>
    </row>
    <row r="11" ht="22.5" customHeight="1">
      <c r="A11" s="36" t="n">
        <v>8</v>
      </c>
      <c r="B11" s="97" t="n"/>
      <c r="C11" s="28" t="n"/>
      <c r="D11" s="98" t="str">
        <f>IF($B11="","",IF($HC11=0,"-",($HC11-8*INT(($HC11-1)/8))&amp;"/8"))</f>
        <v/>
      </c>
      <c r="E11" s="98" t="str">
        <f>IF($B11="","",IF(AND($HC11=0,$HD11=0),"-",$HE11))</f>
        <v/>
      </c>
      <c r="F11" s="99" t="str">
        <f>IF($B11="","",IF(AND($HC11=0,$HD11=0),"جديد",IF($HE11&gt;1,"تمام",IF($HE11=1,"آخر حصة",IF($HE11=0,"تجديد",IF($HE11=-1,"عليه حصة",IF($HE11=-2,"عليه حصتين","عليه "&amp;(-$HE11)&amp;" حصص")))))))</f>
        <v/>
      </c>
      <c r="G11" s="100" t="n"/>
      <c r="H11" s="101" t="n"/>
      <c r="I11" s="100" t="n"/>
      <c r="J11" s="101" t="n"/>
      <c r="K11" s="100" t="n"/>
      <c r="L11" s="101" t="n"/>
      <c r="M11" s="100" t="n"/>
      <c r="N11" s="101" t="n"/>
      <c r="O11" s="100" t="n"/>
      <c r="P11" s="101" t="n"/>
      <c r="Q11" s="100" t="n"/>
      <c r="R11" s="101" t="n"/>
      <c r="S11" s="100" t="n"/>
      <c r="T11" s="101" t="n"/>
      <c r="U11" s="100" t="n"/>
      <c r="V11" s="101" t="n"/>
      <c r="W11" s="102" t="n"/>
      <c r="X11" s="103" t="n"/>
      <c r="Y11" s="104" t="n"/>
      <c r="Z11" s="103" t="n"/>
      <c r="AA11" s="104" t="n"/>
      <c r="AB11" s="103" t="n"/>
      <c r="AC11" s="104" t="n"/>
      <c r="AD11" s="103" t="n"/>
      <c r="AE11" s="104" t="n"/>
      <c r="AF11" s="103" t="n"/>
      <c r="AG11" s="104" t="n"/>
      <c r="AH11" s="103" t="n"/>
      <c r="AI11" s="104" t="n"/>
      <c r="AJ11" s="103" t="n"/>
      <c r="AK11" s="104" t="n"/>
      <c r="AL11" s="103" t="n"/>
      <c r="AM11" s="104" t="n"/>
      <c r="AN11" s="105" t="n"/>
      <c r="AO11" s="106" t="n"/>
      <c r="AP11" s="107" t="n"/>
      <c r="AQ11" s="106" t="n"/>
      <c r="AR11" s="107" t="n"/>
      <c r="AS11" s="106" t="n"/>
      <c r="AT11" s="107" t="n"/>
      <c r="AU11" s="106" t="n"/>
      <c r="AV11" s="107" t="n"/>
      <c r="AW11" s="106" t="n"/>
      <c r="AX11" s="107" t="n"/>
      <c r="AY11" s="106" t="n"/>
      <c r="AZ11" s="107" t="n"/>
      <c r="BA11" s="106" t="n"/>
      <c r="BB11" s="107" t="n"/>
      <c r="BC11" s="106" t="n"/>
      <c r="BD11" s="107" t="n"/>
      <c r="BE11" s="108" t="n"/>
      <c r="BF11" s="109" t="n"/>
      <c r="BG11" s="110" t="n"/>
      <c r="BH11" s="109" t="n"/>
      <c r="BI11" s="110" t="n"/>
      <c r="BJ11" s="109" t="n"/>
      <c r="BK11" s="110" t="n"/>
      <c r="BL11" s="109" t="n"/>
      <c r="BM11" s="110" t="n"/>
      <c r="BN11" s="109" t="n"/>
      <c r="BO11" s="110" t="n"/>
      <c r="BP11" s="109" t="n"/>
      <c r="BQ11" s="110" t="n"/>
      <c r="BR11" s="109" t="n"/>
      <c r="BS11" s="110" t="n"/>
      <c r="BT11" s="109" t="n"/>
      <c r="BU11" s="110" t="n"/>
      <c r="BV11" s="111" t="n"/>
      <c r="BW11" s="112" t="n"/>
      <c r="BX11" s="113" t="n"/>
      <c r="BY11" s="112" t="n"/>
      <c r="BZ11" s="113" t="n"/>
      <c r="CA11" s="112" t="n"/>
      <c r="CB11" s="113" t="n"/>
      <c r="CC11" s="112" t="n"/>
      <c r="CD11" s="113" t="n"/>
      <c r="CE11" s="112" t="n"/>
      <c r="CF11" s="113" t="n"/>
      <c r="CG11" s="112" t="n"/>
      <c r="CH11" s="113" t="n"/>
      <c r="CI11" s="112" t="n"/>
      <c r="CJ11" s="113" t="n"/>
      <c r="CK11" s="112" t="n"/>
      <c r="CL11" s="113" t="n"/>
      <c r="CM11" s="114" t="n"/>
      <c r="CN11" s="115" t="n"/>
      <c r="CO11" s="116" t="n"/>
      <c r="CP11" s="115" t="n"/>
      <c r="CQ11" s="116" t="n"/>
      <c r="CR11" s="115" t="n"/>
      <c r="CS11" s="116" t="n"/>
      <c r="CT11" s="115" t="n"/>
      <c r="CU11" s="116" t="n"/>
      <c r="CV11" s="115" t="n"/>
      <c r="CW11" s="116" t="n"/>
      <c r="CX11" s="115" t="n"/>
      <c r="CY11" s="116" t="n"/>
      <c r="CZ11" s="115" t="n"/>
      <c r="DA11" s="116" t="n"/>
      <c r="DB11" s="115" t="n"/>
      <c r="DC11" s="116" t="n"/>
      <c r="DD11" s="117" t="n"/>
      <c r="DE11" s="118" t="n"/>
      <c r="DF11" s="119" t="n"/>
      <c r="DG11" s="118" t="n"/>
      <c r="DH11" s="119" t="n"/>
      <c r="DI11" s="118" t="n"/>
      <c r="DJ11" s="119" t="n"/>
      <c r="DK11" s="118" t="n"/>
      <c r="DL11" s="119" t="n"/>
      <c r="DM11" s="118" t="n"/>
      <c r="DN11" s="119" t="n"/>
      <c r="DO11" s="118" t="n"/>
      <c r="DP11" s="119" t="n"/>
      <c r="DQ11" s="118" t="n"/>
      <c r="DR11" s="119" t="n"/>
      <c r="DS11" s="118" t="n"/>
      <c r="DT11" s="119" t="n"/>
      <c r="DU11" s="120" t="n"/>
      <c r="DV11" s="121" t="n"/>
      <c r="DW11" s="122" t="n"/>
      <c r="DX11" s="121" t="n"/>
      <c r="DY11" s="122" t="n"/>
      <c r="DZ11" s="121" t="n"/>
      <c r="EA11" s="122" t="n"/>
      <c r="EB11" s="121" t="n"/>
      <c r="EC11" s="122" t="n"/>
      <c r="ED11" s="121" t="n"/>
      <c r="EE11" s="122" t="n"/>
      <c r="EF11" s="121" t="n"/>
      <c r="EG11" s="122" t="n"/>
      <c r="EH11" s="121" t="n"/>
      <c r="EI11" s="122" t="n"/>
      <c r="EJ11" s="121" t="n"/>
      <c r="EK11" s="122" t="n"/>
      <c r="EL11" s="123" t="n"/>
      <c r="EM11" s="124" t="n"/>
      <c r="EN11" s="125" t="n"/>
      <c r="EO11" s="124" t="n"/>
      <c r="EP11" s="125" t="n"/>
      <c r="EQ11" s="124" t="n"/>
      <c r="ER11" s="125" t="n"/>
      <c r="ES11" s="124" t="n"/>
      <c r="ET11" s="125" t="n"/>
      <c r="EU11" s="124" t="n"/>
      <c r="EV11" s="125" t="n"/>
      <c r="EW11" s="124" t="n"/>
      <c r="EX11" s="125" t="n"/>
      <c r="EY11" s="124" t="n"/>
      <c r="EZ11" s="125" t="n"/>
      <c r="FA11" s="124" t="n"/>
      <c r="FB11" s="125" t="n"/>
      <c r="FC11" s="126" t="n"/>
      <c r="FD11" s="127" t="n"/>
      <c r="FE11" s="128" t="n"/>
      <c r="FF11" s="127" t="n"/>
      <c r="FG11" s="128" t="n"/>
      <c r="FH11" s="127" t="n"/>
      <c r="FI11" s="128" t="n"/>
      <c r="FJ11" s="127" t="n"/>
      <c r="FK11" s="128" t="n"/>
      <c r="FL11" s="127" t="n"/>
      <c r="FM11" s="128" t="n"/>
      <c r="FN11" s="127" t="n"/>
      <c r="FO11" s="128" t="n"/>
      <c r="FP11" s="127" t="n"/>
      <c r="FQ11" s="128" t="n"/>
      <c r="FR11" s="127" t="n"/>
      <c r="FS11" s="128" t="n"/>
      <c r="FT11" s="129" t="n"/>
      <c r="FU11" s="130" t="n"/>
      <c r="FV11" s="131" t="n"/>
      <c r="FW11" s="130" t="n"/>
      <c r="FX11" s="131" t="n"/>
      <c r="FY11" s="130" t="n"/>
      <c r="FZ11" s="131" t="n"/>
      <c r="GA11" s="130" t="n"/>
      <c r="GB11" s="131" t="n"/>
      <c r="GC11" s="130" t="n"/>
      <c r="GD11" s="131" t="n"/>
      <c r="GE11" s="130" t="n"/>
      <c r="GF11" s="131" t="n"/>
      <c r="GG11" s="130" t="n"/>
      <c r="GH11" s="131" t="n"/>
      <c r="GI11" s="130" t="n"/>
      <c r="GJ11" s="131" t="n"/>
      <c r="GK11" s="132" t="n"/>
      <c r="GL11" s="133" t="n"/>
      <c r="GM11" s="134" t="n"/>
      <c r="GN11" s="133" t="n"/>
      <c r="GO11" s="134" t="n"/>
      <c r="GP11" s="133" t="n"/>
      <c r="GQ11" s="134" t="n"/>
      <c r="GR11" s="133" t="n"/>
      <c r="GS11" s="134" t="n"/>
      <c r="GT11" s="133" t="n"/>
      <c r="GU11" s="134" t="n"/>
      <c r="GV11" s="133" t="n"/>
      <c r="GW11" s="134" t="n"/>
      <c r="GX11" s="133" t="n"/>
      <c r="GY11" s="134" t="n"/>
      <c r="GZ11" s="133" t="n"/>
      <c r="HA11" s="134" t="n"/>
      <c r="HB11" s="135" t="n"/>
      <c r="HC11">
        <f>COUNTIFS($G$3:$HB$3,"ح",$G11:$HB11,TRUE)</f>
        <v>0</v>
      </c>
      <c r="HD11">
        <f>COUNTIFS($G$3:$HB$3,"دفع",$G11:$HB11,TRUE)</f>
        <v>0</v>
      </c>
      <c r="HE11">
        <f>8*$HD11-$HC11</f>
        <v>0</v>
      </c>
    </row>
    <row r="12" ht="22.5" customHeight="1">
      <c r="A12" s="36" t="n">
        <v>9</v>
      </c>
      <c r="B12" s="97" t="n"/>
      <c r="C12" s="28" t="n"/>
      <c r="D12" s="98" t="str">
        <f>IF($B12="","",IF($HC12=0,"-",($HC12-8*INT(($HC12-1)/8))&amp;"/8"))</f>
        <v/>
      </c>
      <c r="E12" s="98" t="str">
        <f>IF($B12="","",IF(AND($HC12=0,$HD12=0),"-",$HE12))</f>
        <v/>
      </c>
      <c r="F12" s="99" t="str">
        <f>IF($B12="","",IF(AND($HC12=0,$HD12=0),"جديد",IF($HE12&gt;1,"تمام",IF($HE12=1,"آخر حصة",IF($HE12=0,"تجديد",IF($HE12=-1,"عليه حصة",IF($HE12=-2,"عليه حصتين","عليه "&amp;(-$HE12)&amp;" حصص")))))))</f>
        <v/>
      </c>
      <c r="G12" s="100" t="n"/>
      <c r="H12" s="101" t="n"/>
      <c r="I12" s="100" t="n"/>
      <c r="J12" s="101" t="n"/>
      <c r="K12" s="100" t="n"/>
      <c r="L12" s="101" t="n"/>
      <c r="M12" s="100" t="n"/>
      <c r="N12" s="101" t="n"/>
      <c r="O12" s="100" t="n"/>
      <c r="P12" s="101" t="n"/>
      <c r="Q12" s="100" t="n"/>
      <c r="R12" s="101" t="n"/>
      <c r="S12" s="100" t="n"/>
      <c r="T12" s="101" t="n"/>
      <c r="U12" s="100" t="n"/>
      <c r="V12" s="101" t="n"/>
      <c r="W12" s="102" t="n"/>
      <c r="X12" s="103" t="n"/>
      <c r="Y12" s="104" t="n"/>
      <c r="Z12" s="103" t="n"/>
      <c r="AA12" s="104" t="n"/>
      <c r="AB12" s="103" t="n"/>
      <c r="AC12" s="104" t="n"/>
      <c r="AD12" s="103" t="n"/>
      <c r="AE12" s="104" t="n"/>
      <c r="AF12" s="103" t="n"/>
      <c r="AG12" s="104" t="n"/>
      <c r="AH12" s="103" t="n"/>
      <c r="AI12" s="104" t="n"/>
      <c r="AJ12" s="103" t="n"/>
      <c r="AK12" s="104" t="n"/>
      <c r="AL12" s="103" t="n"/>
      <c r="AM12" s="104" t="n"/>
      <c r="AN12" s="105" t="n"/>
      <c r="AO12" s="106" t="n"/>
      <c r="AP12" s="107" t="n"/>
      <c r="AQ12" s="106" t="n"/>
      <c r="AR12" s="107" t="n"/>
      <c r="AS12" s="106" t="n"/>
      <c r="AT12" s="107" t="n"/>
      <c r="AU12" s="106" t="n"/>
      <c r="AV12" s="107" t="n"/>
      <c r="AW12" s="106" t="n"/>
      <c r="AX12" s="107" t="n"/>
      <c r="AY12" s="106" t="n"/>
      <c r="AZ12" s="107" t="n"/>
      <c r="BA12" s="106" t="n"/>
      <c r="BB12" s="107" t="n"/>
      <c r="BC12" s="106" t="n"/>
      <c r="BD12" s="107" t="n"/>
      <c r="BE12" s="108" t="n"/>
      <c r="BF12" s="109" t="n"/>
      <c r="BG12" s="110" t="n"/>
      <c r="BH12" s="109" t="n"/>
      <c r="BI12" s="110" t="n"/>
      <c r="BJ12" s="109" t="n"/>
      <c r="BK12" s="110" t="n"/>
      <c r="BL12" s="109" t="n"/>
      <c r="BM12" s="110" t="n"/>
      <c r="BN12" s="109" t="n"/>
      <c r="BO12" s="110" t="n"/>
      <c r="BP12" s="109" t="n"/>
      <c r="BQ12" s="110" t="n"/>
      <c r="BR12" s="109" t="n"/>
      <c r="BS12" s="110" t="n"/>
      <c r="BT12" s="109" t="n"/>
      <c r="BU12" s="110" t="n"/>
      <c r="BV12" s="111" t="n"/>
      <c r="BW12" s="112" t="n"/>
      <c r="BX12" s="113" t="n"/>
      <c r="BY12" s="112" t="n"/>
      <c r="BZ12" s="113" t="n"/>
      <c r="CA12" s="112" t="n"/>
      <c r="CB12" s="113" t="n"/>
      <c r="CC12" s="112" t="n"/>
      <c r="CD12" s="113" t="n"/>
      <c r="CE12" s="112" t="n"/>
      <c r="CF12" s="113" t="n"/>
      <c r="CG12" s="112" t="n"/>
      <c r="CH12" s="113" t="n"/>
      <c r="CI12" s="112" t="n"/>
      <c r="CJ12" s="113" t="n"/>
      <c r="CK12" s="112" t="n"/>
      <c r="CL12" s="113" t="n"/>
      <c r="CM12" s="114" t="n"/>
      <c r="CN12" s="115" t="n"/>
      <c r="CO12" s="116" t="n"/>
      <c r="CP12" s="115" t="n"/>
      <c r="CQ12" s="116" t="n"/>
      <c r="CR12" s="115" t="n"/>
      <c r="CS12" s="116" t="n"/>
      <c r="CT12" s="115" t="n"/>
      <c r="CU12" s="116" t="n"/>
      <c r="CV12" s="115" t="n"/>
      <c r="CW12" s="116" t="n"/>
      <c r="CX12" s="115" t="n"/>
      <c r="CY12" s="116" t="n"/>
      <c r="CZ12" s="115" t="n"/>
      <c r="DA12" s="116" t="n"/>
      <c r="DB12" s="115" t="n"/>
      <c r="DC12" s="116" t="n"/>
      <c r="DD12" s="117" t="n"/>
      <c r="DE12" s="118" t="n"/>
      <c r="DF12" s="119" t="n"/>
      <c r="DG12" s="118" t="n"/>
      <c r="DH12" s="119" t="n"/>
      <c r="DI12" s="118" t="n"/>
      <c r="DJ12" s="119" t="n"/>
      <c r="DK12" s="118" t="n"/>
      <c r="DL12" s="119" t="n"/>
      <c r="DM12" s="118" t="n"/>
      <c r="DN12" s="119" t="n"/>
      <c r="DO12" s="118" t="n"/>
      <c r="DP12" s="119" t="n"/>
      <c r="DQ12" s="118" t="n"/>
      <c r="DR12" s="119" t="n"/>
      <c r="DS12" s="118" t="n"/>
      <c r="DT12" s="119" t="n"/>
      <c r="DU12" s="120" t="n"/>
      <c r="DV12" s="121" t="n"/>
      <c r="DW12" s="122" t="n"/>
      <c r="DX12" s="121" t="n"/>
      <c r="DY12" s="122" t="n"/>
      <c r="DZ12" s="121" t="n"/>
      <c r="EA12" s="122" t="n"/>
      <c r="EB12" s="121" t="n"/>
      <c r="EC12" s="122" t="n"/>
      <c r="ED12" s="121" t="n"/>
      <c r="EE12" s="122" t="n"/>
      <c r="EF12" s="121" t="n"/>
      <c r="EG12" s="122" t="n"/>
      <c r="EH12" s="121" t="n"/>
      <c r="EI12" s="122" t="n"/>
      <c r="EJ12" s="121" t="n"/>
      <c r="EK12" s="122" t="n"/>
      <c r="EL12" s="123" t="n"/>
      <c r="EM12" s="124" t="n"/>
      <c r="EN12" s="125" t="n"/>
      <c r="EO12" s="124" t="n"/>
      <c r="EP12" s="125" t="n"/>
      <c r="EQ12" s="124" t="n"/>
      <c r="ER12" s="125" t="n"/>
      <c r="ES12" s="124" t="n"/>
      <c r="ET12" s="125" t="n"/>
      <c r="EU12" s="124" t="n"/>
      <c r="EV12" s="125" t="n"/>
      <c r="EW12" s="124" t="n"/>
      <c r="EX12" s="125" t="n"/>
      <c r="EY12" s="124" t="n"/>
      <c r="EZ12" s="125" t="n"/>
      <c r="FA12" s="124" t="n"/>
      <c r="FB12" s="125" t="n"/>
      <c r="FC12" s="126" t="n"/>
      <c r="FD12" s="127" t="n"/>
      <c r="FE12" s="128" t="n"/>
      <c r="FF12" s="127" t="n"/>
      <c r="FG12" s="128" t="n"/>
      <c r="FH12" s="127" t="n"/>
      <c r="FI12" s="128" t="n"/>
      <c r="FJ12" s="127" t="n"/>
      <c r="FK12" s="128" t="n"/>
      <c r="FL12" s="127" t="n"/>
      <c r="FM12" s="128" t="n"/>
      <c r="FN12" s="127" t="n"/>
      <c r="FO12" s="128" t="n"/>
      <c r="FP12" s="127" t="n"/>
      <c r="FQ12" s="128" t="n"/>
      <c r="FR12" s="127" t="n"/>
      <c r="FS12" s="128" t="n"/>
      <c r="FT12" s="129" t="n"/>
      <c r="FU12" s="130" t="n"/>
      <c r="FV12" s="131" t="n"/>
      <c r="FW12" s="130" t="n"/>
      <c r="FX12" s="131" t="n"/>
      <c r="FY12" s="130" t="n"/>
      <c r="FZ12" s="131" t="n"/>
      <c r="GA12" s="130" t="n"/>
      <c r="GB12" s="131" t="n"/>
      <c r="GC12" s="130" t="n"/>
      <c r="GD12" s="131" t="n"/>
      <c r="GE12" s="130" t="n"/>
      <c r="GF12" s="131" t="n"/>
      <c r="GG12" s="130" t="n"/>
      <c r="GH12" s="131" t="n"/>
      <c r="GI12" s="130" t="n"/>
      <c r="GJ12" s="131" t="n"/>
      <c r="GK12" s="132" t="n"/>
      <c r="GL12" s="133" t="n"/>
      <c r="GM12" s="134" t="n"/>
      <c r="GN12" s="133" t="n"/>
      <c r="GO12" s="134" t="n"/>
      <c r="GP12" s="133" t="n"/>
      <c r="GQ12" s="134" t="n"/>
      <c r="GR12" s="133" t="n"/>
      <c r="GS12" s="134" t="n"/>
      <c r="GT12" s="133" t="n"/>
      <c r="GU12" s="134" t="n"/>
      <c r="GV12" s="133" t="n"/>
      <c r="GW12" s="134" t="n"/>
      <c r="GX12" s="133" t="n"/>
      <c r="GY12" s="134" t="n"/>
      <c r="GZ12" s="133" t="n"/>
      <c r="HA12" s="134" t="n"/>
      <c r="HB12" s="135" t="n"/>
      <c r="HC12">
        <f>COUNTIFS($G$3:$HB$3,"ح",$G12:$HB12,TRUE)</f>
        <v>0</v>
      </c>
      <c r="HD12">
        <f>COUNTIFS($G$3:$HB$3,"دفع",$G12:$HB12,TRUE)</f>
        <v>0</v>
      </c>
      <c r="HE12">
        <f>8*$HD12-$HC12</f>
        <v>0</v>
      </c>
    </row>
    <row r="13" ht="22.5" customHeight="1">
      <c r="A13" s="36" t="n">
        <v>10</v>
      </c>
      <c r="B13" s="97" t="n"/>
      <c r="C13" s="28" t="n"/>
      <c r="D13" s="98" t="str">
        <f>IF($B13="","",IF($HC13=0,"-",($HC13-8*INT(($HC13-1)/8))&amp;"/8"))</f>
        <v/>
      </c>
      <c r="E13" s="98" t="str">
        <f>IF($B13="","",IF(AND($HC13=0,$HD13=0),"-",$HE13))</f>
        <v/>
      </c>
      <c r="F13" s="99" t="str">
        <f>IF($B13="","",IF(AND($HC13=0,$HD13=0),"جديد",IF($HE13&gt;1,"تمام",IF($HE13=1,"آخر حصة",IF($HE13=0,"تجديد",IF($HE13=-1,"عليه حصة",IF($HE13=-2,"عليه حصتين","عليه "&amp;(-$HE13)&amp;" حصص")))))))</f>
        <v/>
      </c>
      <c r="G13" s="100" t="n"/>
      <c r="H13" s="101" t="n"/>
      <c r="I13" s="100" t="n"/>
      <c r="J13" s="101" t="n"/>
      <c r="K13" s="100" t="n"/>
      <c r="L13" s="101" t="n"/>
      <c r="M13" s="100" t="n"/>
      <c r="N13" s="101" t="n"/>
      <c r="O13" s="100" t="n"/>
      <c r="P13" s="101" t="n"/>
      <c r="Q13" s="100" t="n"/>
      <c r="R13" s="101" t="n"/>
      <c r="S13" s="100" t="n"/>
      <c r="T13" s="101" t="n"/>
      <c r="U13" s="100" t="n"/>
      <c r="V13" s="101" t="n"/>
      <c r="W13" s="102" t="n"/>
      <c r="X13" s="103" t="n"/>
      <c r="Y13" s="104" t="n"/>
      <c r="Z13" s="103" t="n"/>
      <c r="AA13" s="104" t="n"/>
      <c r="AB13" s="103" t="n"/>
      <c r="AC13" s="104" t="n"/>
      <c r="AD13" s="103" t="n"/>
      <c r="AE13" s="104" t="n"/>
      <c r="AF13" s="103" t="n"/>
      <c r="AG13" s="104" t="n"/>
      <c r="AH13" s="103" t="n"/>
      <c r="AI13" s="104" t="n"/>
      <c r="AJ13" s="103" t="n"/>
      <c r="AK13" s="104" t="n"/>
      <c r="AL13" s="103" t="n"/>
      <c r="AM13" s="104" t="n"/>
      <c r="AN13" s="105" t="n"/>
      <c r="AO13" s="106" t="n"/>
      <c r="AP13" s="107" t="n"/>
      <c r="AQ13" s="106" t="n"/>
      <c r="AR13" s="107" t="n"/>
      <c r="AS13" s="106" t="n"/>
      <c r="AT13" s="107" t="n"/>
      <c r="AU13" s="106" t="n"/>
      <c r="AV13" s="107" t="n"/>
      <c r="AW13" s="106" t="n"/>
      <c r="AX13" s="107" t="n"/>
      <c r="AY13" s="106" t="n"/>
      <c r="AZ13" s="107" t="n"/>
      <c r="BA13" s="106" t="n"/>
      <c r="BB13" s="107" t="n"/>
      <c r="BC13" s="106" t="n"/>
      <c r="BD13" s="107" t="n"/>
      <c r="BE13" s="108" t="n"/>
      <c r="BF13" s="109" t="n"/>
      <c r="BG13" s="110" t="n"/>
      <c r="BH13" s="109" t="n"/>
      <c r="BI13" s="110" t="n"/>
      <c r="BJ13" s="109" t="n"/>
      <c r="BK13" s="110" t="n"/>
      <c r="BL13" s="109" t="n"/>
      <c r="BM13" s="110" t="n"/>
      <c r="BN13" s="109" t="n"/>
      <c r="BO13" s="110" t="n"/>
      <c r="BP13" s="109" t="n"/>
      <c r="BQ13" s="110" t="n"/>
      <c r="BR13" s="109" t="n"/>
      <c r="BS13" s="110" t="n"/>
      <c r="BT13" s="109" t="n"/>
      <c r="BU13" s="110" t="n"/>
      <c r="BV13" s="111" t="n"/>
      <c r="BW13" s="112" t="n"/>
      <c r="BX13" s="113" t="n"/>
      <c r="BY13" s="112" t="n"/>
      <c r="BZ13" s="113" t="n"/>
      <c r="CA13" s="112" t="n"/>
      <c r="CB13" s="113" t="n"/>
      <c r="CC13" s="112" t="n"/>
      <c r="CD13" s="113" t="n"/>
      <c r="CE13" s="112" t="n"/>
      <c r="CF13" s="113" t="n"/>
      <c r="CG13" s="112" t="n"/>
      <c r="CH13" s="113" t="n"/>
      <c r="CI13" s="112" t="n"/>
      <c r="CJ13" s="113" t="n"/>
      <c r="CK13" s="112" t="n"/>
      <c r="CL13" s="113" t="n"/>
      <c r="CM13" s="114" t="n"/>
      <c r="CN13" s="115" t="n"/>
      <c r="CO13" s="116" t="n"/>
      <c r="CP13" s="115" t="n"/>
      <c r="CQ13" s="116" t="n"/>
      <c r="CR13" s="115" t="n"/>
      <c r="CS13" s="116" t="n"/>
      <c r="CT13" s="115" t="n"/>
      <c r="CU13" s="116" t="n"/>
      <c r="CV13" s="115" t="n"/>
      <c r="CW13" s="116" t="n"/>
      <c r="CX13" s="115" t="n"/>
      <c r="CY13" s="116" t="n"/>
      <c r="CZ13" s="115" t="n"/>
      <c r="DA13" s="116" t="n"/>
      <c r="DB13" s="115" t="n"/>
      <c r="DC13" s="116" t="n"/>
      <c r="DD13" s="117" t="n"/>
      <c r="DE13" s="118" t="n"/>
      <c r="DF13" s="119" t="n"/>
      <c r="DG13" s="118" t="n"/>
      <c r="DH13" s="119" t="n"/>
      <c r="DI13" s="118" t="n"/>
      <c r="DJ13" s="119" t="n"/>
      <c r="DK13" s="118" t="n"/>
      <c r="DL13" s="119" t="n"/>
      <c r="DM13" s="118" t="n"/>
      <c r="DN13" s="119" t="n"/>
      <c r="DO13" s="118" t="n"/>
      <c r="DP13" s="119" t="n"/>
      <c r="DQ13" s="118" t="n"/>
      <c r="DR13" s="119" t="n"/>
      <c r="DS13" s="118" t="n"/>
      <c r="DT13" s="119" t="n"/>
      <c r="DU13" s="120" t="n"/>
      <c r="DV13" s="121" t="n"/>
      <c r="DW13" s="122" t="n"/>
      <c r="DX13" s="121" t="n"/>
      <c r="DY13" s="122" t="n"/>
      <c r="DZ13" s="121" t="n"/>
      <c r="EA13" s="122" t="n"/>
      <c r="EB13" s="121" t="n"/>
      <c r="EC13" s="122" t="n"/>
      <c r="ED13" s="121" t="n"/>
      <c r="EE13" s="122" t="n"/>
      <c r="EF13" s="121" t="n"/>
      <c r="EG13" s="122" t="n"/>
      <c r="EH13" s="121" t="n"/>
      <c r="EI13" s="122" t="n"/>
      <c r="EJ13" s="121" t="n"/>
      <c r="EK13" s="122" t="n"/>
      <c r="EL13" s="123" t="n"/>
      <c r="EM13" s="124" t="n"/>
      <c r="EN13" s="125" t="n"/>
      <c r="EO13" s="124" t="n"/>
      <c r="EP13" s="125" t="n"/>
      <c r="EQ13" s="124" t="n"/>
      <c r="ER13" s="125" t="n"/>
      <c r="ES13" s="124" t="n"/>
      <c r="ET13" s="125" t="n"/>
      <c r="EU13" s="124" t="n"/>
      <c r="EV13" s="125" t="n"/>
      <c r="EW13" s="124" t="n"/>
      <c r="EX13" s="125" t="n"/>
      <c r="EY13" s="124" t="n"/>
      <c r="EZ13" s="125" t="n"/>
      <c r="FA13" s="124" t="n"/>
      <c r="FB13" s="125" t="n"/>
      <c r="FC13" s="126" t="n"/>
      <c r="FD13" s="127" t="n"/>
      <c r="FE13" s="128" t="n"/>
      <c r="FF13" s="127" t="n"/>
      <c r="FG13" s="128" t="n"/>
      <c r="FH13" s="127" t="n"/>
      <c r="FI13" s="128" t="n"/>
      <c r="FJ13" s="127" t="n"/>
      <c r="FK13" s="128" t="n"/>
      <c r="FL13" s="127" t="n"/>
      <c r="FM13" s="128" t="n"/>
      <c r="FN13" s="127" t="n"/>
      <c r="FO13" s="128" t="n"/>
      <c r="FP13" s="127" t="n"/>
      <c r="FQ13" s="128" t="n"/>
      <c r="FR13" s="127" t="n"/>
      <c r="FS13" s="128" t="n"/>
      <c r="FT13" s="129" t="n"/>
      <c r="FU13" s="130" t="n"/>
      <c r="FV13" s="131" t="n"/>
      <c r="FW13" s="130" t="n"/>
      <c r="FX13" s="131" t="n"/>
      <c r="FY13" s="130" t="n"/>
      <c r="FZ13" s="131" t="n"/>
      <c r="GA13" s="130" t="n"/>
      <c r="GB13" s="131" t="n"/>
      <c r="GC13" s="130" t="n"/>
      <c r="GD13" s="131" t="n"/>
      <c r="GE13" s="130" t="n"/>
      <c r="GF13" s="131" t="n"/>
      <c r="GG13" s="130" t="n"/>
      <c r="GH13" s="131" t="n"/>
      <c r="GI13" s="130" t="n"/>
      <c r="GJ13" s="131" t="n"/>
      <c r="GK13" s="132" t="n"/>
      <c r="GL13" s="133" t="n"/>
      <c r="GM13" s="134" t="n"/>
      <c r="GN13" s="133" t="n"/>
      <c r="GO13" s="134" t="n"/>
      <c r="GP13" s="133" t="n"/>
      <c r="GQ13" s="134" t="n"/>
      <c r="GR13" s="133" t="n"/>
      <c r="GS13" s="134" t="n"/>
      <c r="GT13" s="133" t="n"/>
      <c r="GU13" s="134" t="n"/>
      <c r="GV13" s="133" t="n"/>
      <c r="GW13" s="134" t="n"/>
      <c r="GX13" s="133" t="n"/>
      <c r="GY13" s="134" t="n"/>
      <c r="GZ13" s="133" t="n"/>
      <c r="HA13" s="134" t="n"/>
      <c r="HB13" s="135" t="n"/>
      <c r="HC13">
        <f>COUNTIFS($G$3:$HB$3,"ح",$G13:$HB13,TRUE)</f>
        <v>0</v>
      </c>
      <c r="HD13">
        <f>COUNTIFS($G$3:$HB$3,"دفع",$G13:$HB13,TRUE)</f>
        <v>0</v>
      </c>
      <c r="HE13">
        <f>8*$HD13-$HC13</f>
        <v>0</v>
      </c>
    </row>
    <row r="14" ht="22.5" customHeight="1">
      <c r="A14" s="36" t="n">
        <v>11</v>
      </c>
      <c r="B14" s="97" t="n"/>
      <c r="C14" s="28" t="n"/>
      <c r="D14" s="98" t="str">
        <f>IF($B14="","",IF($HC14=0,"-",($HC14-8*INT(($HC14-1)/8))&amp;"/8"))</f>
        <v/>
      </c>
      <c r="E14" s="98" t="str">
        <f>IF($B14="","",IF(AND($HC14=0,$HD14=0),"-",$HE14))</f>
        <v/>
      </c>
      <c r="F14" s="99" t="str">
        <f>IF($B14="","",IF(AND($HC14=0,$HD14=0),"جديد",IF($HE14&gt;1,"تمام",IF($HE14=1,"آخر حصة",IF($HE14=0,"تجديد",IF($HE14=-1,"عليه حصة",IF($HE14=-2,"عليه حصتين","عليه "&amp;(-$HE14)&amp;" حصص")))))))</f>
        <v/>
      </c>
      <c r="G14" s="100" t="n"/>
      <c r="H14" s="101" t="n"/>
      <c r="I14" s="100" t="n"/>
      <c r="J14" s="101" t="n"/>
      <c r="K14" s="100" t="n"/>
      <c r="L14" s="101" t="n"/>
      <c r="M14" s="100" t="n"/>
      <c r="N14" s="101" t="n"/>
      <c r="O14" s="100" t="n"/>
      <c r="P14" s="101" t="n"/>
      <c r="Q14" s="100" t="n"/>
      <c r="R14" s="101" t="n"/>
      <c r="S14" s="100" t="n"/>
      <c r="T14" s="101" t="n"/>
      <c r="U14" s="100" t="n"/>
      <c r="V14" s="101" t="n"/>
      <c r="W14" s="102" t="n"/>
      <c r="X14" s="103" t="n"/>
      <c r="Y14" s="104" t="n"/>
      <c r="Z14" s="103" t="n"/>
      <c r="AA14" s="104" t="n"/>
      <c r="AB14" s="103" t="n"/>
      <c r="AC14" s="104" t="n"/>
      <c r="AD14" s="103" t="n"/>
      <c r="AE14" s="104" t="n"/>
      <c r="AF14" s="103" t="n"/>
      <c r="AG14" s="104" t="n"/>
      <c r="AH14" s="103" t="n"/>
      <c r="AI14" s="104" t="n"/>
      <c r="AJ14" s="103" t="n"/>
      <c r="AK14" s="104" t="n"/>
      <c r="AL14" s="103" t="n"/>
      <c r="AM14" s="104" t="n"/>
      <c r="AN14" s="105" t="n"/>
      <c r="AO14" s="106" t="n"/>
      <c r="AP14" s="107" t="n"/>
      <c r="AQ14" s="106" t="n"/>
      <c r="AR14" s="107" t="n"/>
      <c r="AS14" s="106" t="n"/>
      <c r="AT14" s="107" t="n"/>
      <c r="AU14" s="106" t="n"/>
      <c r="AV14" s="107" t="n"/>
      <c r="AW14" s="106" t="n"/>
      <c r="AX14" s="107" t="n"/>
      <c r="AY14" s="106" t="n"/>
      <c r="AZ14" s="107" t="n"/>
      <c r="BA14" s="106" t="n"/>
      <c r="BB14" s="107" t="n"/>
      <c r="BC14" s="106" t="n"/>
      <c r="BD14" s="107" t="n"/>
      <c r="BE14" s="108" t="n"/>
      <c r="BF14" s="109" t="n"/>
      <c r="BG14" s="110" t="n"/>
      <c r="BH14" s="109" t="n"/>
      <c r="BI14" s="110" t="n"/>
      <c r="BJ14" s="109" t="n"/>
      <c r="BK14" s="110" t="n"/>
      <c r="BL14" s="109" t="n"/>
      <c r="BM14" s="110" t="n"/>
      <c r="BN14" s="109" t="n"/>
      <c r="BO14" s="110" t="n"/>
      <c r="BP14" s="109" t="n"/>
      <c r="BQ14" s="110" t="n"/>
      <c r="BR14" s="109" t="n"/>
      <c r="BS14" s="110" t="n"/>
      <c r="BT14" s="109" t="n"/>
      <c r="BU14" s="110" t="n"/>
      <c r="BV14" s="111" t="n"/>
      <c r="BW14" s="112" t="n"/>
      <c r="BX14" s="113" t="n"/>
      <c r="BY14" s="112" t="n"/>
      <c r="BZ14" s="113" t="n"/>
      <c r="CA14" s="112" t="n"/>
      <c r="CB14" s="113" t="n"/>
      <c r="CC14" s="112" t="n"/>
      <c r="CD14" s="113" t="n"/>
      <c r="CE14" s="112" t="n"/>
      <c r="CF14" s="113" t="n"/>
      <c r="CG14" s="112" t="n"/>
      <c r="CH14" s="113" t="n"/>
      <c r="CI14" s="112" t="n"/>
      <c r="CJ14" s="113" t="n"/>
      <c r="CK14" s="112" t="n"/>
      <c r="CL14" s="113" t="n"/>
      <c r="CM14" s="114" t="n"/>
      <c r="CN14" s="115" t="n"/>
      <c r="CO14" s="116" t="n"/>
      <c r="CP14" s="115" t="n"/>
      <c r="CQ14" s="116" t="n"/>
      <c r="CR14" s="115" t="n"/>
      <c r="CS14" s="116" t="n"/>
      <c r="CT14" s="115" t="n"/>
      <c r="CU14" s="116" t="n"/>
      <c r="CV14" s="115" t="n"/>
      <c r="CW14" s="116" t="n"/>
      <c r="CX14" s="115" t="n"/>
      <c r="CY14" s="116" t="n"/>
      <c r="CZ14" s="115" t="n"/>
      <c r="DA14" s="116" t="n"/>
      <c r="DB14" s="115" t="n"/>
      <c r="DC14" s="116" t="n"/>
      <c r="DD14" s="117" t="n"/>
      <c r="DE14" s="118" t="n"/>
      <c r="DF14" s="119" t="n"/>
      <c r="DG14" s="118" t="n"/>
      <c r="DH14" s="119" t="n"/>
      <c r="DI14" s="118" t="n"/>
      <c r="DJ14" s="119" t="n"/>
      <c r="DK14" s="118" t="n"/>
      <c r="DL14" s="119" t="n"/>
      <c r="DM14" s="118" t="n"/>
      <c r="DN14" s="119" t="n"/>
      <c r="DO14" s="118" t="n"/>
      <c r="DP14" s="119" t="n"/>
      <c r="DQ14" s="118" t="n"/>
      <c r="DR14" s="119" t="n"/>
      <c r="DS14" s="118" t="n"/>
      <c r="DT14" s="119" t="n"/>
      <c r="DU14" s="120" t="n"/>
      <c r="DV14" s="121" t="n"/>
      <c r="DW14" s="122" t="n"/>
      <c r="DX14" s="121" t="n"/>
      <c r="DY14" s="122" t="n"/>
      <c r="DZ14" s="121" t="n"/>
      <c r="EA14" s="122" t="n"/>
      <c r="EB14" s="121" t="n"/>
      <c r="EC14" s="122" t="n"/>
      <c r="ED14" s="121" t="n"/>
      <c r="EE14" s="122" t="n"/>
      <c r="EF14" s="121" t="n"/>
      <c r="EG14" s="122" t="n"/>
      <c r="EH14" s="121" t="n"/>
      <c r="EI14" s="122" t="n"/>
      <c r="EJ14" s="121" t="n"/>
      <c r="EK14" s="122" t="n"/>
      <c r="EL14" s="123" t="n"/>
      <c r="EM14" s="124" t="n"/>
      <c r="EN14" s="125" t="n"/>
      <c r="EO14" s="124" t="n"/>
      <c r="EP14" s="125" t="n"/>
      <c r="EQ14" s="124" t="n"/>
      <c r="ER14" s="125" t="n"/>
      <c r="ES14" s="124" t="n"/>
      <c r="ET14" s="125" t="n"/>
      <c r="EU14" s="124" t="n"/>
      <c r="EV14" s="125" t="n"/>
      <c r="EW14" s="124" t="n"/>
      <c r="EX14" s="125" t="n"/>
      <c r="EY14" s="124" t="n"/>
      <c r="EZ14" s="125" t="n"/>
      <c r="FA14" s="124" t="n"/>
      <c r="FB14" s="125" t="n"/>
      <c r="FC14" s="126" t="n"/>
      <c r="FD14" s="127" t="n"/>
      <c r="FE14" s="128" t="n"/>
      <c r="FF14" s="127" t="n"/>
      <c r="FG14" s="128" t="n"/>
      <c r="FH14" s="127" t="n"/>
      <c r="FI14" s="128" t="n"/>
      <c r="FJ14" s="127" t="n"/>
      <c r="FK14" s="128" t="n"/>
      <c r="FL14" s="127" t="n"/>
      <c r="FM14" s="128" t="n"/>
      <c r="FN14" s="127" t="n"/>
      <c r="FO14" s="128" t="n"/>
      <c r="FP14" s="127" t="n"/>
      <c r="FQ14" s="128" t="n"/>
      <c r="FR14" s="127" t="n"/>
      <c r="FS14" s="128" t="n"/>
      <c r="FT14" s="129" t="n"/>
      <c r="FU14" s="130" t="n"/>
      <c r="FV14" s="131" t="n"/>
      <c r="FW14" s="130" t="n"/>
      <c r="FX14" s="131" t="n"/>
      <c r="FY14" s="130" t="n"/>
      <c r="FZ14" s="131" t="n"/>
      <c r="GA14" s="130" t="n"/>
      <c r="GB14" s="131" t="n"/>
      <c r="GC14" s="130" t="n"/>
      <c r="GD14" s="131" t="n"/>
      <c r="GE14" s="130" t="n"/>
      <c r="GF14" s="131" t="n"/>
      <c r="GG14" s="130" t="n"/>
      <c r="GH14" s="131" t="n"/>
      <c r="GI14" s="130" t="n"/>
      <c r="GJ14" s="131" t="n"/>
      <c r="GK14" s="132" t="n"/>
      <c r="GL14" s="133" t="n"/>
      <c r="GM14" s="134" t="n"/>
      <c r="GN14" s="133" t="n"/>
      <c r="GO14" s="134" t="n"/>
      <c r="GP14" s="133" t="n"/>
      <c r="GQ14" s="134" t="n"/>
      <c r="GR14" s="133" t="n"/>
      <c r="GS14" s="134" t="n"/>
      <c r="GT14" s="133" t="n"/>
      <c r="GU14" s="134" t="n"/>
      <c r="GV14" s="133" t="n"/>
      <c r="GW14" s="134" t="n"/>
      <c r="GX14" s="133" t="n"/>
      <c r="GY14" s="134" t="n"/>
      <c r="GZ14" s="133" t="n"/>
      <c r="HA14" s="134" t="n"/>
      <c r="HB14" s="135" t="n"/>
      <c r="HC14">
        <f>COUNTIFS($G$3:$HB$3,"ح",$G14:$HB14,TRUE)</f>
        <v>0</v>
      </c>
      <c r="HD14">
        <f>COUNTIFS($G$3:$HB$3,"دفع",$G14:$HB14,TRUE)</f>
        <v>0</v>
      </c>
      <c r="HE14">
        <f>8*$HD14-$HC14</f>
        <v>0</v>
      </c>
    </row>
    <row r="15" ht="22.5" customHeight="1">
      <c r="A15" s="36" t="n">
        <v>12</v>
      </c>
      <c r="B15" s="97" t="n"/>
      <c r="C15" s="28" t="n"/>
      <c r="D15" s="98" t="str">
        <f>IF($B15="","",IF($HC15=0,"-",($HC15-8*INT(($HC15-1)/8))&amp;"/8"))</f>
        <v/>
      </c>
      <c r="E15" s="98" t="str">
        <f>IF($B15="","",IF(AND($HC15=0,$HD15=0),"-",$HE15))</f>
        <v/>
      </c>
      <c r="F15" s="99" t="str">
        <f>IF($B15="","",IF(AND($HC15=0,$HD15=0),"جديد",IF($HE15&gt;1,"تمام",IF($HE15=1,"آخر حصة",IF($HE15=0,"تجديد",IF($HE15=-1,"عليه حصة",IF($HE15=-2,"عليه حصتين","عليه "&amp;(-$HE15)&amp;" حصص")))))))</f>
        <v/>
      </c>
      <c r="G15" s="100" t="n"/>
      <c r="H15" s="101" t="n"/>
      <c r="I15" s="100" t="n"/>
      <c r="J15" s="101" t="n"/>
      <c r="K15" s="100" t="n"/>
      <c r="L15" s="101" t="n"/>
      <c r="M15" s="100" t="n"/>
      <c r="N15" s="101" t="n"/>
      <c r="O15" s="100" t="n"/>
      <c r="P15" s="101" t="n"/>
      <c r="Q15" s="100" t="n"/>
      <c r="R15" s="101" t="n"/>
      <c r="S15" s="100" t="n"/>
      <c r="T15" s="101" t="n"/>
      <c r="U15" s="100" t="n"/>
      <c r="V15" s="101" t="n"/>
      <c r="W15" s="102" t="n"/>
      <c r="X15" s="103" t="n"/>
      <c r="Y15" s="104" t="n"/>
      <c r="Z15" s="103" t="n"/>
      <c r="AA15" s="104" t="n"/>
      <c r="AB15" s="103" t="n"/>
      <c r="AC15" s="104" t="n"/>
      <c r="AD15" s="103" t="n"/>
      <c r="AE15" s="104" t="n"/>
      <c r="AF15" s="103" t="n"/>
      <c r="AG15" s="104" t="n"/>
      <c r="AH15" s="103" t="n"/>
      <c r="AI15" s="104" t="n"/>
      <c r="AJ15" s="103" t="n"/>
      <c r="AK15" s="104" t="n"/>
      <c r="AL15" s="103" t="n"/>
      <c r="AM15" s="104" t="n"/>
      <c r="AN15" s="105" t="n"/>
      <c r="AO15" s="106" t="n"/>
      <c r="AP15" s="107" t="n"/>
      <c r="AQ15" s="106" t="n"/>
      <c r="AR15" s="107" t="n"/>
      <c r="AS15" s="106" t="n"/>
      <c r="AT15" s="107" t="n"/>
      <c r="AU15" s="106" t="n"/>
      <c r="AV15" s="107" t="n"/>
      <c r="AW15" s="106" t="n"/>
      <c r="AX15" s="107" t="n"/>
      <c r="AY15" s="106" t="n"/>
      <c r="AZ15" s="107" t="n"/>
      <c r="BA15" s="106" t="n"/>
      <c r="BB15" s="107" t="n"/>
      <c r="BC15" s="106" t="n"/>
      <c r="BD15" s="107" t="n"/>
      <c r="BE15" s="108" t="n"/>
      <c r="BF15" s="109" t="n"/>
      <c r="BG15" s="110" t="n"/>
      <c r="BH15" s="109" t="n"/>
      <c r="BI15" s="110" t="n"/>
      <c r="BJ15" s="109" t="n"/>
      <c r="BK15" s="110" t="n"/>
      <c r="BL15" s="109" t="n"/>
      <c r="BM15" s="110" t="n"/>
      <c r="BN15" s="109" t="n"/>
      <c r="BO15" s="110" t="n"/>
      <c r="BP15" s="109" t="n"/>
      <c r="BQ15" s="110" t="n"/>
      <c r="BR15" s="109" t="n"/>
      <c r="BS15" s="110" t="n"/>
      <c r="BT15" s="109" t="n"/>
      <c r="BU15" s="110" t="n"/>
      <c r="BV15" s="111" t="n"/>
      <c r="BW15" s="112" t="n"/>
      <c r="BX15" s="113" t="n"/>
      <c r="BY15" s="112" t="n"/>
      <c r="BZ15" s="113" t="n"/>
      <c r="CA15" s="112" t="n"/>
      <c r="CB15" s="113" t="n"/>
      <c r="CC15" s="112" t="n"/>
      <c r="CD15" s="113" t="n"/>
      <c r="CE15" s="112" t="n"/>
      <c r="CF15" s="113" t="n"/>
      <c r="CG15" s="112" t="n"/>
      <c r="CH15" s="113" t="n"/>
      <c r="CI15" s="112" t="n"/>
      <c r="CJ15" s="113" t="n"/>
      <c r="CK15" s="112" t="n"/>
      <c r="CL15" s="113" t="n"/>
      <c r="CM15" s="114" t="n"/>
      <c r="CN15" s="115" t="n"/>
      <c r="CO15" s="116" t="n"/>
      <c r="CP15" s="115" t="n"/>
      <c r="CQ15" s="116" t="n"/>
      <c r="CR15" s="115" t="n"/>
      <c r="CS15" s="116" t="n"/>
      <c r="CT15" s="115" t="n"/>
      <c r="CU15" s="116" t="n"/>
      <c r="CV15" s="115" t="n"/>
      <c r="CW15" s="116" t="n"/>
      <c r="CX15" s="115" t="n"/>
      <c r="CY15" s="116" t="n"/>
      <c r="CZ15" s="115" t="n"/>
      <c r="DA15" s="116" t="n"/>
      <c r="DB15" s="115" t="n"/>
      <c r="DC15" s="116" t="n"/>
      <c r="DD15" s="117" t="n"/>
      <c r="DE15" s="118" t="n"/>
      <c r="DF15" s="119" t="n"/>
      <c r="DG15" s="118" t="n"/>
      <c r="DH15" s="119" t="n"/>
      <c r="DI15" s="118" t="n"/>
      <c r="DJ15" s="119" t="n"/>
      <c r="DK15" s="118" t="n"/>
      <c r="DL15" s="119" t="n"/>
      <c r="DM15" s="118" t="n"/>
      <c r="DN15" s="119" t="n"/>
      <c r="DO15" s="118" t="n"/>
      <c r="DP15" s="119" t="n"/>
      <c r="DQ15" s="118" t="n"/>
      <c r="DR15" s="119" t="n"/>
      <c r="DS15" s="118" t="n"/>
      <c r="DT15" s="119" t="n"/>
      <c r="DU15" s="120" t="n"/>
      <c r="DV15" s="121" t="n"/>
      <c r="DW15" s="122" t="n"/>
      <c r="DX15" s="121" t="n"/>
      <c r="DY15" s="122" t="n"/>
      <c r="DZ15" s="121" t="n"/>
      <c r="EA15" s="122" t="n"/>
      <c r="EB15" s="121" t="n"/>
      <c r="EC15" s="122" t="n"/>
      <c r="ED15" s="121" t="n"/>
      <c r="EE15" s="122" t="n"/>
      <c r="EF15" s="121" t="n"/>
      <c r="EG15" s="122" t="n"/>
      <c r="EH15" s="121" t="n"/>
      <c r="EI15" s="122" t="n"/>
      <c r="EJ15" s="121" t="n"/>
      <c r="EK15" s="122" t="n"/>
      <c r="EL15" s="123" t="n"/>
      <c r="EM15" s="124" t="n"/>
      <c r="EN15" s="125" t="n"/>
      <c r="EO15" s="124" t="n"/>
      <c r="EP15" s="125" t="n"/>
      <c r="EQ15" s="124" t="n"/>
      <c r="ER15" s="125" t="n"/>
      <c r="ES15" s="124" t="n"/>
      <c r="ET15" s="125" t="n"/>
      <c r="EU15" s="124" t="n"/>
      <c r="EV15" s="125" t="n"/>
      <c r="EW15" s="124" t="n"/>
      <c r="EX15" s="125" t="n"/>
      <c r="EY15" s="124" t="n"/>
      <c r="EZ15" s="125" t="n"/>
      <c r="FA15" s="124" t="n"/>
      <c r="FB15" s="125" t="n"/>
      <c r="FC15" s="126" t="n"/>
      <c r="FD15" s="127" t="n"/>
      <c r="FE15" s="128" t="n"/>
      <c r="FF15" s="127" t="n"/>
      <c r="FG15" s="128" t="n"/>
      <c r="FH15" s="127" t="n"/>
      <c r="FI15" s="128" t="n"/>
      <c r="FJ15" s="127" t="n"/>
      <c r="FK15" s="128" t="n"/>
      <c r="FL15" s="127" t="n"/>
      <c r="FM15" s="128" t="n"/>
      <c r="FN15" s="127" t="n"/>
      <c r="FO15" s="128" t="n"/>
      <c r="FP15" s="127" t="n"/>
      <c r="FQ15" s="128" t="n"/>
      <c r="FR15" s="127" t="n"/>
      <c r="FS15" s="128" t="n"/>
      <c r="FT15" s="129" t="n"/>
      <c r="FU15" s="130" t="n"/>
      <c r="FV15" s="131" t="n"/>
      <c r="FW15" s="130" t="n"/>
      <c r="FX15" s="131" t="n"/>
      <c r="FY15" s="130" t="n"/>
      <c r="FZ15" s="131" t="n"/>
      <c r="GA15" s="130" t="n"/>
      <c r="GB15" s="131" t="n"/>
      <c r="GC15" s="130" t="n"/>
      <c r="GD15" s="131" t="n"/>
      <c r="GE15" s="130" t="n"/>
      <c r="GF15" s="131" t="n"/>
      <c r="GG15" s="130" t="n"/>
      <c r="GH15" s="131" t="n"/>
      <c r="GI15" s="130" t="n"/>
      <c r="GJ15" s="131" t="n"/>
      <c r="GK15" s="132" t="n"/>
      <c r="GL15" s="133" t="n"/>
      <c r="GM15" s="134" t="n"/>
      <c r="GN15" s="133" t="n"/>
      <c r="GO15" s="134" t="n"/>
      <c r="GP15" s="133" t="n"/>
      <c r="GQ15" s="134" t="n"/>
      <c r="GR15" s="133" t="n"/>
      <c r="GS15" s="134" t="n"/>
      <c r="GT15" s="133" t="n"/>
      <c r="GU15" s="134" t="n"/>
      <c r="GV15" s="133" t="n"/>
      <c r="GW15" s="134" t="n"/>
      <c r="GX15" s="133" t="n"/>
      <c r="GY15" s="134" t="n"/>
      <c r="GZ15" s="133" t="n"/>
      <c r="HA15" s="134" t="n"/>
      <c r="HB15" s="135" t="n"/>
      <c r="HC15">
        <f>COUNTIFS($G$3:$HB$3,"ح",$G15:$HB15,TRUE)</f>
        <v>0</v>
      </c>
      <c r="HD15">
        <f>COUNTIFS($G$3:$HB$3,"دفع",$G15:$HB15,TRUE)</f>
        <v>0</v>
      </c>
      <c r="HE15">
        <f>8*$HD15-$HC15</f>
        <v>0</v>
      </c>
    </row>
    <row r="16" ht="22.5" customHeight="1">
      <c r="A16" s="36" t="n">
        <v>13</v>
      </c>
      <c r="B16" s="97" t="n"/>
      <c r="C16" s="28" t="n"/>
      <c r="D16" s="98" t="str">
        <f>IF($B16="","",IF($HC16=0,"-",($HC16-8*INT(($HC16-1)/8))&amp;"/8"))</f>
        <v/>
      </c>
      <c r="E16" s="98" t="str">
        <f>IF($B16="","",IF(AND($HC16=0,$HD16=0),"-",$HE16))</f>
        <v/>
      </c>
      <c r="F16" s="99" t="str">
        <f>IF($B16="","",IF(AND($HC16=0,$HD16=0),"جديد",IF($HE16&gt;1,"تمام",IF($HE16=1,"آخر حصة",IF($HE16=0,"تجديد",IF($HE16=-1,"عليه حصة",IF($HE16=-2,"عليه حصتين","عليه "&amp;(-$HE16)&amp;" حصص")))))))</f>
        <v/>
      </c>
      <c r="G16" s="100" t="n"/>
      <c r="H16" s="101" t="n"/>
      <c r="I16" s="100" t="n"/>
      <c r="J16" s="101" t="n"/>
      <c r="K16" s="100" t="n"/>
      <c r="L16" s="101" t="n"/>
      <c r="M16" s="100" t="n"/>
      <c r="N16" s="101" t="n"/>
      <c r="O16" s="100" t="n"/>
      <c r="P16" s="101" t="n"/>
      <c r="Q16" s="100" t="n"/>
      <c r="R16" s="101" t="n"/>
      <c r="S16" s="100" t="n"/>
      <c r="T16" s="101" t="n"/>
      <c r="U16" s="100" t="n"/>
      <c r="V16" s="101" t="n"/>
      <c r="W16" s="102" t="n"/>
      <c r="X16" s="103" t="n"/>
      <c r="Y16" s="104" t="n"/>
      <c r="Z16" s="103" t="n"/>
      <c r="AA16" s="104" t="n"/>
      <c r="AB16" s="103" t="n"/>
      <c r="AC16" s="104" t="n"/>
      <c r="AD16" s="103" t="n"/>
      <c r="AE16" s="104" t="n"/>
      <c r="AF16" s="103" t="n"/>
      <c r="AG16" s="104" t="n"/>
      <c r="AH16" s="103" t="n"/>
      <c r="AI16" s="104" t="n"/>
      <c r="AJ16" s="103" t="n"/>
      <c r="AK16" s="104" t="n"/>
      <c r="AL16" s="103" t="n"/>
      <c r="AM16" s="104" t="n"/>
      <c r="AN16" s="105" t="n"/>
      <c r="AO16" s="106" t="n"/>
      <c r="AP16" s="107" t="n"/>
      <c r="AQ16" s="106" t="n"/>
      <c r="AR16" s="107" t="n"/>
      <c r="AS16" s="106" t="n"/>
      <c r="AT16" s="107" t="n"/>
      <c r="AU16" s="106" t="n"/>
      <c r="AV16" s="107" t="n"/>
      <c r="AW16" s="106" t="n"/>
      <c r="AX16" s="107" t="n"/>
      <c r="AY16" s="106" t="n"/>
      <c r="AZ16" s="107" t="n"/>
      <c r="BA16" s="106" t="n"/>
      <c r="BB16" s="107" t="n"/>
      <c r="BC16" s="106" t="n"/>
      <c r="BD16" s="107" t="n"/>
      <c r="BE16" s="108" t="n"/>
      <c r="BF16" s="109" t="n"/>
      <c r="BG16" s="110" t="n"/>
      <c r="BH16" s="109" t="n"/>
      <c r="BI16" s="110" t="n"/>
      <c r="BJ16" s="109" t="n"/>
      <c r="BK16" s="110" t="n"/>
      <c r="BL16" s="109" t="n"/>
      <c r="BM16" s="110" t="n"/>
      <c r="BN16" s="109" t="n"/>
      <c r="BO16" s="110" t="n"/>
      <c r="BP16" s="109" t="n"/>
      <c r="BQ16" s="110" t="n"/>
      <c r="BR16" s="109" t="n"/>
      <c r="BS16" s="110" t="n"/>
      <c r="BT16" s="109" t="n"/>
      <c r="BU16" s="110" t="n"/>
      <c r="BV16" s="111" t="n"/>
      <c r="BW16" s="112" t="n"/>
      <c r="BX16" s="113" t="n"/>
      <c r="BY16" s="112" t="n"/>
      <c r="BZ16" s="113" t="n"/>
      <c r="CA16" s="112" t="n"/>
      <c r="CB16" s="113" t="n"/>
      <c r="CC16" s="112" t="n"/>
      <c r="CD16" s="113" t="n"/>
      <c r="CE16" s="112" t="n"/>
      <c r="CF16" s="113" t="n"/>
      <c r="CG16" s="112" t="n"/>
      <c r="CH16" s="113" t="n"/>
      <c r="CI16" s="112" t="n"/>
      <c r="CJ16" s="113" t="n"/>
      <c r="CK16" s="112" t="n"/>
      <c r="CL16" s="113" t="n"/>
      <c r="CM16" s="114" t="n"/>
      <c r="CN16" s="115" t="n"/>
      <c r="CO16" s="116" t="n"/>
      <c r="CP16" s="115" t="n"/>
      <c r="CQ16" s="116" t="n"/>
      <c r="CR16" s="115" t="n"/>
      <c r="CS16" s="116" t="n"/>
      <c r="CT16" s="115" t="n"/>
      <c r="CU16" s="116" t="n"/>
      <c r="CV16" s="115" t="n"/>
      <c r="CW16" s="116" t="n"/>
      <c r="CX16" s="115" t="n"/>
      <c r="CY16" s="116" t="n"/>
      <c r="CZ16" s="115" t="n"/>
      <c r="DA16" s="116" t="n"/>
      <c r="DB16" s="115" t="n"/>
      <c r="DC16" s="116" t="n"/>
      <c r="DD16" s="117" t="n"/>
      <c r="DE16" s="118" t="n"/>
      <c r="DF16" s="119" t="n"/>
      <c r="DG16" s="118" t="n"/>
      <c r="DH16" s="119" t="n"/>
      <c r="DI16" s="118" t="n"/>
      <c r="DJ16" s="119" t="n"/>
      <c r="DK16" s="118" t="n"/>
      <c r="DL16" s="119" t="n"/>
      <c r="DM16" s="118" t="n"/>
      <c r="DN16" s="119" t="n"/>
      <c r="DO16" s="118" t="n"/>
      <c r="DP16" s="119" t="n"/>
      <c r="DQ16" s="118" t="n"/>
      <c r="DR16" s="119" t="n"/>
      <c r="DS16" s="118" t="n"/>
      <c r="DT16" s="119" t="n"/>
      <c r="DU16" s="120" t="n"/>
      <c r="DV16" s="121" t="n"/>
      <c r="DW16" s="122" t="n"/>
      <c r="DX16" s="121" t="n"/>
      <c r="DY16" s="122" t="n"/>
      <c r="DZ16" s="121" t="n"/>
      <c r="EA16" s="122" t="n"/>
      <c r="EB16" s="121" t="n"/>
      <c r="EC16" s="122" t="n"/>
      <c r="ED16" s="121" t="n"/>
      <c r="EE16" s="122" t="n"/>
      <c r="EF16" s="121" t="n"/>
      <c r="EG16" s="122" t="n"/>
      <c r="EH16" s="121" t="n"/>
      <c r="EI16" s="122" t="n"/>
      <c r="EJ16" s="121" t="n"/>
      <c r="EK16" s="122" t="n"/>
      <c r="EL16" s="123" t="n"/>
      <c r="EM16" s="124" t="n"/>
      <c r="EN16" s="125" t="n"/>
      <c r="EO16" s="124" t="n"/>
      <c r="EP16" s="125" t="n"/>
      <c r="EQ16" s="124" t="n"/>
      <c r="ER16" s="125" t="n"/>
      <c r="ES16" s="124" t="n"/>
      <c r="ET16" s="125" t="n"/>
      <c r="EU16" s="124" t="n"/>
      <c r="EV16" s="125" t="n"/>
      <c r="EW16" s="124" t="n"/>
      <c r="EX16" s="125" t="n"/>
      <c r="EY16" s="124" t="n"/>
      <c r="EZ16" s="125" t="n"/>
      <c r="FA16" s="124" t="n"/>
      <c r="FB16" s="125" t="n"/>
      <c r="FC16" s="126" t="n"/>
      <c r="FD16" s="127" t="n"/>
      <c r="FE16" s="128" t="n"/>
      <c r="FF16" s="127" t="n"/>
      <c r="FG16" s="128" t="n"/>
      <c r="FH16" s="127" t="n"/>
      <c r="FI16" s="128" t="n"/>
      <c r="FJ16" s="127" t="n"/>
      <c r="FK16" s="128" t="n"/>
      <c r="FL16" s="127" t="n"/>
      <c r="FM16" s="128" t="n"/>
      <c r="FN16" s="127" t="n"/>
      <c r="FO16" s="128" t="n"/>
      <c r="FP16" s="127" t="n"/>
      <c r="FQ16" s="128" t="n"/>
      <c r="FR16" s="127" t="n"/>
      <c r="FS16" s="128" t="n"/>
      <c r="FT16" s="129" t="n"/>
      <c r="FU16" s="130" t="n"/>
      <c r="FV16" s="131" t="n"/>
      <c r="FW16" s="130" t="n"/>
      <c r="FX16" s="131" t="n"/>
      <c r="FY16" s="130" t="n"/>
      <c r="FZ16" s="131" t="n"/>
      <c r="GA16" s="130" t="n"/>
      <c r="GB16" s="131" t="n"/>
      <c r="GC16" s="130" t="n"/>
      <c r="GD16" s="131" t="n"/>
      <c r="GE16" s="130" t="n"/>
      <c r="GF16" s="131" t="n"/>
      <c r="GG16" s="130" t="n"/>
      <c r="GH16" s="131" t="n"/>
      <c r="GI16" s="130" t="n"/>
      <c r="GJ16" s="131" t="n"/>
      <c r="GK16" s="132" t="n"/>
      <c r="GL16" s="133" t="n"/>
      <c r="GM16" s="134" t="n"/>
      <c r="GN16" s="133" t="n"/>
      <c r="GO16" s="134" t="n"/>
      <c r="GP16" s="133" t="n"/>
      <c r="GQ16" s="134" t="n"/>
      <c r="GR16" s="133" t="n"/>
      <c r="GS16" s="134" t="n"/>
      <c r="GT16" s="133" t="n"/>
      <c r="GU16" s="134" t="n"/>
      <c r="GV16" s="133" t="n"/>
      <c r="GW16" s="134" t="n"/>
      <c r="GX16" s="133" t="n"/>
      <c r="GY16" s="134" t="n"/>
      <c r="GZ16" s="133" t="n"/>
      <c r="HA16" s="134" t="n"/>
      <c r="HB16" s="135" t="n"/>
      <c r="HC16">
        <f>COUNTIFS($G$3:$HB$3,"ح",$G16:$HB16,TRUE)</f>
        <v>0</v>
      </c>
      <c r="HD16">
        <f>COUNTIFS($G$3:$HB$3,"دفع",$G16:$HB16,TRUE)</f>
        <v>0</v>
      </c>
      <c r="HE16">
        <f>8*$HD16-$HC16</f>
        <v>0</v>
      </c>
    </row>
    <row r="17" ht="22.5" customHeight="1">
      <c r="A17" s="36" t="n">
        <v>14</v>
      </c>
      <c r="B17" s="97" t="n"/>
      <c r="C17" s="28" t="n"/>
      <c r="D17" s="98" t="str">
        <f>IF($B17="","",IF($HC17=0,"-",($HC17-8*INT(($HC17-1)/8))&amp;"/8"))</f>
        <v/>
      </c>
      <c r="E17" s="98" t="str">
        <f>IF($B17="","",IF(AND($HC17=0,$HD17=0),"-",$HE17))</f>
        <v/>
      </c>
      <c r="F17" s="99" t="str">
        <f>IF($B17="","",IF(AND($HC17=0,$HD17=0),"جديد",IF($HE17&gt;1,"تمام",IF($HE17=1,"آخر حصة",IF($HE17=0,"تجديد",IF($HE17=-1,"عليه حصة",IF($HE17=-2,"عليه حصتين","عليه "&amp;(-$HE17)&amp;" حصص")))))))</f>
        <v/>
      </c>
      <c r="G17" s="100" t="n"/>
      <c r="H17" s="101" t="n"/>
      <c r="I17" s="100" t="n"/>
      <c r="J17" s="101" t="n"/>
      <c r="K17" s="100" t="n"/>
      <c r="L17" s="101" t="n"/>
      <c r="M17" s="100" t="n"/>
      <c r="N17" s="101" t="n"/>
      <c r="O17" s="100" t="n"/>
      <c r="P17" s="101" t="n"/>
      <c r="Q17" s="100" t="n"/>
      <c r="R17" s="101" t="n"/>
      <c r="S17" s="100" t="n"/>
      <c r="T17" s="101" t="n"/>
      <c r="U17" s="100" t="n"/>
      <c r="V17" s="101" t="n"/>
      <c r="W17" s="102" t="n"/>
      <c r="X17" s="103" t="n"/>
      <c r="Y17" s="104" t="n"/>
      <c r="Z17" s="103" t="n"/>
      <c r="AA17" s="104" t="n"/>
      <c r="AB17" s="103" t="n"/>
      <c r="AC17" s="104" t="n"/>
      <c r="AD17" s="103" t="n"/>
      <c r="AE17" s="104" t="n"/>
      <c r="AF17" s="103" t="n"/>
      <c r="AG17" s="104" t="n"/>
      <c r="AH17" s="103" t="n"/>
      <c r="AI17" s="104" t="n"/>
      <c r="AJ17" s="103" t="n"/>
      <c r="AK17" s="104" t="n"/>
      <c r="AL17" s="103" t="n"/>
      <c r="AM17" s="104" t="n"/>
      <c r="AN17" s="105" t="n"/>
      <c r="AO17" s="106" t="n"/>
      <c r="AP17" s="107" t="n"/>
      <c r="AQ17" s="106" t="n"/>
      <c r="AR17" s="107" t="n"/>
      <c r="AS17" s="106" t="n"/>
      <c r="AT17" s="107" t="n"/>
      <c r="AU17" s="106" t="n"/>
      <c r="AV17" s="107" t="n"/>
      <c r="AW17" s="106" t="n"/>
      <c r="AX17" s="107" t="n"/>
      <c r="AY17" s="106" t="n"/>
      <c r="AZ17" s="107" t="n"/>
      <c r="BA17" s="106" t="n"/>
      <c r="BB17" s="107" t="n"/>
      <c r="BC17" s="106" t="n"/>
      <c r="BD17" s="107" t="n"/>
      <c r="BE17" s="108" t="n"/>
      <c r="BF17" s="109" t="n"/>
      <c r="BG17" s="110" t="n"/>
      <c r="BH17" s="109" t="n"/>
      <c r="BI17" s="110" t="n"/>
      <c r="BJ17" s="109" t="n"/>
      <c r="BK17" s="110" t="n"/>
      <c r="BL17" s="109" t="n"/>
      <c r="BM17" s="110" t="n"/>
      <c r="BN17" s="109" t="n"/>
      <c r="BO17" s="110" t="n"/>
      <c r="BP17" s="109" t="n"/>
      <c r="BQ17" s="110" t="n"/>
      <c r="BR17" s="109" t="n"/>
      <c r="BS17" s="110" t="n"/>
      <c r="BT17" s="109" t="n"/>
      <c r="BU17" s="110" t="n"/>
      <c r="BV17" s="111" t="n"/>
      <c r="BW17" s="112" t="n"/>
      <c r="BX17" s="113" t="n"/>
      <c r="BY17" s="112" t="n"/>
      <c r="BZ17" s="113" t="n"/>
      <c r="CA17" s="112" t="n"/>
      <c r="CB17" s="113" t="n"/>
      <c r="CC17" s="112" t="n"/>
      <c r="CD17" s="113" t="n"/>
      <c r="CE17" s="112" t="n"/>
      <c r="CF17" s="113" t="n"/>
      <c r="CG17" s="112" t="n"/>
      <c r="CH17" s="113" t="n"/>
      <c r="CI17" s="112" t="n"/>
      <c r="CJ17" s="113" t="n"/>
      <c r="CK17" s="112" t="n"/>
      <c r="CL17" s="113" t="n"/>
      <c r="CM17" s="114" t="n"/>
      <c r="CN17" s="115" t="n"/>
      <c r="CO17" s="116" t="n"/>
      <c r="CP17" s="115" t="n"/>
      <c r="CQ17" s="116" t="n"/>
      <c r="CR17" s="115" t="n"/>
      <c r="CS17" s="116" t="n"/>
      <c r="CT17" s="115" t="n"/>
      <c r="CU17" s="116" t="n"/>
      <c r="CV17" s="115" t="n"/>
      <c r="CW17" s="116" t="n"/>
      <c r="CX17" s="115" t="n"/>
      <c r="CY17" s="116" t="n"/>
      <c r="CZ17" s="115" t="n"/>
      <c r="DA17" s="116" t="n"/>
      <c r="DB17" s="115" t="n"/>
      <c r="DC17" s="116" t="n"/>
      <c r="DD17" s="117" t="n"/>
      <c r="DE17" s="118" t="n"/>
      <c r="DF17" s="119" t="n"/>
      <c r="DG17" s="118" t="n"/>
      <c r="DH17" s="119" t="n"/>
      <c r="DI17" s="118" t="n"/>
      <c r="DJ17" s="119" t="n"/>
      <c r="DK17" s="118" t="n"/>
      <c r="DL17" s="119" t="n"/>
      <c r="DM17" s="118" t="n"/>
      <c r="DN17" s="119" t="n"/>
      <c r="DO17" s="118" t="n"/>
      <c r="DP17" s="119" t="n"/>
      <c r="DQ17" s="118" t="n"/>
      <c r="DR17" s="119" t="n"/>
      <c r="DS17" s="118" t="n"/>
      <c r="DT17" s="119" t="n"/>
      <c r="DU17" s="120" t="n"/>
      <c r="DV17" s="121" t="n"/>
      <c r="DW17" s="122" t="n"/>
      <c r="DX17" s="121" t="n"/>
      <c r="DY17" s="122" t="n"/>
      <c r="DZ17" s="121" t="n"/>
      <c r="EA17" s="122" t="n"/>
      <c r="EB17" s="121" t="n"/>
      <c r="EC17" s="122" t="n"/>
      <c r="ED17" s="121" t="n"/>
      <c r="EE17" s="122" t="n"/>
      <c r="EF17" s="121" t="n"/>
      <c r="EG17" s="122" t="n"/>
      <c r="EH17" s="121" t="n"/>
      <c r="EI17" s="122" t="n"/>
      <c r="EJ17" s="121" t="n"/>
      <c r="EK17" s="122" t="n"/>
      <c r="EL17" s="123" t="n"/>
      <c r="EM17" s="124" t="n"/>
      <c r="EN17" s="125" t="n"/>
      <c r="EO17" s="124" t="n"/>
      <c r="EP17" s="125" t="n"/>
      <c r="EQ17" s="124" t="n"/>
      <c r="ER17" s="125" t="n"/>
      <c r="ES17" s="124" t="n"/>
      <c r="ET17" s="125" t="n"/>
      <c r="EU17" s="124" t="n"/>
      <c r="EV17" s="125" t="n"/>
      <c r="EW17" s="124" t="n"/>
      <c r="EX17" s="125" t="n"/>
      <c r="EY17" s="124" t="n"/>
      <c r="EZ17" s="125" t="n"/>
      <c r="FA17" s="124" t="n"/>
      <c r="FB17" s="125" t="n"/>
      <c r="FC17" s="126" t="n"/>
      <c r="FD17" s="127" t="n"/>
      <c r="FE17" s="128" t="n"/>
      <c r="FF17" s="127" t="n"/>
      <c r="FG17" s="128" t="n"/>
      <c r="FH17" s="127" t="n"/>
      <c r="FI17" s="128" t="n"/>
      <c r="FJ17" s="127" t="n"/>
      <c r="FK17" s="128" t="n"/>
      <c r="FL17" s="127" t="n"/>
      <c r="FM17" s="128" t="n"/>
      <c r="FN17" s="127" t="n"/>
      <c r="FO17" s="128" t="n"/>
      <c r="FP17" s="127" t="n"/>
      <c r="FQ17" s="128" t="n"/>
      <c r="FR17" s="127" t="n"/>
      <c r="FS17" s="128" t="n"/>
      <c r="FT17" s="129" t="n"/>
      <c r="FU17" s="130" t="n"/>
      <c r="FV17" s="131" t="n"/>
      <c r="FW17" s="130" t="n"/>
      <c r="FX17" s="131" t="n"/>
      <c r="FY17" s="130" t="n"/>
      <c r="FZ17" s="131" t="n"/>
      <c r="GA17" s="130" t="n"/>
      <c r="GB17" s="131" t="n"/>
      <c r="GC17" s="130" t="n"/>
      <c r="GD17" s="131" t="n"/>
      <c r="GE17" s="130" t="n"/>
      <c r="GF17" s="131" t="n"/>
      <c r="GG17" s="130" t="n"/>
      <c r="GH17" s="131" t="n"/>
      <c r="GI17" s="130" t="n"/>
      <c r="GJ17" s="131" t="n"/>
      <c r="GK17" s="132" t="n"/>
      <c r="GL17" s="133" t="n"/>
      <c r="GM17" s="134" t="n"/>
      <c r="GN17" s="133" t="n"/>
      <c r="GO17" s="134" t="n"/>
      <c r="GP17" s="133" t="n"/>
      <c r="GQ17" s="134" t="n"/>
      <c r="GR17" s="133" t="n"/>
      <c r="GS17" s="134" t="n"/>
      <c r="GT17" s="133" t="n"/>
      <c r="GU17" s="134" t="n"/>
      <c r="GV17" s="133" t="n"/>
      <c r="GW17" s="134" t="n"/>
      <c r="GX17" s="133" t="n"/>
      <c r="GY17" s="134" t="n"/>
      <c r="GZ17" s="133" t="n"/>
      <c r="HA17" s="134" t="n"/>
      <c r="HB17" s="135" t="n"/>
      <c r="HC17">
        <f>COUNTIFS($G$3:$HB$3,"ح",$G17:$HB17,TRUE)</f>
        <v>0</v>
      </c>
      <c r="HD17">
        <f>COUNTIFS($G$3:$HB$3,"دفع",$G17:$HB17,TRUE)</f>
        <v>0</v>
      </c>
      <c r="HE17">
        <f>8*$HD17-$HC17</f>
        <v>0</v>
      </c>
    </row>
    <row r="18" ht="22.5" customHeight="1">
      <c r="A18" s="36" t="n">
        <v>15</v>
      </c>
      <c r="B18" s="97" t="n"/>
      <c r="C18" s="28" t="n"/>
      <c r="D18" s="98" t="str">
        <f>IF($B18="","",IF($HC18=0,"-",($HC18-8*INT(($HC18-1)/8))&amp;"/8"))</f>
        <v/>
      </c>
      <c r="E18" s="98" t="str">
        <f>IF($B18="","",IF(AND($HC18=0,$HD18=0),"-",$HE18))</f>
        <v/>
      </c>
      <c r="F18" s="99" t="str">
        <f>IF($B18="","",IF(AND($HC18=0,$HD18=0),"جديد",IF($HE18&gt;1,"تمام",IF($HE18=1,"آخر حصة",IF($HE18=0,"تجديد",IF($HE18=-1,"عليه حصة",IF($HE18=-2,"عليه حصتين","عليه "&amp;(-$HE18)&amp;" حصص")))))))</f>
        <v/>
      </c>
      <c r="G18" s="100" t="n"/>
      <c r="H18" s="101" t="n"/>
      <c r="I18" s="100" t="n"/>
      <c r="J18" s="101" t="n"/>
      <c r="K18" s="100" t="n"/>
      <c r="L18" s="101" t="n"/>
      <c r="M18" s="100" t="n"/>
      <c r="N18" s="101" t="n"/>
      <c r="O18" s="100" t="n"/>
      <c r="P18" s="101" t="n"/>
      <c r="Q18" s="100" t="n"/>
      <c r="R18" s="101" t="n"/>
      <c r="S18" s="100" t="n"/>
      <c r="T18" s="101" t="n"/>
      <c r="U18" s="100" t="n"/>
      <c r="V18" s="101" t="n"/>
      <c r="W18" s="102" t="n"/>
      <c r="X18" s="103" t="n"/>
      <c r="Y18" s="104" t="n"/>
      <c r="Z18" s="103" t="n"/>
      <c r="AA18" s="104" t="n"/>
      <c r="AB18" s="103" t="n"/>
      <c r="AC18" s="104" t="n"/>
      <c r="AD18" s="103" t="n"/>
      <c r="AE18" s="104" t="n"/>
      <c r="AF18" s="103" t="n"/>
      <c r="AG18" s="104" t="n"/>
      <c r="AH18" s="103" t="n"/>
      <c r="AI18" s="104" t="n"/>
      <c r="AJ18" s="103" t="n"/>
      <c r="AK18" s="104" t="n"/>
      <c r="AL18" s="103" t="n"/>
      <c r="AM18" s="104" t="n"/>
      <c r="AN18" s="105" t="n"/>
      <c r="AO18" s="106" t="n"/>
      <c r="AP18" s="107" t="n"/>
      <c r="AQ18" s="106" t="n"/>
      <c r="AR18" s="107" t="n"/>
      <c r="AS18" s="106" t="n"/>
      <c r="AT18" s="107" t="n"/>
      <c r="AU18" s="106" t="n"/>
      <c r="AV18" s="107" t="n"/>
      <c r="AW18" s="106" t="n"/>
      <c r="AX18" s="107" t="n"/>
      <c r="AY18" s="106" t="n"/>
      <c r="AZ18" s="107" t="n"/>
      <c r="BA18" s="106" t="n"/>
      <c r="BB18" s="107" t="n"/>
      <c r="BC18" s="106" t="n"/>
      <c r="BD18" s="107" t="n"/>
      <c r="BE18" s="108" t="n"/>
      <c r="BF18" s="109" t="n"/>
      <c r="BG18" s="110" t="n"/>
      <c r="BH18" s="109" t="n"/>
      <c r="BI18" s="110" t="n"/>
      <c r="BJ18" s="109" t="n"/>
      <c r="BK18" s="110" t="n"/>
      <c r="BL18" s="109" t="n"/>
      <c r="BM18" s="110" t="n"/>
      <c r="BN18" s="109" t="n"/>
      <c r="BO18" s="110" t="n"/>
      <c r="BP18" s="109" t="n"/>
      <c r="BQ18" s="110" t="n"/>
      <c r="BR18" s="109" t="n"/>
      <c r="BS18" s="110" t="n"/>
      <c r="BT18" s="109" t="n"/>
      <c r="BU18" s="110" t="n"/>
      <c r="BV18" s="111" t="n"/>
      <c r="BW18" s="112" t="n"/>
      <c r="BX18" s="113" t="n"/>
      <c r="BY18" s="112" t="n"/>
      <c r="BZ18" s="113" t="n"/>
      <c r="CA18" s="112" t="n"/>
      <c r="CB18" s="113" t="n"/>
      <c r="CC18" s="112" t="n"/>
      <c r="CD18" s="113" t="n"/>
      <c r="CE18" s="112" t="n"/>
      <c r="CF18" s="113" t="n"/>
      <c r="CG18" s="112" t="n"/>
      <c r="CH18" s="113" t="n"/>
      <c r="CI18" s="112" t="n"/>
      <c r="CJ18" s="113" t="n"/>
      <c r="CK18" s="112" t="n"/>
      <c r="CL18" s="113" t="n"/>
      <c r="CM18" s="114" t="n"/>
      <c r="CN18" s="115" t="n"/>
      <c r="CO18" s="116" t="n"/>
      <c r="CP18" s="115" t="n"/>
      <c r="CQ18" s="116" t="n"/>
      <c r="CR18" s="115" t="n"/>
      <c r="CS18" s="116" t="n"/>
      <c r="CT18" s="115" t="n"/>
      <c r="CU18" s="116" t="n"/>
      <c r="CV18" s="115" t="n"/>
      <c r="CW18" s="116" t="n"/>
      <c r="CX18" s="115" t="n"/>
      <c r="CY18" s="116" t="n"/>
      <c r="CZ18" s="115" t="n"/>
      <c r="DA18" s="116" t="n"/>
      <c r="DB18" s="115" t="n"/>
      <c r="DC18" s="116" t="n"/>
      <c r="DD18" s="117" t="n"/>
      <c r="DE18" s="118" t="n"/>
      <c r="DF18" s="119" t="n"/>
      <c r="DG18" s="118" t="n"/>
      <c r="DH18" s="119" t="n"/>
      <c r="DI18" s="118" t="n"/>
      <c r="DJ18" s="119" t="n"/>
      <c r="DK18" s="118" t="n"/>
      <c r="DL18" s="119" t="n"/>
      <c r="DM18" s="118" t="n"/>
      <c r="DN18" s="119" t="n"/>
      <c r="DO18" s="118" t="n"/>
      <c r="DP18" s="119" t="n"/>
      <c r="DQ18" s="118" t="n"/>
      <c r="DR18" s="119" t="n"/>
      <c r="DS18" s="118" t="n"/>
      <c r="DT18" s="119" t="n"/>
      <c r="DU18" s="120" t="n"/>
      <c r="DV18" s="121" t="n"/>
      <c r="DW18" s="122" t="n"/>
      <c r="DX18" s="121" t="n"/>
      <c r="DY18" s="122" t="n"/>
      <c r="DZ18" s="121" t="n"/>
      <c r="EA18" s="122" t="n"/>
      <c r="EB18" s="121" t="n"/>
      <c r="EC18" s="122" t="n"/>
      <c r="ED18" s="121" t="n"/>
      <c r="EE18" s="122" t="n"/>
      <c r="EF18" s="121" t="n"/>
      <c r="EG18" s="122" t="n"/>
      <c r="EH18" s="121" t="n"/>
      <c r="EI18" s="122" t="n"/>
      <c r="EJ18" s="121" t="n"/>
      <c r="EK18" s="122" t="n"/>
      <c r="EL18" s="123" t="n"/>
      <c r="EM18" s="124" t="n"/>
      <c r="EN18" s="125" t="n"/>
      <c r="EO18" s="124" t="n"/>
      <c r="EP18" s="125" t="n"/>
      <c r="EQ18" s="124" t="n"/>
      <c r="ER18" s="125" t="n"/>
      <c r="ES18" s="124" t="n"/>
      <c r="ET18" s="125" t="n"/>
      <c r="EU18" s="124" t="n"/>
      <c r="EV18" s="125" t="n"/>
      <c r="EW18" s="124" t="n"/>
      <c r="EX18" s="125" t="n"/>
      <c r="EY18" s="124" t="n"/>
      <c r="EZ18" s="125" t="n"/>
      <c r="FA18" s="124" t="n"/>
      <c r="FB18" s="125" t="n"/>
      <c r="FC18" s="126" t="n"/>
      <c r="FD18" s="127" t="n"/>
      <c r="FE18" s="128" t="n"/>
      <c r="FF18" s="127" t="n"/>
      <c r="FG18" s="128" t="n"/>
      <c r="FH18" s="127" t="n"/>
      <c r="FI18" s="128" t="n"/>
      <c r="FJ18" s="127" t="n"/>
      <c r="FK18" s="128" t="n"/>
      <c r="FL18" s="127" t="n"/>
      <c r="FM18" s="128" t="n"/>
      <c r="FN18" s="127" t="n"/>
      <c r="FO18" s="128" t="n"/>
      <c r="FP18" s="127" t="n"/>
      <c r="FQ18" s="128" t="n"/>
      <c r="FR18" s="127" t="n"/>
      <c r="FS18" s="128" t="n"/>
      <c r="FT18" s="129" t="n"/>
      <c r="FU18" s="130" t="n"/>
      <c r="FV18" s="131" t="n"/>
      <c r="FW18" s="130" t="n"/>
      <c r="FX18" s="131" t="n"/>
      <c r="FY18" s="130" t="n"/>
      <c r="FZ18" s="131" t="n"/>
      <c r="GA18" s="130" t="n"/>
      <c r="GB18" s="131" t="n"/>
      <c r="GC18" s="130" t="n"/>
      <c r="GD18" s="131" t="n"/>
      <c r="GE18" s="130" t="n"/>
      <c r="GF18" s="131" t="n"/>
      <c r="GG18" s="130" t="n"/>
      <c r="GH18" s="131" t="n"/>
      <c r="GI18" s="130" t="n"/>
      <c r="GJ18" s="131" t="n"/>
      <c r="GK18" s="132" t="n"/>
      <c r="GL18" s="133" t="n"/>
      <c r="GM18" s="134" t="n"/>
      <c r="GN18" s="133" t="n"/>
      <c r="GO18" s="134" t="n"/>
      <c r="GP18" s="133" t="n"/>
      <c r="GQ18" s="134" t="n"/>
      <c r="GR18" s="133" t="n"/>
      <c r="GS18" s="134" t="n"/>
      <c r="GT18" s="133" t="n"/>
      <c r="GU18" s="134" t="n"/>
      <c r="GV18" s="133" t="n"/>
      <c r="GW18" s="134" t="n"/>
      <c r="GX18" s="133" t="n"/>
      <c r="GY18" s="134" t="n"/>
      <c r="GZ18" s="133" t="n"/>
      <c r="HA18" s="134" t="n"/>
      <c r="HB18" s="135" t="n"/>
      <c r="HC18">
        <f>COUNTIFS($G$3:$HB$3,"ح",$G18:$HB18,TRUE)</f>
        <v>0</v>
      </c>
      <c r="HD18">
        <f>COUNTIFS($G$3:$HB$3,"دفع",$G18:$HB18,TRUE)</f>
        <v>0</v>
      </c>
      <c r="HE18">
        <f>8*$HD18-$HC18</f>
        <v>0</v>
      </c>
    </row>
    <row r="19" ht="22.5" customHeight="1">
      <c r="A19" s="36" t="n">
        <v>16</v>
      </c>
      <c r="B19" s="97" t="n"/>
      <c r="C19" s="28" t="n"/>
      <c r="D19" s="98" t="str">
        <f>IF($B19="","",IF($HC19=0,"-",($HC19-8*INT(($HC19-1)/8))&amp;"/8"))</f>
        <v/>
      </c>
      <c r="E19" s="98" t="str">
        <f>IF($B19="","",IF(AND($HC19=0,$HD19=0),"-",$HE19))</f>
        <v/>
      </c>
      <c r="F19" s="99" t="str">
        <f>IF($B19="","",IF(AND($HC19=0,$HD19=0),"جديد",IF($HE19&gt;1,"تمام",IF($HE19=1,"آخر حصة",IF($HE19=0,"تجديد",IF($HE19=-1,"عليه حصة",IF($HE19=-2,"عليه حصتين","عليه "&amp;(-$HE19)&amp;" حصص")))))))</f>
        <v/>
      </c>
      <c r="G19" s="100" t="n"/>
      <c r="H19" s="101" t="n"/>
      <c r="I19" s="100" t="n"/>
      <c r="J19" s="101" t="n"/>
      <c r="K19" s="100" t="n"/>
      <c r="L19" s="101" t="n"/>
      <c r="M19" s="100" t="n"/>
      <c r="N19" s="101" t="n"/>
      <c r="O19" s="100" t="n"/>
      <c r="P19" s="101" t="n"/>
      <c r="Q19" s="100" t="n"/>
      <c r="R19" s="101" t="n"/>
      <c r="S19" s="100" t="n"/>
      <c r="T19" s="101" t="n"/>
      <c r="U19" s="100" t="n"/>
      <c r="V19" s="101" t="n"/>
      <c r="W19" s="102" t="n"/>
      <c r="X19" s="103" t="n"/>
      <c r="Y19" s="104" t="n"/>
      <c r="Z19" s="103" t="n"/>
      <c r="AA19" s="104" t="n"/>
      <c r="AB19" s="103" t="n"/>
      <c r="AC19" s="104" t="n"/>
      <c r="AD19" s="103" t="n"/>
      <c r="AE19" s="104" t="n"/>
      <c r="AF19" s="103" t="n"/>
      <c r="AG19" s="104" t="n"/>
      <c r="AH19" s="103" t="n"/>
      <c r="AI19" s="104" t="n"/>
      <c r="AJ19" s="103" t="n"/>
      <c r="AK19" s="104" t="n"/>
      <c r="AL19" s="103" t="n"/>
      <c r="AM19" s="104" t="n"/>
      <c r="AN19" s="105" t="n"/>
      <c r="AO19" s="106" t="n"/>
      <c r="AP19" s="107" t="n"/>
      <c r="AQ19" s="106" t="n"/>
      <c r="AR19" s="107" t="n"/>
      <c r="AS19" s="106" t="n"/>
      <c r="AT19" s="107" t="n"/>
      <c r="AU19" s="106" t="n"/>
      <c r="AV19" s="107" t="n"/>
      <c r="AW19" s="106" t="n"/>
      <c r="AX19" s="107" t="n"/>
      <c r="AY19" s="106" t="n"/>
      <c r="AZ19" s="107" t="n"/>
      <c r="BA19" s="106" t="n"/>
      <c r="BB19" s="107" t="n"/>
      <c r="BC19" s="106" t="n"/>
      <c r="BD19" s="107" t="n"/>
      <c r="BE19" s="108" t="n"/>
      <c r="BF19" s="109" t="n"/>
      <c r="BG19" s="110" t="n"/>
      <c r="BH19" s="109" t="n"/>
      <c r="BI19" s="110" t="n"/>
      <c r="BJ19" s="109" t="n"/>
      <c r="BK19" s="110" t="n"/>
      <c r="BL19" s="109" t="n"/>
      <c r="BM19" s="110" t="n"/>
      <c r="BN19" s="109" t="n"/>
      <c r="BO19" s="110" t="n"/>
      <c r="BP19" s="109" t="n"/>
      <c r="BQ19" s="110" t="n"/>
      <c r="BR19" s="109" t="n"/>
      <c r="BS19" s="110" t="n"/>
      <c r="BT19" s="109" t="n"/>
      <c r="BU19" s="110" t="n"/>
      <c r="BV19" s="111" t="n"/>
      <c r="BW19" s="112" t="n"/>
      <c r="BX19" s="113" t="n"/>
      <c r="BY19" s="112" t="n"/>
      <c r="BZ19" s="113" t="n"/>
      <c r="CA19" s="112" t="n"/>
      <c r="CB19" s="113" t="n"/>
      <c r="CC19" s="112" t="n"/>
      <c r="CD19" s="113" t="n"/>
      <c r="CE19" s="112" t="n"/>
      <c r="CF19" s="113" t="n"/>
      <c r="CG19" s="112" t="n"/>
      <c r="CH19" s="113" t="n"/>
      <c r="CI19" s="112" t="n"/>
      <c r="CJ19" s="113" t="n"/>
      <c r="CK19" s="112" t="n"/>
      <c r="CL19" s="113" t="n"/>
      <c r="CM19" s="114" t="n"/>
      <c r="CN19" s="115" t="n"/>
      <c r="CO19" s="116" t="n"/>
      <c r="CP19" s="115" t="n"/>
      <c r="CQ19" s="116" t="n"/>
      <c r="CR19" s="115" t="n"/>
      <c r="CS19" s="116" t="n"/>
      <c r="CT19" s="115" t="n"/>
      <c r="CU19" s="116" t="n"/>
      <c r="CV19" s="115" t="n"/>
      <c r="CW19" s="116" t="n"/>
      <c r="CX19" s="115" t="n"/>
      <c r="CY19" s="116" t="n"/>
      <c r="CZ19" s="115" t="n"/>
      <c r="DA19" s="116" t="n"/>
      <c r="DB19" s="115" t="n"/>
      <c r="DC19" s="116" t="n"/>
      <c r="DD19" s="117" t="n"/>
      <c r="DE19" s="118" t="n"/>
      <c r="DF19" s="119" t="n"/>
      <c r="DG19" s="118" t="n"/>
      <c r="DH19" s="119" t="n"/>
      <c r="DI19" s="118" t="n"/>
      <c r="DJ19" s="119" t="n"/>
      <c r="DK19" s="118" t="n"/>
      <c r="DL19" s="119" t="n"/>
      <c r="DM19" s="118" t="n"/>
      <c r="DN19" s="119" t="n"/>
      <c r="DO19" s="118" t="n"/>
      <c r="DP19" s="119" t="n"/>
      <c r="DQ19" s="118" t="n"/>
      <c r="DR19" s="119" t="n"/>
      <c r="DS19" s="118" t="n"/>
      <c r="DT19" s="119" t="n"/>
      <c r="DU19" s="120" t="n"/>
      <c r="DV19" s="121" t="n"/>
      <c r="DW19" s="122" t="n"/>
      <c r="DX19" s="121" t="n"/>
      <c r="DY19" s="122" t="n"/>
      <c r="DZ19" s="121" t="n"/>
      <c r="EA19" s="122" t="n"/>
      <c r="EB19" s="121" t="n"/>
      <c r="EC19" s="122" t="n"/>
      <c r="ED19" s="121" t="n"/>
      <c r="EE19" s="122" t="n"/>
      <c r="EF19" s="121" t="n"/>
      <c r="EG19" s="122" t="n"/>
      <c r="EH19" s="121" t="n"/>
      <c r="EI19" s="122" t="n"/>
      <c r="EJ19" s="121" t="n"/>
      <c r="EK19" s="122" t="n"/>
      <c r="EL19" s="123" t="n"/>
      <c r="EM19" s="124" t="n"/>
      <c r="EN19" s="125" t="n"/>
      <c r="EO19" s="124" t="n"/>
      <c r="EP19" s="125" t="n"/>
      <c r="EQ19" s="124" t="n"/>
      <c r="ER19" s="125" t="n"/>
      <c r="ES19" s="124" t="n"/>
      <c r="ET19" s="125" t="n"/>
      <c r="EU19" s="124" t="n"/>
      <c r="EV19" s="125" t="n"/>
      <c r="EW19" s="124" t="n"/>
      <c r="EX19" s="125" t="n"/>
      <c r="EY19" s="124" t="n"/>
      <c r="EZ19" s="125" t="n"/>
      <c r="FA19" s="124" t="n"/>
      <c r="FB19" s="125" t="n"/>
      <c r="FC19" s="126" t="n"/>
      <c r="FD19" s="127" t="n"/>
      <c r="FE19" s="128" t="n"/>
      <c r="FF19" s="127" t="n"/>
      <c r="FG19" s="128" t="n"/>
      <c r="FH19" s="127" t="n"/>
      <c r="FI19" s="128" t="n"/>
      <c r="FJ19" s="127" t="n"/>
      <c r="FK19" s="128" t="n"/>
      <c r="FL19" s="127" t="n"/>
      <c r="FM19" s="128" t="n"/>
      <c r="FN19" s="127" t="n"/>
      <c r="FO19" s="128" t="n"/>
      <c r="FP19" s="127" t="n"/>
      <c r="FQ19" s="128" t="n"/>
      <c r="FR19" s="127" t="n"/>
      <c r="FS19" s="128" t="n"/>
      <c r="FT19" s="129" t="n"/>
      <c r="FU19" s="130" t="n"/>
      <c r="FV19" s="131" t="n"/>
      <c r="FW19" s="130" t="n"/>
      <c r="FX19" s="131" t="n"/>
      <c r="FY19" s="130" t="n"/>
      <c r="FZ19" s="131" t="n"/>
      <c r="GA19" s="130" t="n"/>
      <c r="GB19" s="131" t="n"/>
      <c r="GC19" s="130" t="n"/>
      <c r="GD19" s="131" t="n"/>
      <c r="GE19" s="130" t="n"/>
      <c r="GF19" s="131" t="n"/>
      <c r="GG19" s="130" t="n"/>
      <c r="GH19" s="131" t="n"/>
      <c r="GI19" s="130" t="n"/>
      <c r="GJ19" s="131" t="n"/>
      <c r="GK19" s="132" t="n"/>
      <c r="GL19" s="133" t="n"/>
      <c r="GM19" s="134" t="n"/>
      <c r="GN19" s="133" t="n"/>
      <c r="GO19" s="134" t="n"/>
      <c r="GP19" s="133" t="n"/>
      <c r="GQ19" s="134" t="n"/>
      <c r="GR19" s="133" t="n"/>
      <c r="GS19" s="134" t="n"/>
      <c r="GT19" s="133" t="n"/>
      <c r="GU19" s="134" t="n"/>
      <c r="GV19" s="133" t="n"/>
      <c r="GW19" s="134" t="n"/>
      <c r="GX19" s="133" t="n"/>
      <c r="GY19" s="134" t="n"/>
      <c r="GZ19" s="133" t="n"/>
      <c r="HA19" s="134" t="n"/>
      <c r="HB19" s="135" t="n"/>
      <c r="HC19">
        <f>COUNTIFS($G$3:$HB$3,"ح",$G19:$HB19,TRUE)</f>
        <v>0</v>
      </c>
      <c r="HD19">
        <f>COUNTIFS($G$3:$HB$3,"دفع",$G19:$HB19,TRUE)</f>
        <v>0</v>
      </c>
      <c r="HE19">
        <f>8*$HD19-$HC19</f>
        <v>0</v>
      </c>
    </row>
    <row r="20" ht="22.5" customHeight="1">
      <c r="A20" s="36" t="n">
        <v>17</v>
      </c>
      <c r="B20" s="97" t="n"/>
      <c r="C20" s="28" t="n"/>
      <c r="D20" s="98" t="str">
        <f>IF($B20="","",IF($HC20=0,"-",($HC20-8*INT(($HC20-1)/8))&amp;"/8"))</f>
        <v/>
      </c>
      <c r="E20" s="98" t="str">
        <f>IF($B20="","",IF(AND($HC20=0,$HD20=0),"-",$HE20))</f>
        <v/>
      </c>
      <c r="F20" s="99" t="str">
        <f>IF($B20="","",IF(AND($HC20=0,$HD20=0),"جديد",IF($HE20&gt;1,"تمام",IF($HE20=1,"آخر حصة",IF($HE20=0,"تجديد",IF($HE20=-1,"عليه حصة",IF($HE20=-2,"عليه حصتين","عليه "&amp;(-$HE20)&amp;" حصص")))))))</f>
        <v/>
      </c>
      <c r="G20" s="100" t="n"/>
      <c r="H20" s="101" t="n"/>
      <c r="I20" s="100" t="n"/>
      <c r="J20" s="101" t="n"/>
      <c r="K20" s="100" t="n"/>
      <c r="L20" s="101" t="n"/>
      <c r="M20" s="100" t="n"/>
      <c r="N20" s="101" t="n"/>
      <c r="O20" s="100" t="n"/>
      <c r="P20" s="101" t="n"/>
      <c r="Q20" s="100" t="n"/>
      <c r="R20" s="101" t="n"/>
      <c r="S20" s="100" t="n"/>
      <c r="T20" s="101" t="n"/>
      <c r="U20" s="100" t="n"/>
      <c r="V20" s="101" t="n"/>
      <c r="W20" s="102" t="n"/>
      <c r="X20" s="103" t="n"/>
      <c r="Y20" s="104" t="n"/>
      <c r="Z20" s="103" t="n"/>
      <c r="AA20" s="104" t="n"/>
      <c r="AB20" s="103" t="n"/>
      <c r="AC20" s="104" t="n"/>
      <c r="AD20" s="103" t="n"/>
      <c r="AE20" s="104" t="n"/>
      <c r="AF20" s="103" t="n"/>
      <c r="AG20" s="104" t="n"/>
      <c r="AH20" s="103" t="n"/>
      <c r="AI20" s="104" t="n"/>
      <c r="AJ20" s="103" t="n"/>
      <c r="AK20" s="104" t="n"/>
      <c r="AL20" s="103" t="n"/>
      <c r="AM20" s="104" t="n"/>
      <c r="AN20" s="105" t="n"/>
      <c r="AO20" s="106" t="n"/>
      <c r="AP20" s="107" t="n"/>
      <c r="AQ20" s="106" t="n"/>
      <c r="AR20" s="107" t="n"/>
      <c r="AS20" s="106" t="n"/>
      <c r="AT20" s="107" t="n"/>
      <c r="AU20" s="106" t="n"/>
      <c r="AV20" s="107" t="n"/>
      <c r="AW20" s="106" t="n"/>
      <c r="AX20" s="107" t="n"/>
      <c r="AY20" s="106" t="n"/>
      <c r="AZ20" s="107" t="n"/>
      <c r="BA20" s="106" t="n"/>
      <c r="BB20" s="107" t="n"/>
      <c r="BC20" s="106" t="n"/>
      <c r="BD20" s="107" t="n"/>
      <c r="BE20" s="108" t="n"/>
      <c r="BF20" s="109" t="n"/>
      <c r="BG20" s="110" t="n"/>
      <c r="BH20" s="109" t="n"/>
      <c r="BI20" s="110" t="n"/>
      <c r="BJ20" s="109" t="n"/>
      <c r="BK20" s="110" t="n"/>
      <c r="BL20" s="109" t="n"/>
      <c r="BM20" s="110" t="n"/>
      <c r="BN20" s="109" t="n"/>
      <c r="BO20" s="110" t="n"/>
      <c r="BP20" s="109" t="n"/>
      <c r="BQ20" s="110" t="n"/>
      <c r="BR20" s="109" t="n"/>
      <c r="BS20" s="110" t="n"/>
      <c r="BT20" s="109" t="n"/>
      <c r="BU20" s="110" t="n"/>
      <c r="BV20" s="111" t="n"/>
      <c r="BW20" s="112" t="n"/>
      <c r="BX20" s="113" t="n"/>
      <c r="BY20" s="112" t="n"/>
      <c r="BZ20" s="113" t="n"/>
      <c r="CA20" s="112" t="n"/>
      <c r="CB20" s="113" t="n"/>
      <c r="CC20" s="112" t="n"/>
      <c r="CD20" s="113" t="n"/>
      <c r="CE20" s="112" t="n"/>
      <c r="CF20" s="113" t="n"/>
      <c r="CG20" s="112" t="n"/>
      <c r="CH20" s="113" t="n"/>
      <c r="CI20" s="112" t="n"/>
      <c r="CJ20" s="113" t="n"/>
      <c r="CK20" s="112" t="n"/>
      <c r="CL20" s="113" t="n"/>
      <c r="CM20" s="114" t="n"/>
      <c r="CN20" s="115" t="n"/>
      <c r="CO20" s="116" t="n"/>
      <c r="CP20" s="115" t="n"/>
      <c r="CQ20" s="116" t="n"/>
      <c r="CR20" s="115" t="n"/>
      <c r="CS20" s="116" t="n"/>
      <c r="CT20" s="115" t="n"/>
      <c r="CU20" s="116" t="n"/>
      <c r="CV20" s="115" t="n"/>
      <c r="CW20" s="116" t="n"/>
      <c r="CX20" s="115" t="n"/>
      <c r="CY20" s="116" t="n"/>
      <c r="CZ20" s="115" t="n"/>
      <c r="DA20" s="116" t="n"/>
      <c r="DB20" s="115" t="n"/>
      <c r="DC20" s="116" t="n"/>
      <c r="DD20" s="117" t="n"/>
      <c r="DE20" s="118" t="n"/>
      <c r="DF20" s="119" t="n"/>
      <c r="DG20" s="118" t="n"/>
      <c r="DH20" s="119" t="n"/>
      <c r="DI20" s="118" t="n"/>
      <c r="DJ20" s="119" t="n"/>
      <c r="DK20" s="118" t="n"/>
      <c r="DL20" s="119" t="n"/>
      <c r="DM20" s="118" t="n"/>
      <c r="DN20" s="119" t="n"/>
      <c r="DO20" s="118" t="n"/>
      <c r="DP20" s="119" t="n"/>
      <c r="DQ20" s="118" t="n"/>
      <c r="DR20" s="119" t="n"/>
      <c r="DS20" s="118" t="n"/>
      <c r="DT20" s="119" t="n"/>
      <c r="DU20" s="120" t="n"/>
      <c r="DV20" s="121" t="n"/>
      <c r="DW20" s="122" t="n"/>
      <c r="DX20" s="121" t="n"/>
      <c r="DY20" s="122" t="n"/>
      <c r="DZ20" s="121" t="n"/>
      <c r="EA20" s="122" t="n"/>
      <c r="EB20" s="121" t="n"/>
      <c r="EC20" s="122" t="n"/>
      <c r="ED20" s="121" t="n"/>
      <c r="EE20" s="122" t="n"/>
      <c r="EF20" s="121" t="n"/>
      <c r="EG20" s="122" t="n"/>
      <c r="EH20" s="121" t="n"/>
      <c r="EI20" s="122" t="n"/>
      <c r="EJ20" s="121" t="n"/>
      <c r="EK20" s="122" t="n"/>
      <c r="EL20" s="123" t="n"/>
      <c r="EM20" s="124" t="n"/>
      <c r="EN20" s="125" t="n"/>
      <c r="EO20" s="124" t="n"/>
      <c r="EP20" s="125" t="n"/>
      <c r="EQ20" s="124" t="n"/>
      <c r="ER20" s="125" t="n"/>
      <c r="ES20" s="124" t="n"/>
      <c r="ET20" s="125" t="n"/>
      <c r="EU20" s="124" t="n"/>
      <c r="EV20" s="125" t="n"/>
      <c r="EW20" s="124" t="n"/>
      <c r="EX20" s="125" t="n"/>
      <c r="EY20" s="124" t="n"/>
      <c r="EZ20" s="125" t="n"/>
      <c r="FA20" s="124" t="n"/>
      <c r="FB20" s="125" t="n"/>
      <c r="FC20" s="126" t="n"/>
      <c r="FD20" s="127" t="n"/>
      <c r="FE20" s="128" t="n"/>
      <c r="FF20" s="127" t="n"/>
      <c r="FG20" s="128" t="n"/>
      <c r="FH20" s="127" t="n"/>
      <c r="FI20" s="128" t="n"/>
      <c r="FJ20" s="127" t="n"/>
      <c r="FK20" s="128" t="n"/>
      <c r="FL20" s="127" t="n"/>
      <c r="FM20" s="128" t="n"/>
      <c r="FN20" s="127" t="n"/>
      <c r="FO20" s="128" t="n"/>
      <c r="FP20" s="127" t="n"/>
      <c r="FQ20" s="128" t="n"/>
      <c r="FR20" s="127" t="n"/>
      <c r="FS20" s="128" t="n"/>
      <c r="FT20" s="129" t="n"/>
      <c r="FU20" s="130" t="n"/>
      <c r="FV20" s="131" t="n"/>
      <c r="FW20" s="130" t="n"/>
      <c r="FX20" s="131" t="n"/>
      <c r="FY20" s="130" t="n"/>
      <c r="FZ20" s="131" t="n"/>
      <c r="GA20" s="130" t="n"/>
      <c r="GB20" s="131" t="n"/>
      <c r="GC20" s="130" t="n"/>
      <c r="GD20" s="131" t="n"/>
      <c r="GE20" s="130" t="n"/>
      <c r="GF20" s="131" t="n"/>
      <c r="GG20" s="130" t="n"/>
      <c r="GH20" s="131" t="n"/>
      <c r="GI20" s="130" t="n"/>
      <c r="GJ20" s="131" t="n"/>
      <c r="GK20" s="132" t="n"/>
      <c r="GL20" s="133" t="n"/>
      <c r="GM20" s="134" t="n"/>
      <c r="GN20" s="133" t="n"/>
      <c r="GO20" s="134" t="n"/>
      <c r="GP20" s="133" t="n"/>
      <c r="GQ20" s="134" t="n"/>
      <c r="GR20" s="133" t="n"/>
      <c r="GS20" s="134" t="n"/>
      <c r="GT20" s="133" t="n"/>
      <c r="GU20" s="134" t="n"/>
      <c r="GV20" s="133" t="n"/>
      <c r="GW20" s="134" t="n"/>
      <c r="GX20" s="133" t="n"/>
      <c r="GY20" s="134" t="n"/>
      <c r="GZ20" s="133" t="n"/>
      <c r="HA20" s="134" t="n"/>
      <c r="HB20" s="135" t="n"/>
      <c r="HC20">
        <f>COUNTIFS($G$3:$HB$3,"ح",$G20:$HB20,TRUE)</f>
        <v>0</v>
      </c>
      <c r="HD20">
        <f>COUNTIFS($G$3:$HB$3,"دفع",$G20:$HB20,TRUE)</f>
        <v>0</v>
      </c>
      <c r="HE20">
        <f>8*$HD20-$HC20</f>
        <v>0</v>
      </c>
    </row>
    <row r="21" ht="22.5" customHeight="1">
      <c r="A21" s="36" t="n">
        <v>18</v>
      </c>
      <c r="B21" s="97" t="n"/>
      <c r="C21" s="28" t="n"/>
      <c r="D21" s="98" t="str">
        <f>IF($B21="","",IF($HC21=0,"-",($HC21-8*INT(($HC21-1)/8))&amp;"/8"))</f>
        <v/>
      </c>
      <c r="E21" s="98" t="str">
        <f>IF($B21="","",IF(AND($HC21=0,$HD21=0),"-",$HE21))</f>
        <v/>
      </c>
      <c r="F21" s="99" t="str">
        <f>IF($B21="","",IF(AND($HC21=0,$HD21=0),"جديد",IF($HE21&gt;1,"تمام",IF($HE21=1,"آخر حصة",IF($HE21=0,"تجديد",IF($HE21=-1,"عليه حصة",IF($HE21=-2,"عليه حصتين","عليه "&amp;(-$HE21)&amp;" حصص")))))))</f>
        <v/>
      </c>
      <c r="G21" s="100" t="n"/>
      <c r="H21" s="101" t="n"/>
      <c r="I21" s="100" t="n"/>
      <c r="J21" s="101" t="n"/>
      <c r="K21" s="100" t="n"/>
      <c r="L21" s="101" t="n"/>
      <c r="M21" s="100" t="n"/>
      <c r="N21" s="101" t="n"/>
      <c r="O21" s="100" t="n"/>
      <c r="P21" s="101" t="n"/>
      <c r="Q21" s="100" t="n"/>
      <c r="R21" s="101" t="n"/>
      <c r="S21" s="100" t="n"/>
      <c r="T21" s="101" t="n"/>
      <c r="U21" s="100" t="n"/>
      <c r="V21" s="101" t="n"/>
      <c r="W21" s="102" t="n"/>
      <c r="X21" s="103" t="n"/>
      <c r="Y21" s="104" t="n"/>
      <c r="Z21" s="103" t="n"/>
      <c r="AA21" s="104" t="n"/>
      <c r="AB21" s="103" t="n"/>
      <c r="AC21" s="104" t="n"/>
      <c r="AD21" s="103" t="n"/>
      <c r="AE21" s="104" t="n"/>
      <c r="AF21" s="103" t="n"/>
      <c r="AG21" s="104" t="n"/>
      <c r="AH21" s="103" t="n"/>
      <c r="AI21" s="104" t="n"/>
      <c r="AJ21" s="103" t="n"/>
      <c r="AK21" s="104" t="n"/>
      <c r="AL21" s="103" t="n"/>
      <c r="AM21" s="104" t="n"/>
      <c r="AN21" s="105" t="n"/>
      <c r="AO21" s="106" t="n"/>
      <c r="AP21" s="107" t="n"/>
      <c r="AQ21" s="106" t="n"/>
      <c r="AR21" s="107" t="n"/>
      <c r="AS21" s="106" t="n"/>
      <c r="AT21" s="107" t="n"/>
      <c r="AU21" s="106" t="n"/>
      <c r="AV21" s="107" t="n"/>
      <c r="AW21" s="106" t="n"/>
      <c r="AX21" s="107" t="n"/>
      <c r="AY21" s="106" t="n"/>
      <c r="AZ21" s="107" t="n"/>
      <c r="BA21" s="106" t="n"/>
      <c r="BB21" s="107" t="n"/>
      <c r="BC21" s="106" t="n"/>
      <c r="BD21" s="107" t="n"/>
      <c r="BE21" s="108" t="n"/>
      <c r="BF21" s="109" t="n"/>
      <c r="BG21" s="110" t="n"/>
      <c r="BH21" s="109" t="n"/>
      <c r="BI21" s="110" t="n"/>
      <c r="BJ21" s="109" t="n"/>
      <c r="BK21" s="110" t="n"/>
      <c r="BL21" s="109" t="n"/>
      <c r="BM21" s="110" t="n"/>
      <c r="BN21" s="109" t="n"/>
      <c r="BO21" s="110" t="n"/>
      <c r="BP21" s="109" t="n"/>
      <c r="BQ21" s="110" t="n"/>
      <c r="BR21" s="109" t="n"/>
      <c r="BS21" s="110" t="n"/>
      <c r="BT21" s="109" t="n"/>
      <c r="BU21" s="110" t="n"/>
      <c r="BV21" s="111" t="n"/>
      <c r="BW21" s="112" t="n"/>
      <c r="BX21" s="113" t="n"/>
      <c r="BY21" s="112" t="n"/>
      <c r="BZ21" s="113" t="n"/>
      <c r="CA21" s="112" t="n"/>
      <c r="CB21" s="113" t="n"/>
      <c r="CC21" s="112" t="n"/>
      <c r="CD21" s="113" t="n"/>
      <c r="CE21" s="112" t="n"/>
      <c r="CF21" s="113" t="n"/>
      <c r="CG21" s="112" t="n"/>
      <c r="CH21" s="113" t="n"/>
      <c r="CI21" s="112" t="n"/>
      <c r="CJ21" s="113" t="n"/>
      <c r="CK21" s="112" t="n"/>
      <c r="CL21" s="113" t="n"/>
      <c r="CM21" s="114" t="n"/>
      <c r="CN21" s="115" t="n"/>
      <c r="CO21" s="116" t="n"/>
      <c r="CP21" s="115" t="n"/>
      <c r="CQ21" s="116" t="n"/>
      <c r="CR21" s="115" t="n"/>
      <c r="CS21" s="116" t="n"/>
      <c r="CT21" s="115" t="n"/>
      <c r="CU21" s="116" t="n"/>
      <c r="CV21" s="115" t="n"/>
      <c r="CW21" s="116" t="n"/>
      <c r="CX21" s="115" t="n"/>
      <c r="CY21" s="116" t="n"/>
      <c r="CZ21" s="115" t="n"/>
      <c r="DA21" s="116" t="n"/>
      <c r="DB21" s="115" t="n"/>
      <c r="DC21" s="116" t="n"/>
      <c r="DD21" s="117" t="n"/>
      <c r="DE21" s="118" t="n"/>
      <c r="DF21" s="119" t="n"/>
      <c r="DG21" s="118" t="n"/>
      <c r="DH21" s="119" t="n"/>
      <c r="DI21" s="118" t="n"/>
      <c r="DJ21" s="119" t="n"/>
      <c r="DK21" s="118" t="n"/>
      <c r="DL21" s="119" t="n"/>
      <c r="DM21" s="118" t="n"/>
      <c r="DN21" s="119" t="n"/>
      <c r="DO21" s="118" t="n"/>
      <c r="DP21" s="119" t="n"/>
      <c r="DQ21" s="118" t="n"/>
      <c r="DR21" s="119" t="n"/>
      <c r="DS21" s="118" t="n"/>
      <c r="DT21" s="119" t="n"/>
      <c r="DU21" s="120" t="n"/>
      <c r="DV21" s="121" t="n"/>
      <c r="DW21" s="122" t="n"/>
      <c r="DX21" s="121" t="n"/>
      <c r="DY21" s="122" t="n"/>
      <c r="DZ21" s="121" t="n"/>
      <c r="EA21" s="122" t="n"/>
      <c r="EB21" s="121" t="n"/>
      <c r="EC21" s="122" t="n"/>
      <c r="ED21" s="121" t="n"/>
      <c r="EE21" s="122" t="n"/>
      <c r="EF21" s="121" t="n"/>
      <c r="EG21" s="122" t="n"/>
      <c r="EH21" s="121" t="n"/>
      <c r="EI21" s="122" t="n"/>
      <c r="EJ21" s="121" t="n"/>
      <c r="EK21" s="122" t="n"/>
      <c r="EL21" s="123" t="n"/>
      <c r="EM21" s="124" t="n"/>
      <c r="EN21" s="125" t="n"/>
      <c r="EO21" s="124" t="n"/>
      <c r="EP21" s="125" t="n"/>
      <c r="EQ21" s="124" t="n"/>
      <c r="ER21" s="125" t="n"/>
      <c r="ES21" s="124" t="n"/>
      <c r="ET21" s="125" t="n"/>
      <c r="EU21" s="124" t="n"/>
      <c r="EV21" s="125" t="n"/>
      <c r="EW21" s="124" t="n"/>
      <c r="EX21" s="125" t="n"/>
      <c r="EY21" s="124" t="n"/>
      <c r="EZ21" s="125" t="n"/>
      <c r="FA21" s="124" t="n"/>
      <c r="FB21" s="125" t="n"/>
      <c r="FC21" s="126" t="n"/>
      <c r="FD21" s="127" t="n"/>
      <c r="FE21" s="128" t="n"/>
      <c r="FF21" s="127" t="n"/>
      <c r="FG21" s="128" t="n"/>
      <c r="FH21" s="127" t="n"/>
      <c r="FI21" s="128" t="n"/>
      <c r="FJ21" s="127" t="n"/>
      <c r="FK21" s="128" t="n"/>
      <c r="FL21" s="127" t="n"/>
      <c r="FM21" s="128" t="n"/>
      <c r="FN21" s="127" t="n"/>
      <c r="FO21" s="128" t="n"/>
      <c r="FP21" s="127" t="n"/>
      <c r="FQ21" s="128" t="n"/>
      <c r="FR21" s="127" t="n"/>
      <c r="FS21" s="128" t="n"/>
      <c r="FT21" s="129" t="n"/>
      <c r="FU21" s="130" t="n"/>
      <c r="FV21" s="131" t="n"/>
      <c r="FW21" s="130" t="n"/>
      <c r="FX21" s="131" t="n"/>
      <c r="FY21" s="130" t="n"/>
      <c r="FZ21" s="131" t="n"/>
      <c r="GA21" s="130" t="n"/>
      <c r="GB21" s="131" t="n"/>
      <c r="GC21" s="130" t="n"/>
      <c r="GD21" s="131" t="n"/>
      <c r="GE21" s="130" t="n"/>
      <c r="GF21" s="131" t="n"/>
      <c r="GG21" s="130" t="n"/>
      <c r="GH21" s="131" t="n"/>
      <c r="GI21" s="130" t="n"/>
      <c r="GJ21" s="131" t="n"/>
      <c r="GK21" s="132" t="n"/>
      <c r="GL21" s="133" t="n"/>
      <c r="GM21" s="134" t="n"/>
      <c r="GN21" s="133" t="n"/>
      <c r="GO21" s="134" t="n"/>
      <c r="GP21" s="133" t="n"/>
      <c r="GQ21" s="134" t="n"/>
      <c r="GR21" s="133" t="n"/>
      <c r="GS21" s="134" t="n"/>
      <c r="GT21" s="133" t="n"/>
      <c r="GU21" s="134" t="n"/>
      <c r="GV21" s="133" t="n"/>
      <c r="GW21" s="134" t="n"/>
      <c r="GX21" s="133" t="n"/>
      <c r="GY21" s="134" t="n"/>
      <c r="GZ21" s="133" t="n"/>
      <c r="HA21" s="134" t="n"/>
      <c r="HB21" s="135" t="n"/>
      <c r="HC21">
        <f>COUNTIFS($G$3:$HB$3,"ح",$G21:$HB21,TRUE)</f>
        <v>0</v>
      </c>
      <c r="HD21">
        <f>COUNTIFS($G$3:$HB$3,"دفع",$G21:$HB21,TRUE)</f>
        <v>0</v>
      </c>
      <c r="HE21">
        <f>8*$HD21-$HC21</f>
        <v>0</v>
      </c>
    </row>
    <row r="22" ht="22.5" customHeight="1">
      <c r="A22" s="36" t="n">
        <v>19</v>
      </c>
      <c r="B22" s="97" t="n"/>
      <c r="C22" s="28" t="n"/>
      <c r="D22" s="98" t="str">
        <f>IF($B22="","",IF($HC22=0,"-",($HC22-8*INT(($HC22-1)/8))&amp;"/8"))</f>
        <v/>
      </c>
      <c r="E22" s="98" t="str">
        <f>IF($B22="","",IF(AND($HC22=0,$HD22=0),"-",$HE22))</f>
        <v/>
      </c>
      <c r="F22" s="99" t="str">
        <f>IF($B22="","",IF(AND($HC22=0,$HD22=0),"جديد",IF($HE22&gt;1,"تمام",IF($HE22=1,"آخر حصة",IF($HE22=0,"تجديد",IF($HE22=-1,"عليه حصة",IF($HE22=-2,"عليه حصتين","عليه "&amp;(-$HE22)&amp;" حصص")))))))</f>
        <v/>
      </c>
      <c r="G22" s="100" t="n"/>
      <c r="H22" s="101" t="n"/>
      <c r="I22" s="100" t="n"/>
      <c r="J22" s="101" t="n"/>
      <c r="K22" s="100" t="n"/>
      <c r="L22" s="101" t="n"/>
      <c r="M22" s="100" t="n"/>
      <c r="N22" s="101" t="n"/>
      <c r="O22" s="100" t="n"/>
      <c r="P22" s="101" t="n"/>
      <c r="Q22" s="100" t="n"/>
      <c r="R22" s="101" t="n"/>
      <c r="S22" s="100" t="n"/>
      <c r="T22" s="101" t="n"/>
      <c r="U22" s="100" t="n"/>
      <c r="V22" s="101" t="n"/>
      <c r="W22" s="102" t="n"/>
      <c r="X22" s="103" t="n"/>
      <c r="Y22" s="104" t="n"/>
      <c r="Z22" s="103" t="n"/>
      <c r="AA22" s="104" t="n"/>
      <c r="AB22" s="103" t="n"/>
      <c r="AC22" s="104" t="n"/>
      <c r="AD22" s="103" t="n"/>
      <c r="AE22" s="104" t="n"/>
      <c r="AF22" s="103" t="n"/>
      <c r="AG22" s="104" t="n"/>
      <c r="AH22" s="103" t="n"/>
      <c r="AI22" s="104" t="n"/>
      <c r="AJ22" s="103" t="n"/>
      <c r="AK22" s="104" t="n"/>
      <c r="AL22" s="103" t="n"/>
      <c r="AM22" s="104" t="n"/>
      <c r="AN22" s="105" t="n"/>
      <c r="AO22" s="106" t="n"/>
      <c r="AP22" s="107" t="n"/>
      <c r="AQ22" s="106" t="n"/>
      <c r="AR22" s="107" t="n"/>
      <c r="AS22" s="106" t="n"/>
      <c r="AT22" s="107" t="n"/>
      <c r="AU22" s="106" t="n"/>
      <c r="AV22" s="107" t="n"/>
      <c r="AW22" s="106" t="n"/>
      <c r="AX22" s="107" t="n"/>
      <c r="AY22" s="106" t="n"/>
      <c r="AZ22" s="107" t="n"/>
      <c r="BA22" s="106" t="n"/>
      <c r="BB22" s="107" t="n"/>
      <c r="BC22" s="106" t="n"/>
      <c r="BD22" s="107" t="n"/>
      <c r="BE22" s="108" t="n"/>
      <c r="BF22" s="109" t="n"/>
      <c r="BG22" s="110" t="n"/>
      <c r="BH22" s="109" t="n"/>
      <c r="BI22" s="110" t="n"/>
      <c r="BJ22" s="109" t="n"/>
      <c r="BK22" s="110" t="n"/>
      <c r="BL22" s="109" t="n"/>
      <c r="BM22" s="110" t="n"/>
      <c r="BN22" s="109" t="n"/>
      <c r="BO22" s="110" t="n"/>
      <c r="BP22" s="109" t="n"/>
      <c r="BQ22" s="110" t="n"/>
      <c r="BR22" s="109" t="n"/>
      <c r="BS22" s="110" t="n"/>
      <c r="BT22" s="109" t="n"/>
      <c r="BU22" s="110" t="n"/>
      <c r="BV22" s="111" t="n"/>
      <c r="BW22" s="112" t="n"/>
      <c r="BX22" s="113" t="n"/>
      <c r="BY22" s="112" t="n"/>
      <c r="BZ22" s="113" t="n"/>
      <c r="CA22" s="112" t="n"/>
      <c r="CB22" s="113" t="n"/>
      <c r="CC22" s="112" t="n"/>
      <c r="CD22" s="113" t="n"/>
      <c r="CE22" s="112" t="n"/>
      <c r="CF22" s="113" t="n"/>
      <c r="CG22" s="112" t="n"/>
      <c r="CH22" s="113" t="n"/>
      <c r="CI22" s="112" t="n"/>
      <c r="CJ22" s="113" t="n"/>
      <c r="CK22" s="112" t="n"/>
      <c r="CL22" s="113" t="n"/>
      <c r="CM22" s="114" t="n"/>
      <c r="CN22" s="115" t="n"/>
      <c r="CO22" s="116" t="n"/>
      <c r="CP22" s="115" t="n"/>
      <c r="CQ22" s="116" t="n"/>
      <c r="CR22" s="115" t="n"/>
      <c r="CS22" s="116" t="n"/>
      <c r="CT22" s="115" t="n"/>
      <c r="CU22" s="116" t="n"/>
      <c r="CV22" s="115" t="n"/>
      <c r="CW22" s="116" t="n"/>
      <c r="CX22" s="115" t="n"/>
      <c r="CY22" s="116" t="n"/>
      <c r="CZ22" s="115" t="n"/>
      <c r="DA22" s="116" t="n"/>
      <c r="DB22" s="115" t="n"/>
      <c r="DC22" s="116" t="n"/>
      <c r="DD22" s="117" t="n"/>
      <c r="DE22" s="118" t="n"/>
      <c r="DF22" s="119" t="n"/>
      <c r="DG22" s="118" t="n"/>
      <c r="DH22" s="119" t="n"/>
      <c r="DI22" s="118" t="n"/>
      <c r="DJ22" s="119" t="n"/>
      <c r="DK22" s="118" t="n"/>
      <c r="DL22" s="119" t="n"/>
      <c r="DM22" s="118" t="n"/>
      <c r="DN22" s="119" t="n"/>
      <c r="DO22" s="118" t="n"/>
      <c r="DP22" s="119" t="n"/>
      <c r="DQ22" s="118" t="n"/>
      <c r="DR22" s="119" t="n"/>
      <c r="DS22" s="118" t="n"/>
      <c r="DT22" s="119" t="n"/>
      <c r="DU22" s="120" t="n"/>
      <c r="DV22" s="121" t="n"/>
      <c r="DW22" s="122" t="n"/>
      <c r="DX22" s="121" t="n"/>
      <c r="DY22" s="122" t="n"/>
      <c r="DZ22" s="121" t="n"/>
      <c r="EA22" s="122" t="n"/>
      <c r="EB22" s="121" t="n"/>
      <c r="EC22" s="122" t="n"/>
      <c r="ED22" s="121" t="n"/>
      <c r="EE22" s="122" t="n"/>
      <c r="EF22" s="121" t="n"/>
      <c r="EG22" s="122" t="n"/>
      <c r="EH22" s="121" t="n"/>
      <c r="EI22" s="122" t="n"/>
      <c r="EJ22" s="121" t="n"/>
      <c r="EK22" s="122" t="n"/>
      <c r="EL22" s="123" t="n"/>
      <c r="EM22" s="124" t="n"/>
      <c r="EN22" s="125" t="n"/>
      <c r="EO22" s="124" t="n"/>
      <c r="EP22" s="125" t="n"/>
      <c r="EQ22" s="124" t="n"/>
      <c r="ER22" s="125" t="n"/>
      <c r="ES22" s="124" t="n"/>
      <c r="ET22" s="125" t="n"/>
      <c r="EU22" s="124" t="n"/>
      <c r="EV22" s="125" t="n"/>
      <c r="EW22" s="124" t="n"/>
      <c r="EX22" s="125" t="n"/>
      <c r="EY22" s="124" t="n"/>
      <c r="EZ22" s="125" t="n"/>
      <c r="FA22" s="124" t="n"/>
      <c r="FB22" s="125" t="n"/>
      <c r="FC22" s="126" t="n"/>
      <c r="FD22" s="127" t="n"/>
      <c r="FE22" s="128" t="n"/>
      <c r="FF22" s="127" t="n"/>
      <c r="FG22" s="128" t="n"/>
      <c r="FH22" s="127" t="n"/>
      <c r="FI22" s="128" t="n"/>
      <c r="FJ22" s="127" t="n"/>
      <c r="FK22" s="128" t="n"/>
      <c r="FL22" s="127" t="n"/>
      <c r="FM22" s="128" t="n"/>
      <c r="FN22" s="127" t="n"/>
      <c r="FO22" s="128" t="n"/>
      <c r="FP22" s="127" t="n"/>
      <c r="FQ22" s="128" t="n"/>
      <c r="FR22" s="127" t="n"/>
      <c r="FS22" s="128" t="n"/>
      <c r="FT22" s="129" t="n"/>
      <c r="FU22" s="130" t="n"/>
      <c r="FV22" s="131" t="n"/>
      <c r="FW22" s="130" t="n"/>
      <c r="FX22" s="131" t="n"/>
      <c r="FY22" s="130" t="n"/>
      <c r="FZ22" s="131" t="n"/>
      <c r="GA22" s="130" t="n"/>
      <c r="GB22" s="131" t="n"/>
      <c r="GC22" s="130" t="n"/>
      <c r="GD22" s="131" t="n"/>
      <c r="GE22" s="130" t="n"/>
      <c r="GF22" s="131" t="n"/>
      <c r="GG22" s="130" t="n"/>
      <c r="GH22" s="131" t="n"/>
      <c r="GI22" s="130" t="n"/>
      <c r="GJ22" s="131" t="n"/>
      <c r="GK22" s="132" t="n"/>
      <c r="GL22" s="133" t="n"/>
      <c r="GM22" s="134" t="n"/>
      <c r="GN22" s="133" t="n"/>
      <c r="GO22" s="134" t="n"/>
      <c r="GP22" s="133" t="n"/>
      <c r="GQ22" s="134" t="n"/>
      <c r="GR22" s="133" t="n"/>
      <c r="GS22" s="134" t="n"/>
      <c r="GT22" s="133" t="n"/>
      <c r="GU22" s="134" t="n"/>
      <c r="GV22" s="133" t="n"/>
      <c r="GW22" s="134" t="n"/>
      <c r="GX22" s="133" t="n"/>
      <c r="GY22" s="134" t="n"/>
      <c r="GZ22" s="133" t="n"/>
      <c r="HA22" s="134" t="n"/>
      <c r="HB22" s="135" t="n"/>
      <c r="HC22">
        <f>COUNTIFS($G$3:$HB$3,"ح",$G22:$HB22,TRUE)</f>
        <v>0</v>
      </c>
      <c r="HD22">
        <f>COUNTIFS($G$3:$HB$3,"دفع",$G22:$HB22,TRUE)</f>
        <v>0</v>
      </c>
      <c r="HE22">
        <f>8*$HD22-$HC22</f>
        <v>0</v>
      </c>
    </row>
    <row r="23" ht="22.5" customHeight="1">
      <c r="A23" s="36" t="n">
        <v>20</v>
      </c>
      <c r="B23" s="97" t="n"/>
      <c r="C23" s="28" t="n"/>
      <c r="D23" s="98" t="str">
        <f>IF($B23="","",IF($HC23=0,"-",($HC23-8*INT(($HC23-1)/8))&amp;"/8"))</f>
        <v/>
      </c>
      <c r="E23" s="98" t="str">
        <f>IF($B23="","",IF(AND($HC23=0,$HD23=0),"-",$HE23))</f>
        <v/>
      </c>
      <c r="F23" s="99" t="str">
        <f>IF($B23="","",IF(AND($HC23=0,$HD23=0),"جديد",IF($HE23&gt;1,"تمام",IF($HE23=1,"آخر حصة",IF($HE23=0,"تجديد",IF($HE23=-1,"عليه حصة",IF($HE23=-2,"عليه حصتين","عليه "&amp;(-$HE23)&amp;" حصص")))))))</f>
        <v/>
      </c>
      <c r="G23" s="100" t="n"/>
      <c r="H23" s="101" t="n"/>
      <c r="I23" s="100" t="n"/>
      <c r="J23" s="101" t="n"/>
      <c r="K23" s="100" t="n"/>
      <c r="L23" s="101" t="n"/>
      <c r="M23" s="100" t="n"/>
      <c r="N23" s="101" t="n"/>
      <c r="O23" s="100" t="n"/>
      <c r="P23" s="101" t="n"/>
      <c r="Q23" s="100" t="n"/>
      <c r="R23" s="101" t="n"/>
      <c r="S23" s="100" t="n"/>
      <c r="T23" s="101" t="n"/>
      <c r="U23" s="100" t="n"/>
      <c r="V23" s="101" t="n"/>
      <c r="W23" s="102" t="n"/>
      <c r="X23" s="103" t="n"/>
      <c r="Y23" s="104" t="n"/>
      <c r="Z23" s="103" t="n"/>
      <c r="AA23" s="104" t="n"/>
      <c r="AB23" s="103" t="n"/>
      <c r="AC23" s="104" t="n"/>
      <c r="AD23" s="103" t="n"/>
      <c r="AE23" s="104" t="n"/>
      <c r="AF23" s="103" t="n"/>
      <c r="AG23" s="104" t="n"/>
      <c r="AH23" s="103" t="n"/>
      <c r="AI23" s="104" t="n"/>
      <c r="AJ23" s="103" t="n"/>
      <c r="AK23" s="104" t="n"/>
      <c r="AL23" s="103" t="n"/>
      <c r="AM23" s="104" t="n"/>
      <c r="AN23" s="105" t="n"/>
      <c r="AO23" s="106" t="n"/>
      <c r="AP23" s="107" t="n"/>
      <c r="AQ23" s="106" t="n"/>
      <c r="AR23" s="107" t="n"/>
      <c r="AS23" s="106" t="n"/>
      <c r="AT23" s="107" t="n"/>
      <c r="AU23" s="106" t="n"/>
      <c r="AV23" s="107" t="n"/>
      <c r="AW23" s="106" t="n"/>
      <c r="AX23" s="107" t="n"/>
      <c r="AY23" s="106" t="n"/>
      <c r="AZ23" s="107" t="n"/>
      <c r="BA23" s="106" t="n"/>
      <c r="BB23" s="107" t="n"/>
      <c r="BC23" s="106" t="n"/>
      <c r="BD23" s="107" t="n"/>
      <c r="BE23" s="108" t="n"/>
      <c r="BF23" s="109" t="n"/>
      <c r="BG23" s="110" t="n"/>
      <c r="BH23" s="109" t="n"/>
      <c r="BI23" s="110" t="n"/>
      <c r="BJ23" s="109" t="n"/>
      <c r="BK23" s="110" t="n"/>
      <c r="BL23" s="109" t="n"/>
      <c r="BM23" s="110" t="n"/>
      <c r="BN23" s="109" t="n"/>
      <c r="BO23" s="110" t="n"/>
      <c r="BP23" s="109" t="n"/>
      <c r="BQ23" s="110" t="n"/>
      <c r="BR23" s="109" t="n"/>
      <c r="BS23" s="110" t="n"/>
      <c r="BT23" s="109" t="n"/>
      <c r="BU23" s="110" t="n"/>
      <c r="BV23" s="111" t="n"/>
      <c r="BW23" s="112" t="n"/>
      <c r="BX23" s="113" t="n"/>
      <c r="BY23" s="112" t="n"/>
      <c r="BZ23" s="113" t="n"/>
      <c r="CA23" s="112" t="n"/>
      <c r="CB23" s="113" t="n"/>
      <c r="CC23" s="112" t="n"/>
      <c r="CD23" s="113" t="n"/>
      <c r="CE23" s="112" t="n"/>
      <c r="CF23" s="113" t="n"/>
      <c r="CG23" s="112" t="n"/>
      <c r="CH23" s="113" t="n"/>
      <c r="CI23" s="112" t="n"/>
      <c r="CJ23" s="113" t="n"/>
      <c r="CK23" s="112" t="n"/>
      <c r="CL23" s="113" t="n"/>
      <c r="CM23" s="114" t="n"/>
      <c r="CN23" s="115" t="n"/>
      <c r="CO23" s="116" t="n"/>
      <c r="CP23" s="115" t="n"/>
      <c r="CQ23" s="116" t="n"/>
      <c r="CR23" s="115" t="n"/>
      <c r="CS23" s="116" t="n"/>
      <c r="CT23" s="115" t="n"/>
      <c r="CU23" s="116" t="n"/>
      <c r="CV23" s="115" t="n"/>
      <c r="CW23" s="116" t="n"/>
      <c r="CX23" s="115" t="n"/>
      <c r="CY23" s="116" t="n"/>
      <c r="CZ23" s="115" t="n"/>
      <c r="DA23" s="116" t="n"/>
      <c r="DB23" s="115" t="n"/>
      <c r="DC23" s="116" t="n"/>
      <c r="DD23" s="117" t="n"/>
      <c r="DE23" s="118" t="n"/>
      <c r="DF23" s="119" t="n"/>
      <c r="DG23" s="118" t="n"/>
      <c r="DH23" s="119" t="n"/>
      <c r="DI23" s="118" t="n"/>
      <c r="DJ23" s="119" t="n"/>
      <c r="DK23" s="118" t="n"/>
      <c r="DL23" s="119" t="n"/>
      <c r="DM23" s="118" t="n"/>
      <c r="DN23" s="119" t="n"/>
      <c r="DO23" s="118" t="n"/>
      <c r="DP23" s="119" t="n"/>
      <c r="DQ23" s="118" t="n"/>
      <c r="DR23" s="119" t="n"/>
      <c r="DS23" s="118" t="n"/>
      <c r="DT23" s="119" t="n"/>
      <c r="DU23" s="120" t="n"/>
      <c r="DV23" s="121" t="n"/>
      <c r="DW23" s="122" t="n"/>
      <c r="DX23" s="121" t="n"/>
      <c r="DY23" s="122" t="n"/>
      <c r="DZ23" s="121" t="n"/>
      <c r="EA23" s="122" t="n"/>
      <c r="EB23" s="121" t="n"/>
      <c r="EC23" s="122" t="n"/>
      <c r="ED23" s="121" t="n"/>
      <c r="EE23" s="122" t="n"/>
      <c r="EF23" s="121" t="n"/>
      <c r="EG23" s="122" t="n"/>
      <c r="EH23" s="121" t="n"/>
      <c r="EI23" s="122" t="n"/>
      <c r="EJ23" s="121" t="n"/>
      <c r="EK23" s="122" t="n"/>
      <c r="EL23" s="123" t="n"/>
      <c r="EM23" s="124" t="n"/>
      <c r="EN23" s="125" t="n"/>
      <c r="EO23" s="124" t="n"/>
      <c r="EP23" s="125" t="n"/>
      <c r="EQ23" s="124" t="n"/>
      <c r="ER23" s="125" t="n"/>
      <c r="ES23" s="124" t="n"/>
      <c r="ET23" s="125" t="n"/>
      <c r="EU23" s="124" t="n"/>
      <c r="EV23" s="125" t="n"/>
      <c r="EW23" s="124" t="n"/>
      <c r="EX23" s="125" t="n"/>
      <c r="EY23" s="124" t="n"/>
      <c r="EZ23" s="125" t="n"/>
      <c r="FA23" s="124" t="n"/>
      <c r="FB23" s="125" t="n"/>
      <c r="FC23" s="126" t="n"/>
      <c r="FD23" s="127" t="n"/>
      <c r="FE23" s="128" t="n"/>
      <c r="FF23" s="127" t="n"/>
      <c r="FG23" s="128" t="n"/>
      <c r="FH23" s="127" t="n"/>
      <c r="FI23" s="128" t="n"/>
      <c r="FJ23" s="127" t="n"/>
      <c r="FK23" s="128" t="n"/>
      <c r="FL23" s="127" t="n"/>
      <c r="FM23" s="128" t="n"/>
      <c r="FN23" s="127" t="n"/>
      <c r="FO23" s="128" t="n"/>
      <c r="FP23" s="127" t="n"/>
      <c r="FQ23" s="128" t="n"/>
      <c r="FR23" s="127" t="n"/>
      <c r="FS23" s="128" t="n"/>
      <c r="FT23" s="129" t="n"/>
      <c r="FU23" s="130" t="n"/>
      <c r="FV23" s="131" t="n"/>
      <c r="FW23" s="130" t="n"/>
      <c r="FX23" s="131" t="n"/>
      <c r="FY23" s="130" t="n"/>
      <c r="FZ23" s="131" t="n"/>
      <c r="GA23" s="130" t="n"/>
      <c r="GB23" s="131" t="n"/>
      <c r="GC23" s="130" t="n"/>
      <c r="GD23" s="131" t="n"/>
      <c r="GE23" s="130" t="n"/>
      <c r="GF23" s="131" t="n"/>
      <c r="GG23" s="130" t="n"/>
      <c r="GH23" s="131" t="n"/>
      <c r="GI23" s="130" t="n"/>
      <c r="GJ23" s="131" t="n"/>
      <c r="GK23" s="132" t="n"/>
      <c r="GL23" s="133" t="n"/>
      <c r="GM23" s="134" t="n"/>
      <c r="GN23" s="133" t="n"/>
      <c r="GO23" s="134" t="n"/>
      <c r="GP23" s="133" t="n"/>
      <c r="GQ23" s="134" t="n"/>
      <c r="GR23" s="133" t="n"/>
      <c r="GS23" s="134" t="n"/>
      <c r="GT23" s="133" t="n"/>
      <c r="GU23" s="134" t="n"/>
      <c r="GV23" s="133" t="n"/>
      <c r="GW23" s="134" t="n"/>
      <c r="GX23" s="133" t="n"/>
      <c r="GY23" s="134" t="n"/>
      <c r="GZ23" s="133" t="n"/>
      <c r="HA23" s="134" t="n"/>
      <c r="HB23" s="135" t="n"/>
      <c r="HC23">
        <f>COUNTIFS($G$3:$HB$3,"ح",$G23:$HB23,TRUE)</f>
        <v>0</v>
      </c>
      <c r="HD23">
        <f>COUNTIFS($G$3:$HB$3,"دفع",$G23:$HB23,TRUE)</f>
        <v>0</v>
      </c>
      <c r="HE23">
        <f>8*$HD23-$HC23</f>
        <v>0</v>
      </c>
    </row>
    <row r="24" ht="22.5" customHeight="1">
      <c r="A24" s="36" t="n">
        <v>21</v>
      </c>
      <c r="B24" s="97" t="n"/>
      <c r="C24" s="28" t="n"/>
      <c r="D24" s="98" t="str">
        <f>IF($B24="","",IF($HC24=0,"-",($HC24-8*INT(($HC24-1)/8))&amp;"/8"))</f>
        <v/>
      </c>
      <c r="E24" s="98" t="str">
        <f>IF($B24="","",IF(AND($HC24=0,$HD24=0),"-",$HE24))</f>
        <v/>
      </c>
      <c r="F24" s="99" t="str">
        <f>IF($B24="","",IF(AND($HC24=0,$HD24=0),"جديد",IF($HE24&gt;1,"تمام",IF($HE24=1,"آخر حصة",IF($HE24=0,"تجديد",IF($HE24=-1,"عليه حصة",IF($HE24=-2,"عليه حصتين","عليه "&amp;(-$HE24)&amp;" حصص")))))))</f>
        <v/>
      </c>
      <c r="G24" s="100" t="n"/>
      <c r="H24" s="101" t="n"/>
      <c r="I24" s="100" t="n"/>
      <c r="J24" s="101" t="n"/>
      <c r="K24" s="100" t="n"/>
      <c r="L24" s="101" t="n"/>
      <c r="M24" s="100" t="n"/>
      <c r="N24" s="101" t="n"/>
      <c r="O24" s="100" t="n"/>
      <c r="P24" s="101" t="n"/>
      <c r="Q24" s="100" t="n"/>
      <c r="R24" s="101" t="n"/>
      <c r="S24" s="100" t="n"/>
      <c r="T24" s="101" t="n"/>
      <c r="U24" s="100" t="n"/>
      <c r="V24" s="101" t="n"/>
      <c r="W24" s="102" t="n"/>
      <c r="X24" s="103" t="n"/>
      <c r="Y24" s="104" t="n"/>
      <c r="Z24" s="103" t="n"/>
      <c r="AA24" s="104" t="n"/>
      <c r="AB24" s="103" t="n"/>
      <c r="AC24" s="104" t="n"/>
      <c r="AD24" s="103" t="n"/>
      <c r="AE24" s="104" t="n"/>
      <c r="AF24" s="103" t="n"/>
      <c r="AG24" s="104" t="n"/>
      <c r="AH24" s="103" t="n"/>
      <c r="AI24" s="104" t="n"/>
      <c r="AJ24" s="103" t="n"/>
      <c r="AK24" s="104" t="n"/>
      <c r="AL24" s="103" t="n"/>
      <c r="AM24" s="104" t="n"/>
      <c r="AN24" s="105" t="n"/>
      <c r="AO24" s="106" t="n"/>
      <c r="AP24" s="107" t="n"/>
      <c r="AQ24" s="106" t="n"/>
      <c r="AR24" s="107" t="n"/>
      <c r="AS24" s="106" t="n"/>
      <c r="AT24" s="107" t="n"/>
      <c r="AU24" s="106" t="n"/>
      <c r="AV24" s="107" t="n"/>
      <c r="AW24" s="106" t="n"/>
      <c r="AX24" s="107" t="n"/>
      <c r="AY24" s="106" t="n"/>
      <c r="AZ24" s="107" t="n"/>
      <c r="BA24" s="106" t="n"/>
      <c r="BB24" s="107" t="n"/>
      <c r="BC24" s="106" t="n"/>
      <c r="BD24" s="107" t="n"/>
      <c r="BE24" s="108" t="n"/>
      <c r="BF24" s="109" t="n"/>
      <c r="BG24" s="110" t="n"/>
      <c r="BH24" s="109" t="n"/>
      <c r="BI24" s="110" t="n"/>
      <c r="BJ24" s="109" t="n"/>
      <c r="BK24" s="110" t="n"/>
      <c r="BL24" s="109" t="n"/>
      <c r="BM24" s="110" t="n"/>
      <c r="BN24" s="109" t="n"/>
      <c r="BO24" s="110" t="n"/>
      <c r="BP24" s="109" t="n"/>
      <c r="BQ24" s="110" t="n"/>
      <c r="BR24" s="109" t="n"/>
      <c r="BS24" s="110" t="n"/>
      <c r="BT24" s="109" t="n"/>
      <c r="BU24" s="110" t="n"/>
      <c r="BV24" s="111" t="n"/>
      <c r="BW24" s="112" t="n"/>
      <c r="BX24" s="113" t="n"/>
      <c r="BY24" s="112" t="n"/>
      <c r="BZ24" s="113" t="n"/>
      <c r="CA24" s="112" t="n"/>
      <c r="CB24" s="113" t="n"/>
      <c r="CC24" s="112" t="n"/>
      <c r="CD24" s="113" t="n"/>
      <c r="CE24" s="112" t="n"/>
      <c r="CF24" s="113" t="n"/>
      <c r="CG24" s="112" t="n"/>
      <c r="CH24" s="113" t="n"/>
      <c r="CI24" s="112" t="n"/>
      <c r="CJ24" s="113" t="n"/>
      <c r="CK24" s="112" t="n"/>
      <c r="CL24" s="113" t="n"/>
      <c r="CM24" s="114" t="n"/>
      <c r="CN24" s="115" t="n"/>
      <c r="CO24" s="116" t="n"/>
      <c r="CP24" s="115" t="n"/>
      <c r="CQ24" s="116" t="n"/>
      <c r="CR24" s="115" t="n"/>
      <c r="CS24" s="116" t="n"/>
      <c r="CT24" s="115" t="n"/>
      <c r="CU24" s="116" t="n"/>
      <c r="CV24" s="115" t="n"/>
      <c r="CW24" s="116" t="n"/>
      <c r="CX24" s="115" t="n"/>
      <c r="CY24" s="116" t="n"/>
      <c r="CZ24" s="115" t="n"/>
      <c r="DA24" s="116" t="n"/>
      <c r="DB24" s="115" t="n"/>
      <c r="DC24" s="116" t="n"/>
      <c r="DD24" s="117" t="n"/>
      <c r="DE24" s="118" t="n"/>
      <c r="DF24" s="119" t="n"/>
      <c r="DG24" s="118" t="n"/>
      <c r="DH24" s="119" t="n"/>
      <c r="DI24" s="118" t="n"/>
      <c r="DJ24" s="119" t="n"/>
      <c r="DK24" s="118" t="n"/>
      <c r="DL24" s="119" t="n"/>
      <c r="DM24" s="118" t="n"/>
      <c r="DN24" s="119" t="n"/>
      <c r="DO24" s="118" t="n"/>
      <c r="DP24" s="119" t="n"/>
      <c r="DQ24" s="118" t="n"/>
      <c r="DR24" s="119" t="n"/>
      <c r="DS24" s="118" t="n"/>
      <c r="DT24" s="119" t="n"/>
      <c r="DU24" s="120" t="n"/>
      <c r="DV24" s="121" t="n"/>
      <c r="DW24" s="122" t="n"/>
      <c r="DX24" s="121" t="n"/>
      <c r="DY24" s="122" t="n"/>
      <c r="DZ24" s="121" t="n"/>
      <c r="EA24" s="122" t="n"/>
      <c r="EB24" s="121" t="n"/>
      <c r="EC24" s="122" t="n"/>
      <c r="ED24" s="121" t="n"/>
      <c r="EE24" s="122" t="n"/>
      <c r="EF24" s="121" t="n"/>
      <c r="EG24" s="122" t="n"/>
      <c r="EH24" s="121" t="n"/>
      <c r="EI24" s="122" t="n"/>
      <c r="EJ24" s="121" t="n"/>
      <c r="EK24" s="122" t="n"/>
      <c r="EL24" s="123" t="n"/>
      <c r="EM24" s="124" t="n"/>
      <c r="EN24" s="125" t="n"/>
      <c r="EO24" s="124" t="n"/>
      <c r="EP24" s="125" t="n"/>
      <c r="EQ24" s="124" t="n"/>
      <c r="ER24" s="125" t="n"/>
      <c r="ES24" s="124" t="n"/>
      <c r="ET24" s="125" t="n"/>
      <c r="EU24" s="124" t="n"/>
      <c r="EV24" s="125" t="n"/>
      <c r="EW24" s="124" t="n"/>
      <c r="EX24" s="125" t="n"/>
      <c r="EY24" s="124" t="n"/>
      <c r="EZ24" s="125" t="n"/>
      <c r="FA24" s="124" t="n"/>
      <c r="FB24" s="125" t="n"/>
      <c r="FC24" s="126" t="n"/>
      <c r="FD24" s="127" t="n"/>
      <c r="FE24" s="128" t="n"/>
      <c r="FF24" s="127" t="n"/>
      <c r="FG24" s="128" t="n"/>
      <c r="FH24" s="127" t="n"/>
      <c r="FI24" s="128" t="n"/>
      <c r="FJ24" s="127" t="n"/>
      <c r="FK24" s="128" t="n"/>
      <c r="FL24" s="127" t="n"/>
      <c r="FM24" s="128" t="n"/>
      <c r="FN24" s="127" t="n"/>
      <c r="FO24" s="128" t="n"/>
      <c r="FP24" s="127" t="n"/>
      <c r="FQ24" s="128" t="n"/>
      <c r="FR24" s="127" t="n"/>
      <c r="FS24" s="128" t="n"/>
      <c r="FT24" s="129" t="n"/>
      <c r="FU24" s="130" t="n"/>
      <c r="FV24" s="131" t="n"/>
      <c r="FW24" s="130" t="n"/>
      <c r="FX24" s="131" t="n"/>
      <c r="FY24" s="130" t="n"/>
      <c r="FZ24" s="131" t="n"/>
      <c r="GA24" s="130" t="n"/>
      <c r="GB24" s="131" t="n"/>
      <c r="GC24" s="130" t="n"/>
      <c r="GD24" s="131" t="n"/>
      <c r="GE24" s="130" t="n"/>
      <c r="GF24" s="131" t="n"/>
      <c r="GG24" s="130" t="n"/>
      <c r="GH24" s="131" t="n"/>
      <c r="GI24" s="130" t="n"/>
      <c r="GJ24" s="131" t="n"/>
      <c r="GK24" s="132" t="n"/>
      <c r="GL24" s="133" t="n"/>
      <c r="GM24" s="134" t="n"/>
      <c r="GN24" s="133" t="n"/>
      <c r="GO24" s="134" t="n"/>
      <c r="GP24" s="133" t="n"/>
      <c r="GQ24" s="134" t="n"/>
      <c r="GR24" s="133" t="n"/>
      <c r="GS24" s="134" t="n"/>
      <c r="GT24" s="133" t="n"/>
      <c r="GU24" s="134" t="n"/>
      <c r="GV24" s="133" t="n"/>
      <c r="GW24" s="134" t="n"/>
      <c r="GX24" s="133" t="n"/>
      <c r="GY24" s="134" t="n"/>
      <c r="GZ24" s="133" t="n"/>
      <c r="HA24" s="134" t="n"/>
      <c r="HB24" s="135" t="n"/>
      <c r="HC24">
        <f>COUNTIFS($G$3:$HB$3,"ح",$G24:$HB24,TRUE)</f>
        <v>0</v>
      </c>
      <c r="HD24">
        <f>COUNTIFS($G$3:$HB$3,"دفع",$G24:$HB24,TRUE)</f>
        <v>0</v>
      </c>
      <c r="HE24">
        <f>8*$HD24-$HC24</f>
        <v>0</v>
      </c>
    </row>
    <row r="25" ht="22.5" customHeight="1">
      <c r="A25" s="36" t="n">
        <v>22</v>
      </c>
      <c r="B25" s="97" t="n"/>
      <c r="C25" s="28" t="n"/>
      <c r="D25" s="98" t="str">
        <f>IF($B25="","",IF($HC25=0,"-",($HC25-8*INT(($HC25-1)/8))&amp;"/8"))</f>
        <v/>
      </c>
      <c r="E25" s="98" t="str">
        <f>IF($B25="","",IF(AND($HC25=0,$HD25=0),"-",$HE25))</f>
        <v/>
      </c>
      <c r="F25" s="99" t="str">
        <f>IF($B25="","",IF(AND($HC25=0,$HD25=0),"جديد",IF($HE25&gt;1,"تمام",IF($HE25=1,"آخر حصة",IF($HE25=0,"تجديد",IF($HE25=-1,"عليه حصة",IF($HE25=-2,"عليه حصتين","عليه "&amp;(-$HE25)&amp;" حصص")))))))</f>
        <v/>
      </c>
      <c r="G25" s="100" t="n"/>
      <c r="H25" s="101" t="n"/>
      <c r="I25" s="100" t="n"/>
      <c r="J25" s="101" t="n"/>
      <c r="K25" s="100" t="n"/>
      <c r="L25" s="101" t="n"/>
      <c r="M25" s="100" t="n"/>
      <c r="N25" s="101" t="n"/>
      <c r="O25" s="100" t="n"/>
      <c r="P25" s="101" t="n"/>
      <c r="Q25" s="100" t="n"/>
      <c r="R25" s="101" t="n"/>
      <c r="S25" s="100" t="n"/>
      <c r="T25" s="101" t="n"/>
      <c r="U25" s="100" t="n"/>
      <c r="V25" s="101" t="n"/>
      <c r="W25" s="102" t="n"/>
      <c r="X25" s="103" t="n"/>
      <c r="Y25" s="104" t="n"/>
      <c r="Z25" s="103" t="n"/>
      <c r="AA25" s="104" t="n"/>
      <c r="AB25" s="103" t="n"/>
      <c r="AC25" s="104" t="n"/>
      <c r="AD25" s="103" t="n"/>
      <c r="AE25" s="104" t="n"/>
      <c r="AF25" s="103" t="n"/>
      <c r="AG25" s="104" t="n"/>
      <c r="AH25" s="103" t="n"/>
      <c r="AI25" s="104" t="n"/>
      <c r="AJ25" s="103" t="n"/>
      <c r="AK25" s="104" t="n"/>
      <c r="AL25" s="103" t="n"/>
      <c r="AM25" s="104" t="n"/>
      <c r="AN25" s="105" t="n"/>
      <c r="AO25" s="106" t="n"/>
      <c r="AP25" s="107" t="n"/>
      <c r="AQ25" s="106" t="n"/>
      <c r="AR25" s="107" t="n"/>
      <c r="AS25" s="106" t="n"/>
      <c r="AT25" s="107" t="n"/>
      <c r="AU25" s="106" t="n"/>
      <c r="AV25" s="107" t="n"/>
      <c r="AW25" s="106" t="n"/>
      <c r="AX25" s="107" t="n"/>
      <c r="AY25" s="106" t="n"/>
      <c r="AZ25" s="107" t="n"/>
      <c r="BA25" s="106" t="n"/>
      <c r="BB25" s="107" t="n"/>
      <c r="BC25" s="106" t="n"/>
      <c r="BD25" s="107" t="n"/>
      <c r="BE25" s="108" t="n"/>
      <c r="BF25" s="109" t="n"/>
      <c r="BG25" s="110" t="n"/>
      <c r="BH25" s="109" t="n"/>
      <c r="BI25" s="110" t="n"/>
      <c r="BJ25" s="109" t="n"/>
      <c r="BK25" s="110" t="n"/>
      <c r="BL25" s="109" t="n"/>
      <c r="BM25" s="110" t="n"/>
      <c r="BN25" s="109" t="n"/>
      <c r="BO25" s="110" t="n"/>
      <c r="BP25" s="109" t="n"/>
      <c r="BQ25" s="110" t="n"/>
      <c r="BR25" s="109" t="n"/>
      <c r="BS25" s="110" t="n"/>
      <c r="BT25" s="109" t="n"/>
      <c r="BU25" s="110" t="n"/>
      <c r="BV25" s="111" t="n"/>
      <c r="BW25" s="112" t="n"/>
      <c r="BX25" s="113" t="n"/>
      <c r="BY25" s="112" t="n"/>
      <c r="BZ25" s="113" t="n"/>
      <c r="CA25" s="112" t="n"/>
      <c r="CB25" s="113" t="n"/>
      <c r="CC25" s="112" t="n"/>
      <c r="CD25" s="113" t="n"/>
      <c r="CE25" s="112" t="n"/>
      <c r="CF25" s="113" t="n"/>
      <c r="CG25" s="112" t="n"/>
      <c r="CH25" s="113" t="n"/>
      <c r="CI25" s="112" t="n"/>
      <c r="CJ25" s="113" t="n"/>
      <c r="CK25" s="112" t="n"/>
      <c r="CL25" s="113" t="n"/>
      <c r="CM25" s="114" t="n"/>
      <c r="CN25" s="115" t="n"/>
      <c r="CO25" s="116" t="n"/>
      <c r="CP25" s="115" t="n"/>
      <c r="CQ25" s="116" t="n"/>
      <c r="CR25" s="115" t="n"/>
      <c r="CS25" s="116" t="n"/>
      <c r="CT25" s="115" t="n"/>
      <c r="CU25" s="116" t="n"/>
      <c r="CV25" s="115" t="n"/>
      <c r="CW25" s="116" t="n"/>
      <c r="CX25" s="115" t="n"/>
      <c r="CY25" s="116" t="n"/>
      <c r="CZ25" s="115" t="n"/>
      <c r="DA25" s="116" t="n"/>
      <c r="DB25" s="115" t="n"/>
      <c r="DC25" s="116" t="n"/>
      <c r="DD25" s="117" t="n"/>
      <c r="DE25" s="118" t="n"/>
      <c r="DF25" s="119" t="n"/>
      <c r="DG25" s="118" t="n"/>
      <c r="DH25" s="119" t="n"/>
      <c r="DI25" s="118" t="n"/>
      <c r="DJ25" s="119" t="n"/>
      <c r="DK25" s="118" t="n"/>
      <c r="DL25" s="119" t="n"/>
      <c r="DM25" s="118" t="n"/>
      <c r="DN25" s="119" t="n"/>
      <c r="DO25" s="118" t="n"/>
      <c r="DP25" s="119" t="n"/>
      <c r="DQ25" s="118" t="n"/>
      <c r="DR25" s="119" t="n"/>
      <c r="DS25" s="118" t="n"/>
      <c r="DT25" s="119" t="n"/>
      <c r="DU25" s="120" t="n"/>
      <c r="DV25" s="121" t="n"/>
      <c r="DW25" s="122" t="n"/>
      <c r="DX25" s="121" t="n"/>
      <c r="DY25" s="122" t="n"/>
      <c r="DZ25" s="121" t="n"/>
      <c r="EA25" s="122" t="n"/>
      <c r="EB25" s="121" t="n"/>
      <c r="EC25" s="122" t="n"/>
      <c r="ED25" s="121" t="n"/>
      <c r="EE25" s="122" t="n"/>
      <c r="EF25" s="121" t="n"/>
      <c r="EG25" s="122" t="n"/>
      <c r="EH25" s="121" t="n"/>
      <c r="EI25" s="122" t="n"/>
      <c r="EJ25" s="121" t="n"/>
      <c r="EK25" s="122" t="n"/>
      <c r="EL25" s="123" t="n"/>
      <c r="EM25" s="124" t="n"/>
      <c r="EN25" s="125" t="n"/>
      <c r="EO25" s="124" t="n"/>
      <c r="EP25" s="125" t="n"/>
      <c r="EQ25" s="124" t="n"/>
      <c r="ER25" s="125" t="n"/>
      <c r="ES25" s="124" t="n"/>
      <c r="ET25" s="125" t="n"/>
      <c r="EU25" s="124" t="n"/>
      <c r="EV25" s="125" t="n"/>
      <c r="EW25" s="124" t="n"/>
      <c r="EX25" s="125" t="n"/>
      <c r="EY25" s="124" t="n"/>
      <c r="EZ25" s="125" t="n"/>
      <c r="FA25" s="124" t="n"/>
      <c r="FB25" s="125" t="n"/>
      <c r="FC25" s="126" t="n"/>
      <c r="FD25" s="127" t="n"/>
      <c r="FE25" s="128" t="n"/>
      <c r="FF25" s="127" t="n"/>
      <c r="FG25" s="128" t="n"/>
      <c r="FH25" s="127" t="n"/>
      <c r="FI25" s="128" t="n"/>
      <c r="FJ25" s="127" t="n"/>
      <c r="FK25" s="128" t="n"/>
      <c r="FL25" s="127" t="n"/>
      <c r="FM25" s="128" t="n"/>
      <c r="FN25" s="127" t="n"/>
      <c r="FO25" s="128" t="n"/>
      <c r="FP25" s="127" t="n"/>
      <c r="FQ25" s="128" t="n"/>
      <c r="FR25" s="127" t="n"/>
      <c r="FS25" s="128" t="n"/>
      <c r="FT25" s="129" t="n"/>
      <c r="FU25" s="130" t="n"/>
      <c r="FV25" s="131" t="n"/>
      <c r="FW25" s="130" t="n"/>
      <c r="FX25" s="131" t="n"/>
      <c r="FY25" s="130" t="n"/>
      <c r="FZ25" s="131" t="n"/>
      <c r="GA25" s="130" t="n"/>
      <c r="GB25" s="131" t="n"/>
      <c r="GC25" s="130" t="n"/>
      <c r="GD25" s="131" t="n"/>
      <c r="GE25" s="130" t="n"/>
      <c r="GF25" s="131" t="n"/>
      <c r="GG25" s="130" t="n"/>
      <c r="GH25" s="131" t="n"/>
      <c r="GI25" s="130" t="n"/>
      <c r="GJ25" s="131" t="n"/>
      <c r="GK25" s="132" t="n"/>
      <c r="GL25" s="133" t="n"/>
      <c r="GM25" s="134" t="n"/>
      <c r="GN25" s="133" t="n"/>
      <c r="GO25" s="134" t="n"/>
      <c r="GP25" s="133" t="n"/>
      <c r="GQ25" s="134" t="n"/>
      <c r="GR25" s="133" t="n"/>
      <c r="GS25" s="134" t="n"/>
      <c r="GT25" s="133" t="n"/>
      <c r="GU25" s="134" t="n"/>
      <c r="GV25" s="133" t="n"/>
      <c r="GW25" s="134" t="n"/>
      <c r="GX25" s="133" t="n"/>
      <c r="GY25" s="134" t="n"/>
      <c r="GZ25" s="133" t="n"/>
      <c r="HA25" s="134" t="n"/>
      <c r="HB25" s="135" t="n"/>
      <c r="HC25">
        <f>COUNTIFS($G$3:$HB$3,"ح",$G25:$HB25,TRUE)</f>
        <v>0</v>
      </c>
      <c r="HD25">
        <f>COUNTIFS($G$3:$HB$3,"دفع",$G25:$HB25,TRUE)</f>
        <v>0</v>
      </c>
      <c r="HE25">
        <f>8*$HD25-$HC25</f>
        <v>0</v>
      </c>
    </row>
    <row r="26" ht="22.5" customHeight="1">
      <c r="A26" s="36" t="n">
        <v>23</v>
      </c>
      <c r="B26" s="97" t="n"/>
      <c r="C26" s="28" t="n"/>
      <c r="D26" s="98" t="str">
        <f>IF($B26="","",IF($HC26=0,"-",($HC26-8*INT(($HC26-1)/8))&amp;"/8"))</f>
        <v/>
      </c>
      <c r="E26" s="98" t="str">
        <f>IF($B26="","",IF(AND($HC26=0,$HD26=0),"-",$HE26))</f>
        <v/>
      </c>
      <c r="F26" s="99" t="str">
        <f>IF($B26="","",IF(AND($HC26=0,$HD26=0),"جديد",IF($HE26&gt;1,"تمام",IF($HE26=1,"آخر حصة",IF($HE26=0,"تجديد",IF($HE26=-1,"عليه حصة",IF($HE26=-2,"عليه حصتين","عليه "&amp;(-$HE26)&amp;" حصص")))))))</f>
        <v/>
      </c>
      <c r="G26" s="100" t="n"/>
      <c r="H26" s="101" t="n"/>
      <c r="I26" s="100" t="n"/>
      <c r="J26" s="101" t="n"/>
      <c r="K26" s="100" t="n"/>
      <c r="L26" s="101" t="n"/>
      <c r="M26" s="100" t="n"/>
      <c r="N26" s="101" t="n"/>
      <c r="O26" s="100" t="n"/>
      <c r="P26" s="101" t="n"/>
      <c r="Q26" s="100" t="n"/>
      <c r="R26" s="101" t="n"/>
      <c r="S26" s="100" t="n"/>
      <c r="T26" s="101" t="n"/>
      <c r="U26" s="100" t="n"/>
      <c r="V26" s="101" t="n"/>
      <c r="W26" s="102" t="n"/>
      <c r="X26" s="103" t="n"/>
      <c r="Y26" s="104" t="n"/>
      <c r="Z26" s="103" t="n"/>
      <c r="AA26" s="104" t="n"/>
      <c r="AB26" s="103" t="n"/>
      <c r="AC26" s="104" t="n"/>
      <c r="AD26" s="103" t="n"/>
      <c r="AE26" s="104" t="n"/>
      <c r="AF26" s="103" t="n"/>
      <c r="AG26" s="104" t="n"/>
      <c r="AH26" s="103" t="n"/>
      <c r="AI26" s="104" t="n"/>
      <c r="AJ26" s="103" t="n"/>
      <c r="AK26" s="104" t="n"/>
      <c r="AL26" s="103" t="n"/>
      <c r="AM26" s="104" t="n"/>
      <c r="AN26" s="105" t="n"/>
      <c r="AO26" s="106" t="n"/>
      <c r="AP26" s="107" t="n"/>
      <c r="AQ26" s="106" t="n"/>
      <c r="AR26" s="107" t="n"/>
      <c r="AS26" s="106" t="n"/>
      <c r="AT26" s="107" t="n"/>
      <c r="AU26" s="106" t="n"/>
      <c r="AV26" s="107" t="n"/>
      <c r="AW26" s="106" t="n"/>
      <c r="AX26" s="107" t="n"/>
      <c r="AY26" s="106" t="n"/>
      <c r="AZ26" s="107" t="n"/>
      <c r="BA26" s="106" t="n"/>
      <c r="BB26" s="107" t="n"/>
      <c r="BC26" s="106" t="n"/>
      <c r="BD26" s="107" t="n"/>
      <c r="BE26" s="108" t="n"/>
      <c r="BF26" s="109" t="n"/>
      <c r="BG26" s="110" t="n"/>
      <c r="BH26" s="109" t="n"/>
      <c r="BI26" s="110" t="n"/>
      <c r="BJ26" s="109" t="n"/>
      <c r="BK26" s="110" t="n"/>
      <c r="BL26" s="109" t="n"/>
      <c r="BM26" s="110" t="n"/>
      <c r="BN26" s="109" t="n"/>
      <c r="BO26" s="110" t="n"/>
      <c r="BP26" s="109" t="n"/>
      <c r="BQ26" s="110" t="n"/>
      <c r="BR26" s="109" t="n"/>
      <c r="BS26" s="110" t="n"/>
      <c r="BT26" s="109" t="n"/>
      <c r="BU26" s="110" t="n"/>
      <c r="BV26" s="111" t="n"/>
      <c r="BW26" s="112" t="n"/>
      <c r="BX26" s="113" t="n"/>
      <c r="BY26" s="112" t="n"/>
      <c r="BZ26" s="113" t="n"/>
      <c r="CA26" s="112" t="n"/>
      <c r="CB26" s="113" t="n"/>
      <c r="CC26" s="112" t="n"/>
      <c r="CD26" s="113" t="n"/>
      <c r="CE26" s="112" t="n"/>
      <c r="CF26" s="113" t="n"/>
      <c r="CG26" s="112" t="n"/>
      <c r="CH26" s="113" t="n"/>
      <c r="CI26" s="112" t="n"/>
      <c r="CJ26" s="113" t="n"/>
      <c r="CK26" s="112" t="n"/>
      <c r="CL26" s="113" t="n"/>
      <c r="CM26" s="114" t="n"/>
      <c r="CN26" s="115" t="n"/>
      <c r="CO26" s="116" t="n"/>
      <c r="CP26" s="115" t="n"/>
      <c r="CQ26" s="116" t="n"/>
      <c r="CR26" s="115" t="n"/>
      <c r="CS26" s="116" t="n"/>
      <c r="CT26" s="115" t="n"/>
      <c r="CU26" s="116" t="n"/>
      <c r="CV26" s="115" t="n"/>
      <c r="CW26" s="116" t="n"/>
      <c r="CX26" s="115" t="n"/>
      <c r="CY26" s="116" t="n"/>
      <c r="CZ26" s="115" t="n"/>
      <c r="DA26" s="116" t="n"/>
      <c r="DB26" s="115" t="n"/>
      <c r="DC26" s="116" t="n"/>
      <c r="DD26" s="117" t="n"/>
      <c r="DE26" s="118" t="n"/>
      <c r="DF26" s="119" t="n"/>
      <c r="DG26" s="118" t="n"/>
      <c r="DH26" s="119" t="n"/>
      <c r="DI26" s="118" t="n"/>
      <c r="DJ26" s="119" t="n"/>
      <c r="DK26" s="118" t="n"/>
      <c r="DL26" s="119" t="n"/>
      <c r="DM26" s="118" t="n"/>
      <c r="DN26" s="119" t="n"/>
      <c r="DO26" s="118" t="n"/>
      <c r="DP26" s="119" t="n"/>
      <c r="DQ26" s="118" t="n"/>
      <c r="DR26" s="119" t="n"/>
      <c r="DS26" s="118" t="n"/>
      <c r="DT26" s="119" t="n"/>
      <c r="DU26" s="120" t="n"/>
      <c r="DV26" s="121" t="n"/>
      <c r="DW26" s="122" t="n"/>
      <c r="DX26" s="121" t="n"/>
      <c r="DY26" s="122" t="n"/>
      <c r="DZ26" s="121" t="n"/>
      <c r="EA26" s="122" t="n"/>
      <c r="EB26" s="121" t="n"/>
      <c r="EC26" s="122" t="n"/>
      <c r="ED26" s="121" t="n"/>
      <c r="EE26" s="122" t="n"/>
      <c r="EF26" s="121" t="n"/>
      <c r="EG26" s="122" t="n"/>
      <c r="EH26" s="121" t="n"/>
      <c r="EI26" s="122" t="n"/>
      <c r="EJ26" s="121" t="n"/>
      <c r="EK26" s="122" t="n"/>
      <c r="EL26" s="123" t="n"/>
      <c r="EM26" s="124" t="n"/>
      <c r="EN26" s="125" t="n"/>
      <c r="EO26" s="124" t="n"/>
      <c r="EP26" s="125" t="n"/>
      <c r="EQ26" s="124" t="n"/>
      <c r="ER26" s="125" t="n"/>
      <c r="ES26" s="124" t="n"/>
      <c r="ET26" s="125" t="n"/>
      <c r="EU26" s="124" t="n"/>
      <c r="EV26" s="125" t="n"/>
      <c r="EW26" s="124" t="n"/>
      <c r="EX26" s="125" t="n"/>
      <c r="EY26" s="124" t="n"/>
      <c r="EZ26" s="125" t="n"/>
      <c r="FA26" s="124" t="n"/>
      <c r="FB26" s="125" t="n"/>
      <c r="FC26" s="126" t="n"/>
      <c r="FD26" s="127" t="n"/>
      <c r="FE26" s="128" t="n"/>
      <c r="FF26" s="127" t="n"/>
      <c r="FG26" s="128" t="n"/>
      <c r="FH26" s="127" t="n"/>
      <c r="FI26" s="128" t="n"/>
      <c r="FJ26" s="127" t="n"/>
      <c r="FK26" s="128" t="n"/>
      <c r="FL26" s="127" t="n"/>
      <c r="FM26" s="128" t="n"/>
      <c r="FN26" s="127" t="n"/>
      <c r="FO26" s="128" t="n"/>
      <c r="FP26" s="127" t="n"/>
      <c r="FQ26" s="128" t="n"/>
      <c r="FR26" s="127" t="n"/>
      <c r="FS26" s="128" t="n"/>
      <c r="FT26" s="129" t="n"/>
      <c r="FU26" s="130" t="n"/>
      <c r="FV26" s="131" t="n"/>
      <c r="FW26" s="130" t="n"/>
      <c r="FX26" s="131" t="n"/>
      <c r="FY26" s="130" t="n"/>
      <c r="FZ26" s="131" t="n"/>
      <c r="GA26" s="130" t="n"/>
      <c r="GB26" s="131" t="n"/>
      <c r="GC26" s="130" t="n"/>
      <c r="GD26" s="131" t="n"/>
      <c r="GE26" s="130" t="n"/>
      <c r="GF26" s="131" t="n"/>
      <c r="GG26" s="130" t="n"/>
      <c r="GH26" s="131" t="n"/>
      <c r="GI26" s="130" t="n"/>
      <c r="GJ26" s="131" t="n"/>
      <c r="GK26" s="132" t="n"/>
      <c r="GL26" s="133" t="n"/>
      <c r="GM26" s="134" t="n"/>
      <c r="GN26" s="133" t="n"/>
      <c r="GO26" s="134" t="n"/>
      <c r="GP26" s="133" t="n"/>
      <c r="GQ26" s="134" t="n"/>
      <c r="GR26" s="133" t="n"/>
      <c r="GS26" s="134" t="n"/>
      <c r="GT26" s="133" t="n"/>
      <c r="GU26" s="134" t="n"/>
      <c r="GV26" s="133" t="n"/>
      <c r="GW26" s="134" t="n"/>
      <c r="GX26" s="133" t="n"/>
      <c r="GY26" s="134" t="n"/>
      <c r="GZ26" s="133" t="n"/>
      <c r="HA26" s="134" t="n"/>
      <c r="HB26" s="135" t="n"/>
      <c r="HC26">
        <f>COUNTIFS($G$3:$HB$3,"ح",$G26:$HB26,TRUE)</f>
        <v>0</v>
      </c>
      <c r="HD26">
        <f>COUNTIFS($G$3:$HB$3,"دفع",$G26:$HB26,TRUE)</f>
        <v>0</v>
      </c>
      <c r="HE26">
        <f>8*$HD26-$HC26</f>
        <v>0</v>
      </c>
    </row>
    <row r="27" ht="22.5" customHeight="1">
      <c r="A27" s="36" t="n">
        <v>24</v>
      </c>
      <c r="B27" s="97" t="n"/>
      <c r="C27" s="28" t="n"/>
      <c r="D27" s="98" t="str">
        <f>IF($B27="","",IF($HC27=0,"-",($HC27-8*INT(($HC27-1)/8))&amp;"/8"))</f>
        <v/>
      </c>
      <c r="E27" s="98" t="str">
        <f>IF($B27="","",IF(AND($HC27=0,$HD27=0),"-",$HE27))</f>
        <v/>
      </c>
      <c r="F27" s="99" t="str">
        <f>IF($B27="","",IF(AND($HC27=0,$HD27=0),"جديد",IF($HE27&gt;1,"تمام",IF($HE27=1,"آخر حصة",IF($HE27=0,"تجديد",IF($HE27=-1,"عليه حصة",IF($HE27=-2,"عليه حصتين","عليه "&amp;(-$HE27)&amp;" حصص")))))))</f>
        <v/>
      </c>
      <c r="G27" s="100" t="n"/>
      <c r="H27" s="101" t="n"/>
      <c r="I27" s="100" t="n"/>
      <c r="J27" s="101" t="n"/>
      <c r="K27" s="100" t="n"/>
      <c r="L27" s="101" t="n"/>
      <c r="M27" s="100" t="n"/>
      <c r="N27" s="101" t="n"/>
      <c r="O27" s="100" t="n"/>
      <c r="P27" s="101" t="n"/>
      <c r="Q27" s="100" t="n"/>
      <c r="R27" s="101" t="n"/>
      <c r="S27" s="100" t="n"/>
      <c r="T27" s="101" t="n"/>
      <c r="U27" s="100" t="n"/>
      <c r="V27" s="101" t="n"/>
      <c r="W27" s="102" t="n"/>
      <c r="X27" s="103" t="n"/>
      <c r="Y27" s="104" t="n"/>
      <c r="Z27" s="103" t="n"/>
      <c r="AA27" s="104" t="n"/>
      <c r="AB27" s="103" t="n"/>
      <c r="AC27" s="104" t="n"/>
      <c r="AD27" s="103" t="n"/>
      <c r="AE27" s="104" t="n"/>
      <c r="AF27" s="103" t="n"/>
      <c r="AG27" s="104" t="n"/>
      <c r="AH27" s="103" t="n"/>
      <c r="AI27" s="104" t="n"/>
      <c r="AJ27" s="103" t="n"/>
      <c r="AK27" s="104" t="n"/>
      <c r="AL27" s="103" t="n"/>
      <c r="AM27" s="104" t="n"/>
      <c r="AN27" s="105" t="n"/>
      <c r="AO27" s="106" t="n"/>
      <c r="AP27" s="107" t="n"/>
      <c r="AQ27" s="106" t="n"/>
      <c r="AR27" s="107" t="n"/>
      <c r="AS27" s="106" t="n"/>
      <c r="AT27" s="107" t="n"/>
      <c r="AU27" s="106" t="n"/>
      <c r="AV27" s="107" t="n"/>
      <c r="AW27" s="106" t="n"/>
      <c r="AX27" s="107" t="n"/>
      <c r="AY27" s="106" t="n"/>
      <c r="AZ27" s="107" t="n"/>
      <c r="BA27" s="106" t="n"/>
      <c r="BB27" s="107" t="n"/>
      <c r="BC27" s="106" t="n"/>
      <c r="BD27" s="107" t="n"/>
      <c r="BE27" s="108" t="n"/>
      <c r="BF27" s="109" t="n"/>
      <c r="BG27" s="110" t="n"/>
      <c r="BH27" s="109" t="n"/>
      <c r="BI27" s="110" t="n"/>
      <c r="BJ27" s="109" t="n"/>
      <c r="BK27" s="110" t="n"/>
      <c r="BL27" s="109" t="n"/>
      <c r="BM27" s="110" t="n"/>
      <c r="BN27" s="109" t="n"/>
      <c r="BO27" s="110" t="n"/>
      <c r="BP27" s="109" t="n"/>
      <c r="BQ27" s="110" t="n"/>
      <c r="BR27" s="109" t="n"/>
      <c r="BS27" s="110" t="n"/>
      <c r="BT27" s="109" t="n"/>
      <c r="BU27" s="110" t="n"/>
      <c r="BV27" s="111" t="n"/>
      <c r="BW27" s="112" t="n"/>
      <c r="BX27" s="113" t="n"/>
      <c r="BY27" s="112" t="n"/>
      <c r="BZ27" s="113" t="n"/>
      <c r="CA27" s="112" t="n"/>
      <c r="CB27" s="113" t="n"/>
      <c r="CC27" s="112" t="n"/>
      <c r="CD27" s="113" t="n"/>
      <c r="CE27" s="112" t="n"/>
      <c r="CF27" s="113" t="n"/>
      <c r="CG27" s="112" t="n"/>
      <c r="CH27" s="113" t="n"/>
      <c r="CI27" s="112" t="n"/>
      <c r="CJ27" s="113" t="n"/>
      <c r="CK27" s="112" t="n"/>
      <c r="CL27" s="113" t="n"/>
      <c r="CM27" s="114" t="n"/>
      <c r="CN27" s="115" t="n"/>
      <c r="CO27" s="116" t="n"/>
      <c r="CP27" s="115" t="n"/>
      <c r="CQ27" s="116" t="n"/>
      <c r="CR27" s="115" t="n"/>
      <c r="CS27" s="116" t="n"/>
      <c r="CT27" s="115" t="n"/>
      <c r="CU27" s="116" t="n"/>
      <c r="CV27" s="115" t="n"/>
      <c r="CW27" s="116" t="n"/>
      <c r="CX27" s="115" t="n"/>
      <c r="CY27" s="116" t="n"/>
      <c r="CZ27" s="115" t="n"/>
      <c r="DA27" s="116" t="n"/>
      <c r="DB27" s="115" t="n"/>
      <c r="DC27" s="116" t="n"/>
      <c r="DD27" s="117" t="n"/>
      <c r="DE27" s="118" t="n"/>
      <c r="DF27" s="119" t="n"/>
      <c r="DG27" s="118" t="n"/>
      <c r="DH27" s="119" t="n"/>
      <c r="DI27" s="118" t="n"/>
      <c r="DJ27" s="119" t="n"/>
      <c r="DK27" s="118" t="n"/>
      <c r="DL27" s="119" t="n"/>
      <c r="DM27" s="118" t="n"/>
      <c r="DN27" s="119" t="n"/>
      <c r="DO27" s="118" t="n"/>
      <c r="DP27" s="119" t="n"/>
      <c r="DQ27" s="118" t="n"/>
      <c r="DR27" s="119" t="n"/>
      <c r="DS27" s="118" t="n"/>
      <c r="DT27" s="119" t="n"/>
      <c r="DU27" s="120" t="n"/>
      <c r="DV27" s="121" t="n"/>
      <c r="DW27" s="122" t="n"/>
      <c r="DX27" s="121" t="n"/>
      <c r="DY27" s="122" t="n"/>
      <c r="DZ27" s="121" t="n"/>
      <c r="EA27" s="122" t="n"/>
      <c r="EB27" s="121" t="n"/>
      <c r="EC27" s="122" t="n"/>
      <c r="ED27" s="121" t="n"/>
      <c r="EE27" s="122" t="n"/>
      <c r="EF27" s="121" t="n"/>
      <c r="EG27" s="122" t="n"/>
      <c r="EH27" s="121" t="n"/>
      <c r="EI27" s="122" t="n"/>
      <c r="EJ27" s="121" t="n"/>
      <c r="EK27" s="122" t="n"/>
      <c r="EL27" s="123" t="n"/>
      <c r="EM27" s="124" t="n"/>
      <c r="EN27" s="125" t="n"/>
      <c r="EO27" s="124" t="n"/>
      <c r="EP27" s="125" t="n"/>
      <c r="EQ27" s="124" t="n"/>
      <c r="ER27" s="125" t="n"/>
      <c r="ES27" s="124" t="n"/>
      <c r="ET27" s="125" t="n"/>
      <c r="EU27" s="124" t="n"/>
      <c r="EV27" s="125" t="n"/>
      <c r="EW27" s="124" t="n"/>
      <c r="EX27" s="125" t="n"/>
      <c r="EY27" s="124" t="n"/>
      <c r="EZ27" s="125" t="n"/>
      <c r="FA27" s="124" t="n"/>
      <c r="FB27" s="125" t="n"/>
      <c r="FC27" s="126" t="n"/>
      <c r="FD27" s="127" t="n"/>
      <c r="FE27" s="128" t="n"/>
      <c r="FF27" s="127" t="n"/>
      <c r="FG27" s="128" t="n"/>
      <c r="FH27" s="127" t="n"/>
      <c r="FI27" s="128" t="n"/>
      <c r="FJ27" s="127" t="n"/>
      <c r="FK27" s="128" t="n"/>
      <c r="FL27" s="127" t="n"/>
      <c r="FM27" s="128" t="n"/>
      <c r="FN27" s="127" t="n"/>
      <c r="FO27" s="128" t="n"/>
      <c r="FP27" s="127" t="n"/>
      <c r="FQ27" s="128" t="n"/>
      <c r="FR27" s="127" t="n"/>
      <c r="FS27" s="128" t="n"/>
      <c r="FT27" s="129" t="n"/>
      <c r="FU27" s="130" t="n"/>
      <c r="FV27" s="131" t="n"/>
      <c r="FW27" s="130" t="n"/>
      <c r="FX27" s="131" t="n"/>
      <c r="FY27" s="130" t="n"/>
      <c r="FZ27" s="131" t="n"/>
      <c r="GA27" s="130" t="n"/>
      <c r="GB27" s="131" t="n"/>
      <c r="GC27" s="130" t="n"/>
      <c r="GD27" s="131" t="n"/>
      <c r="GE27" s="130" t="n"/>
      <c r="GF27" s="131" t="n"/>
      <c r="GG27" s="130" t="n"/>
      <c r="GH27" s="131" t="n"/>
      <c r="GI27" s="130" t="n"/>
      <c r="GJ27" s="131" t="n"/>
      <c r="GK27" s="132" t="n"/>
      <c r="GL27" s="133" t="n"/>
      <c r="GM27" s="134" t="n"/>
      <c r="GN27" s="133" t="n"/>
      <c r="GO27" s="134" t="n"/>
      <c r="GP27" s="133" t="n"/>
      <c r="GQ27" s="134" t="n"/>
      <c r="GR27" s="133" t="n"/>
      <c r="GS27" s="134" t="n"/>
      <c r="GT27" s="133" t="n"/>
      <c r="GU27" s="134" t="n"/>
      <c r="GV27" s="133" t="n"/>
      <c r="GW27" s="134" t="n"/>
      <c r="GX27" s="133" t="n"/>
      <c r="GY27" s="134" t="n"/>
      <c r="GZ27" s="133" t="n"/>
      <c r="HA27" s="134" t="n"/>
      <c r="HB27" s="135" t="n"/>
      <c r="HC27">
        <f>COUNTIFS($G$3:$HB$3,"ح",$G27:$HB27,TRUE)</f>
        <v>0</v>
      </c>
      <c r="HD27">
        <f>COUNTIFS($G$3:$HB$3,"دفع",$G27:$HB27,TRUE)</f>
        <v>0</v>
      </c>
      <c r="HE27">
        <f>8*$HD27-$HC27</f>
        <v>0</v>
      </c>
    </row>
    <row r="28" ht="22.5" customHeight="1">
      <c r="A28" s="36" t="n">
        <v>25</v>
      </c>
      <c r="B28" s="97" t="n"/>
      <c r="C28" s="28" t="n"/>
      <c r="D28" s="98" t="str">
        <f>IF($B28="","",IF($HC28=0,"-",($HC28-8*INT(($HC28-1)/8))&amp;"/8"))</f>
        <v/>
      </c>
      <c r="E28" s="98" t="str">
        <f>IF($B28="","",IF(AND($HC28=0,$HD28=0),"-",$HE28))</f>
        <v/>
      </c>
      <c r="F28" s="99" t="str">
        <f>IF($B28="","",IF(AND($HC28=0,$HD28=0),"جديد",IF($HE28&gt;1,"تمام",IF($HE28=1,"آخر حصة",IF($HE28=0,"تجديد",IF($HE28=-1,"عليه حصة",IF($HE28=-2,"عليه حصتين","عليه "&amp;(-$HE28)&amp;" حصص")))))))</f>
        <v/>
      </c>
      <c r="G28" s="100" t="n"/>
      <c r="H28" s="101" t="n"/>
      <c r="I28" s="100" t="n"/>
      <c r="J28" s="101" t="n"/>
      <c r="K28" s="100" t="n"/>
      <c r="L28" s="101" t="n"/>
      <c r="M28" s="100" t="n"/>
      <c r="N28" s="101" t="n"/>
      <c r="O28" s="100" t="n"/>
      <c r="P28" s="101" t="n"/>
      <c r="Q28" s="100" t="n"/>
      <c r="R28" s="101" t="n"/>
      <c r="S28" s="100" t="n"/>
      <c r="T28" s="101" t="n"/>
      <c r="U28" s="100" t="n"/>
      <c r="V28" s="101" t="n"/>
      <c r="W28" s="102" t="n"/>
      <c r="X28" s="103" t="n"/>
      <c r="Y28" s="104" t="n"/>
      <c r="Z28" s="103" t="n"/>
      <c r="AA28" s="104" t="n"/>
      <c r="AB28" s="103" t="n"/>
      <c r="AC28" s="104" t="n"/>
      <c r="AD28" s="103" t="n"/>
      <c r="AE28" s="104" t="n"/>
      <c r="AF28" s="103" t="n"/>
      <c r="AG28" s="104" t="n"/>
      <c r="AH28" s="103" t="n"/>
      <c r="AI28" s="104" t="n"/>
      <c r="AJ28" s="103" t="n"/>
      <c r="AK28" s="104" t="n"/>
      <c r="AL28" s="103" t="n"/>
      <c r="AM28" s="104" t="n"/>
      <c r="AN28" s="105" t="n"/>
      <c r="AO28" s="106" t="n"/>
      <c r="AP28" s="107" t="n"/>
      <c r="AQ28" s="106" t="n"/>
      <c r="AR28" s="107" t="n"/>
      <c r="AS28" s="106" t="n"/>
      <c r="AT28" s="107" t="n"/>
      <c r="AU28" s="106" t="n"/>
      <c r="AV28" s="107" t="n"/>
      <c r="AW28" s="106" t="n"/>
      <c r="AX28" s="107" t="n"/>
      <c r="AY28" s="106" t="n"/>
      <c r="AZ28" s="107" t="n"/>
      <c r="BA28" s="106" t="n"/>
      <c r="BB28" s="107" t="n"/>
      <c r="BC28" s="106" t="n"/>
      <c r="BD28" s="107" t="n"/>
      <c r="BE28" s="108" t="n"/>
      <c r="BF28" s="109" t="n"/>
      <c r="BG28" s="110" t="n"/>
      <c r="BH28" s="109" t="n"/>
      <c r="BI28" s="110" t="n"/>
      <c r="BJ28" s="109" t="n"/>
      <c r="BK28" s="110" t="n"/>
      <c r="BL28" s="109" t="n"/>
      <c r="BM28" s="110" t="n"/>
      <c r="BN28" s="109" t="n"/>
      <c r="BO28" s="110" t="n"/>
      <c r="BP28" s="109" t="n"/>
      <c r="BQ28" s="110" t="n"/>
      <c r="BR28" s="109" t="n"/>
      <c r="BS28" s="110" t="n"/>
      <c r="BT28" s="109" t="n"/>
      <c r="BU28" s="110" t="n"/>
      <c r="BV28" s="111" t="n"/>
      <c r="BW28" s="112" t="n"/>
      <c r="BX28" s="113" t="n"/>
      <c r="BY28" s="112" t="n"/>
      <c r="BZ28" s="113" t="n"/>
      <c r="CA28" s="112" t="n"/>
      <c r="CB28" s="113" t="n"/>
      <c r="CC28" s="112" t="n"/>
      <c r="CD28" s="113" t="n"/>
      <c r="CE28" s="112" t="n"/>
      <c r="CF28" s="113" t="n"/>
      <c r="CG28" s="112" t="n"/>
      <c r="CH28" s="113" t="n"/>
      <c r="CI28" s="112" t="n"/>
      <c r="CJ28" s="113" t="n"/>
      <c r="CK28" s="112" t="n"/>
      <c r="CL28" s="113" t="n"/>
      <c r="CM28" s="114" t="n"/>
      <c r="CN28" s="115" t="n"/>
      <c r="CO28" s="116" t="n"/>
      <c r="CP28" s="115" t="n"/>
      <c r="CQ28" s="116" t="n"/>
      <c r="CR28" s="115" t="n"/>
      <c r="CS28" s="116" t="n"/>
      <c r="CT28" s="115" t="n"/>
      <c r="CU28" s="116" t="n"/>
      <c r="CV28" s="115" t="n"/>
      <c r="CW28" s="116" t="n"/>
      <c r="CX28" s="115" t="n"/>
      <c r="CY28" s="116" t="n"/>
      <c r="CZ28" s="115" t="n"/>
      <c r="DA28" s="116" t="n"/>
      <c r="DB28" s="115" t="n"/>
      <c r="DC28" s="116" t="n"/>
      <c r="DD28" s="117" t="n"/>
      <c r="DE28" s="118" t="n"/>
      <c r="DF28" s="119" t="n"/>
      <c r="DG28" s="118" t="n"/>
      <c r="DH28" s="119" t="n"/>
      <c r="DI28" s="118" t="n"/>
      <c r="DJ28" s="119" t="n"/>
      <c r="DK28" s="118" t="n"/>
      <c r="DL28" s="119" t="n"/>
      <c r="DM28" s="118" t="n"/>
      <c r="DN28" s="119" t="n"/>
      <c r="DO28" s="118" t="n"/>
      <c r="DP28" s="119" t="n"/>
      <c r="DQ28" s="118" t="n"/>
      <c r="DR28" s="119" t="n"/>
      <c r="DS28" s="118" t="n"/>
      <c r="DT28" s="119" t="n"/>
      <c r="DU28" s="120" t="n"/>
      <c r="DV28" s="121" t="n"/>
      <c r="DW28" s="122" t="n"/>
      <c r="DX28" s="121" t="n"/>
      <c r="DY28" s="122" t="n"/>
      <c r="DZ28" s="121" t="n"/>
      <c r="EA28" s="122" t="n"/>
      <c r="EB28" s="121" t="n"/>
      <c r="EC28" s="122" t="n"/>
      <c r="ED28" s="121" t="n"/>
      <c r="EE28" s="122" t="n"/>
      <c r="EF28" s="121" t="n"/>
      <c r="EG28" s="122" t="n"/>
      <c r="EH28" s="121" t="n"/>
      <c r="EI28" s="122" t="n"/>
      <c r="EJ28" s="121" t="n"/>
      <c r="EK28" s="122" t="n"/>
      <c r="EL28" s="123" t="n"/>
      <c r="EM28" s="124" t="n"/>
      <c r="EN28" s="125" t="n"/>
      <c r="EO28" s="124" t="n"/>
      <c r="EP28" s="125" t="n"/>
      <c r="EQ28" s="124" t="n"/>
      <c r="ER28" s="125" t="n"/>
      <c r="ES28" s="124" t="n"/>
      <c r="ET28" s="125" t="n"/>
      <c r="EU28" s="124" t="n"/>
      <c r="EV28" s="125" t="n"/>
      <c r="EW28" s="124" t="n"/>
      <c r="EX28" s="125" t="n"/>
      <c r="EY28" s="124" t="n"/>
      <c r="EZ28" s="125" t="n"/>
      <c r="FA28" s="124" t="n"/>
      <c r="FB28" s="125" t="n"/>
      <c r="FC28" s="126" t="n"/>
      <c r="FD28" s="127" t="n"/>
      <c r="FE28" s="128" t="n"/>
      <c r="FF28" s="127" t="n"/>
      <c r="FG28" s="128" t="n"/>
      <c r="FH28" s="127" t="n"/>
      <c r="FI28" s="128" t="n"/>
      <c r="FJ28" s="127" t="n"/>
      <c r="FK28" s="128" t="n"/>
      <c r="FL28" s="127" t="n"/>
      <c r="FM28" s="128" t="n"/>
      <c r="FN28" s="127" t="n"/>
      <c r="FO28" s="128" t="n"/>
      <c r="FP28" s="127" t="n"/>
      <c r="FQ28" s="128" t="n"/>
      <c r="FR28" s="127" t="n"/>
      <c r="FS28" s="128" t="n"/>
      <c r="FT28" s="129" t="n"/>
      <c r="FU28" s="130" t="n"/>
      <c r="FV28" s="131" t="n"/>
      <c r="FW28" s="130" t="n"/>
      <c r="FX28" s="131" t="n"/>
      <c r="FY28" s="130" t="n"/>
      <c r="FZ28" s="131" t="n"/>
      <c r="GA28" s="130" t="n"/>
      <c r="GB28" s="131" t="n"/>
      <c r="GC28" s="130" t="n"/>
      <c r="GD28" s="131" t="n"/>
      <c r="GE28" s="130" t="n"/>
      <c r="GF28" s="131" t="n"/>
      <c r="GG28" s="130" t="n"/>
      <c r="GH28" s="131" t="n"/>
      <c r="GI28" s="130" t="n"/>
      <c r="GJ28" s="131" t="n"/>
      <c r="GK28" s="132" t="n"/>
      <c r="GL28" s="133" t="n"/>
      <c r="GM28" s="134" t="n"/>
      <c r="GN28" s="133" t="n"/>
      <c r="GO28" s="134" t="n"/>
      <c r="GP28" s="133" t="n"/>
      <c r="GQ28" s="134" t="n"/>
      <c r="GR28" s="133" t="n"/>
      <c r="GS28" s="134" t="n"/>
      <c r="GT28" s="133" t="n"/>
      <c r="GU28" s="134" t="n"/>
      <c r="GV28" s="133" t="n"/>
      <c r="GW28" s="134" t="n"/>
      <c r="GX28" s="133" t="n"/>
      <c r="GY28" s="134" t="n"/>
      <c r="GZ28" s="133" t="n"/>
      <c r="HA28" s="134" t="n"/>
      <c r="HB28" s="135" t="n"/>
      <c r="HC28">
        <f>COUNTIFS($G$3:$HB$3,"ح",$G28:$HB28,TRUE)</f>
        <v>0</v>
      </c>
      <c r="HD28">
        <f>COUNTIFS($G$3:$HB$3,"دفع",$G28:$HB28,TRUE)</f>
        <v>0</v>
      </c>
      <c r="HE28">
        <f>8*$HD28-$HC28</f>
        <v>0</v>
      </c>
    </row>
    <row r="29" ht="22.5" customHeight="1">
      <c r="A29" s="36" t="n">
        <v>26</v>
      </c>
      <c r="B29" s="97" t="n"/>
      <c r="C29" s="28" t="n"/>
      <c r="D29" s="98" t="str">
        <f>IF($B29="","",IF($HC29=0,"-",($HC29-8*INT(($HC29-1)/8))&amp;"/8"))</f>
        <v/>
      </c>
      <c r="E29" s="98" t="str">
        <f>IF($B29="","",IF(AND($HC29=0,$HD29=0),"-",$HE29))</f>
        <v/>
      </c>
      <c r="F29" s="99" t="str">
        <f>IF($B29="","",IF(AND($HC29=0,$HD29=0),"جديد",IF($HE29&gt;1,"تمام",IF($HE29=1,"آخر حصة",IF($HE29=0,"تجديد",IF($HE29=-1,"عليه حصة",IF($HE29=-2,"عليه حصتين","عليه "&amp;(-$HE29)&amp;" حصص")))))))</f>
        <v/>
      </c>
      <c r="G29" s="100" t="n"/>
      <c r="H29" s="101" t="n"/>
      <c r="I29" s="100" t="n"/>
      <c r="J29" s="101" t="n"/>
      <c r="K29" s="100" t="n"/>
      <c r="L29" s="101" t="n"/>
      <c r="M29" s="100" t="n"/>
      <c r="N29" s="101" t="n"/>
      <c r="O29" s="100" t="n"/>
      <c r="P29" s="101" t="n"/>
      <c r="Q29" s="100" t="n"/>
      <c r="R29" s="101" t="n"/>
      <c r="S29" s="100" t="n"/>
      <c r="T29" s="101" t="n"/>
      <c r="U29" s="100" t="n"/>
      <c r="V29" s="101" t="n"/>
      <c r="W29" s="102" t="n"/>
      <c r="X29" s="103" t="n"/>
      <c r="Y29" s="104" t="n"/>
      <c r="Z29" s="103" t="n"/>
      <c r="AA29" s="104" t="n"/>
      <c r="AB29" s="103" t="n"/>
      <c r="AC29" s="104" t="n"/>
      <c r="AD29" s="103" t="n"/>
      <c r="AE29" s="104" t="n"/>
      <c r="AF29" s="103" t="n"/>
      <c r="AG29" s="104" t="n"/>
      <c r="AH29" s="103" t="n"/>
      <c r="AI29" s="104" t="n"/>
      <c r="AJ29" s="103" t="n"/>
      <c r="AK29" s="104" t="n"/>
      <c r="AL29" s="103" t="n"/>
      <c r="AM29" s="104" t="n"/>
      <c r="AN29" s="105" t="n"/>
      <c r="AO29" s="106" t="n"/>
      <c r="AP29" s="107" t="n"/>
      <c r="AQ29" s="106" t="n"/>
      <c r="AR29" s="107" t="n"/>
      <c r="AS29" s="106" t="n"/>
      <c r="AT29" s="107" t="n"/>
      <c r="AU29" s="106" t="n"/>
      <c r="AV29" s="107" t="n"/>
      <c r="AW29" s="106" t="n"/>
      <c r="AX29" s="107" t="n"/>
      <c r="AY29" s="106" t="n"/>
      <c r="AZ29" s="107" t="n"/>
      <c r="BA29" s="106" t="n"/>
      <c r="BB29" s="107" t="n"/>
      <c r="BC29" s="106" t="n"/>
      <c r="BD29" s="107" t="n"/>
      <c r="BE29" s="108" t="n"/>
      <c r="BF29" s="109" t="n"/>
      <c r="BG29" s="110" t="n"/>
      <c r="BH29" s="109" t="n"/>
      <c r="BI29" s="110" t="n"/>
      <c r="BJ29" s="109" t="n"/>
      <c r="BK29" s="110" t="n"/>
      <c r="BL29" s="109" t="n"/>
      <c r="BM29" s="110" t="n"/>
      <c r="BN29" s="109" t="n"/>
      <c r="BO29" s="110" t="n"/>
      <c r="BP29" s="109" t="n"/>
      <c r="BQ29" s="110" t="n"/>
      <c r="BR29" s="109" t="n"/>
      <c r="BS29" s="110" t="n"/>
      <c r="BT29" s="109" t="n"/>
      <c r="BU29" s="110" t="n"/>
      <c r="BV29" s="111" t="n"/>
      <c r="BW29" s="112" t="n"/>
      <c r="BX29" s="113" t="n"/>
      <c r="BY29" s="112" t="n"/>
      <c r="BZ29" s="113" t="n"/>
      <c r="CA29" s="112" t="n"/>
      <c r="CB29" s="113" t="n"/>
      <c r="CC29" s="112" t="n"/>
      <c r="CD29" s="113" t="n"/>
      <c r="CE29" s="112" t="n"/>
      <c r="CF29" s="113" t="n"/>
      <c r="CG29" s="112" t="n"/>
      <c r="CH29" s="113" t="n"/>
      <c r="CI29" s="112" t="n"/>
      <c r="CJ29" s="113" t="n"/>
      <c r="CK29" s="112" t="n"/>
      <c r="CL29" s="113" t="n"/>
      <c r="CM29" s="114" t="n"/>
      <c r="CN29" s="115" t="n"/>
      <c r="CO29" s="116" t="n"/>
      <c r="CP29" s="115" t="n"/>
      <c r="CQ29" s="116" t="n"/>
      <c r="CR29" s="115" t="n"/>
      <c r="CS29" s="116" t="n"/>
      <c r="CT29" s="115" t="n"/>
      <c r="CU29" s="116" t="n"/>
      <c r="CV29" s="115" t="n"/>
      <c r="CW29" s="116" t="n"/>
      <c r="CX29" s="115" t="n"/>
      <c r="CY29" s="116" t="n"/>
      <c r="CZ29" s="115" t="n"/>
      <c r="DA29" s="116" t="n"/>
      <c r="DB29" s="115" t="n"/>
      <c r="DC29" s="116" t="n"/>
      <c r="DD29" s="117" t="n"/>
      <c r="DE29" s="118" t="n"/>
      <c r="DF29" s="119" t="n"/>
      <c r="DG29" s="118" t="n"/>
      <c r="DH29" s="119" t="n"/>
      <c r="DI29" s="118" t="n"/>
      <c r="DJ29" s="119" t="n"/>
      <c r="DK29" s="118" t="n"/>
      <c r="DL29" s="119" t="n"/>
      <c r="DM29" s="118" t="n"/>
      <c r="DN29" s="119" t="n"/>
      <c r="DO29" s="118" t="n"/>
      <c r="DP29" s="119" t="n"/>
      <c r="DQ29" s="118" t="n"/>
      <c r="DR29" s="119" t="n"/>
      <c r="DS29" s="118" t="n"/>
      <c r="DT29" s="119" t="n"/>
      <c r="DU29" s="120" t="n"/>
      <c r="DV29" s="121" t="n"/>
      <c r="DW29" s="122" t="n"/>
      <c r="DX29" s="121" t="n"/>
      <c r="DY29" s="122" t="n"/>
      <c r="DZ29" s="121" t="n"/>
      <c r="EA29" s="122" t="n"/>
      <c r="EB29" s="121" t="n"/>
      <c r="EC29" s="122" t="n"/>
      <c r="ED29" s="121" t="n"/>
      <c r="EE29" s="122" t="n"/>
      <c r="EF29" s="121" t="n"/>
      <c r="EG29" s="122" t="n"/>
      <c r="EH29" s="121" t="n"/>
      <c r="EI29" s="122" t="n"/>
      <c r="EJ29" s="121" t="n"/>
      <c r="EK29" s="122" t="n"/>
      <c r="EL29" s="123" t="n"/>
      <c r="EM29" s="124" t="n"/>
      <c r="EN29" s="125" t="n"/>
      <c r="EO29" s="124" t="n"/>
      <c r="EP29" s="125" t="n"/>
      <c r="EQ29" s="124" t="n"/>
      <c r="ER29" s="125" t="n"/>
      <c r="ES29" s="124" t="n"/>
      <c r="ET29" s="125" t="n"/>
      <c r="EU29" s="124" t="n"/>
      <c r="EV29" s="125" t="n"/>
      <c r="EW29" s="124" t="n"/>
      <c r="EX29" s="125" t="n"/>
      <c r="EY29" s="124" t="n"/>
      <c r="EZ29" s="125" t="n"/>
      <c r="FA29" s="124" t="n"/>
      <c r="FB29" s="125" t="n"/>
      <c r="FC29" s="126" t="n"/>
      <c r="FD29" s="127" t="n"/>
      <c r="FE29" s="128" t="n"/>
      <c r="FF29" s="127" t="n"/>
      <c r="FG29" s="128" t="n"/>
      <c r="FH29" s="127" t="n"/>
      <c r="FI29" s="128" t="n"/>
      <c r="FJ29" s="127" t="n"/>
      <c r="FK29" s="128" t="n"/>
      <c r="FL29" s="127" t="n"/>
      <c r="FM29" s="128" t="n"/>
      <c r="FN29" s="127" t="n"/>
      <c r="FO29" s="128" t="n"/>
      <c r="FP29" s="127" t="n"/>
      <c r="FQ29" s="128" t="n"/>
      <c r="FR29" s="127" t="n"/>
      <c r="FS29" s="128" t="n"/>
      <c r="FT29" s="129" t="n"/>
      <c r="FU29" s="130" t="n"/>
      <c r="FV29" s="131" t="n"/>
      <c r="FW29" s="130" t="n"/>
      <c r="FX29" s="131" t="n"/>
      <c r="FY29" s="130" t="n"/>
      <c r="FZ29" s="131" t="n"/>
      <c r="GA29" s="130" t="n"/>
      <c r="GB29" s="131" t="n"/>
      <c r="GC29" s="130" t="n"/>
      <c r="GD29" s="131" t="n"/>
      <c r="GE29" s="130" t="n"/>
      <c r="GF29" s="131" t="n"/>
      <c r="GG29" s="130" t="n"/>
      <c r="GH29" s="131" t="n"/>
      <c r="GI29" s="130" t="n"/>
      <c r="GJ29" s="131" t="n"/>
      <c r="GK29" s="132" t="n"/>
      <c r="GL29" s="133" t="n"/>
      <c r="GM29" s="134" t="n"/>
      <c r="GN29" s="133" t="n"/>
      <c r="GO29" s="134" t="n"/>
      <c r="GP29" s="133" t="n"/>
      <c r="GQ29" s="134" t="n"/>
      <c r="GR29" s="133" t="n"/>
      <c r="GS29" s="134" t="n"/>
      <c r="GT29" s="133" t="n"/>
      <c r="GU29" s="134" t="n"/>
      <c r="GV29" s="133" t="n"/>
      <c r="GW29" s="134" t="n"/>
      <c r="GX29" s="133" t="n"/>
      <c r="GY29" s="134" t="n"/>
      <c r="GZ29" s="133" t="n"/>
      <c r="HA29" s="134" t="n"/>
      <c r="HB29" s="135" t="n"/>
      <c r="HC29">
        <f>COUNTIFS($G$3:$HB$3,"ح",$G29:$HB29,TRUE)</f>
        <v>0</v>
      </c>
      <c r="HD29">
        <f>COUNTIFS($G$3:$HB$3,"دفع",$G29:$HB29,TRUE)</f>
        <v>0</v>
      </c>
      <c r="HE29">
        <f>8*$HD29-$HC29</f>
        <v>0</v>
      </c>
    </row>
    <row r="30" ht="22.5" customHeight="1">
      <c r="A30" s="36" t="n">
        <v>27</v>
      </c>
      <c r="B30" s="97" t="n"/>
      <c r="C30" s="28" t="n"/>
      <c r="D30" s="98" t="str">
        <f>IF($B30="","",IF($HC30=0,"-",($HC30-8*INT(($HC30-1)/8))&amp;"/8"))</f>
        <v/>
      </c>
      <c r="E30" s="98" t="str">
        <f>IF($B30="","",IF(AND($HC30=0,$HD30=0),"-",$HE30))</f>
        <v/>
      </c>
      <c r="F30" s="99" t="str">
        <f>IF($B30="","",IF(AND($HC30=0,$HD30=0),"جديد",IF($HE30&gt;1,"تمام",IF($HE30=1,"آخر حصة",IF($HE30=0,"تجديد",IF($HE30=-1,"عليه حصة",IF($HE30=-2,"عليه حصتين","عليه "&amp;(-$HE30)&amp;" حصص")))))))</f>
        <v/>
      </c>
      <c r="G30" s="100" t="n"/>
      <c r="H30" s="101" t="n"/>
      <c r="I30" s="100" t="n"/>
      <c r="J30" s="101" t="n"/>
      <c r="K30" s="100" t="n"/>
      <c r="L30" s="101" t="n"/>
      <c r="M30" s="100" t="n"/>
      <c r="N30" s="101" t="n"/>
      <c r="O30" s="100" t="n"/>
      <c r="P30" s="101" t="n"/>
      <c r="Q30" s="100" t="n"/>
      <c r="R30" s="101" t="n"/>
      <c r="S30" s="100" t="n"/>
      <c r="T30" s="101" t="n"/>
      <c r="U30" s="100" t="n"/>
      <c r="V30" s="101" t="n"/>
      <c r="W30" s="102" t="n"/>
      <c r="X30" s="103" t="n"/>
      <c r="Y30" s="104" t="n"/>
      <c r="Z30" s="103" t="n"/>
      <c r="AA30" s="104" t="n"/>
      <c r="AB30" s="103" t="n"/>
      <c r="AC30" s="104" t="n"/>
      <c r="AD30" s="103" t="n"/>
      <c r="AE30" s="104" t="n"/>
      <c r="AF30" s="103" t="n"/>
      <c r="AG30" s="104" t="n"/>
      <c r="AH30" s="103" t="n"/>
      <c r="AI30" s="104" t="n"/>
      <c r="AJ30" s="103" t="n"/>
      <c r="AK30" s="104" t="n"/>
      <c r="AL30" s="103" t="n"/>
      <c r="AM30" s="104" t="n"/>
      <c r="AN30" s="105" t="n"/>
      <c r="AO30" s="106" t="n"/>
      <c r="AP30" s="107" t="n"/>
      <c r="AQ30" s="106" t="n"/>
      <c r="AR30" s="107" t="n"/>
      <c r="AS30" s="106" t="n"/>
      <c r="AT30" s="107" t="n"/>
      <c r="AU30" s="106" t="n"/>
      <c r="AV30" s="107" t="n"/>
      <c r="AW30" s="106" t="n"/>
      <c r="AX30" s="107" t="n"/>
      <c r="AY30" s="106" t="n"/>
      <c r="AZ30" s="107" t="n"/>
      <c r="BA30" s="106" t="n"/>
      <c r="BB30" s="107" t="n"/>
      <c r="BC30" s="106" t="n"/>
      <c r="BD30" s="107" t="n"/>
      <c r="BE30" s="108" t="n"/>
      <c r="BF30" s="109" t="n"/>
      <c r="BG30" s="110" t="n"/>
      <c r="BH30" s="109" t="n"/>
      <c r="BI30" s="110" t="n"/>
      <c r="BJ30" s="109" t="n"/>
      <c r="BK30" s="110" t="n"/>
      <c r="BL30" s="109" t="n"/>
      <c r="BM30" s="110" t="n"/>
      <c r="BN30" s="109" t="n"/>
      <c r="BO30" s="110" t="n"/>
      <c r="BP30" s="109" t="n"/>
      <c r="BQ30" s="110" t="n"/>
      <c r="BR30" s="109" t="n"/>
      <c r="BS30" s="110" t="n"/>
      <c r="BT30" s="109" t="n"/>
      <c r="BU30" s="110" t="n"/>
      <c r="BV30" s="111" t="n"/>
      <c r="BW30" s="112" t="n"/>
      <c r="BX30" s="113" t="n"/>
      <c r="BY30" s="112" t="n"/>
      <c r="BZ30" s="113" t="n"/>
      <c r="CA30" s="112" t="n"/>
      <c r="CB30" s="113" t="n"/>
      <c r="CC30" s="112" t="n"/>
      <c r="CD30" s="113" t="n"/>
      <c r="CE30" s="112" t="n"/>
      <c r="CF30" s="113" t="n"/>
      <c r="CG30" s="112" t="n"/>
      <c r="CH30" s="113" t="n"/>
      <c r="CI30" s="112" t="n"/>
      <c r="CJ30" s="113" t="n"/>
      <c r="CK30" s="112" t="n"/>
      <c r="CL30" s="113" t="n"/>
      <c r="CM30" s="114" t="n"/>
      <c r="CN30" s="115" t="n"/>
      <c r="CO30" s="116" t="n"/>
      <c r="CP30" s="115" t="n"/>
      <c r="CQ30" s="116" t="n"/>
      <c r="CR30" s="115" t="n"/>
      <c r="CS30" s="116" t="n"/>
      <c r="CT30" s="115" t="n"/>
      <c r="CU30" s="116" t="n"/>
      <c r="CV30" s="115" t="n"/>
      <c r="CW30" s="116" t="n"/>
      <c r="CX30" s="115" t="n"/>
      <c r="CY30" s="116" t="n"/>
      <c r="CZ30" s="115" t="n"/>
      <c r="DA30" s="116" t="n"/>
      <c r="DB30" s="115" t="n"/>
      <c r="DC30" s="116" t="n"/>
      <c r="DD30" s="117" t="n"/>
      <c r="DE30" s="118" t="n"/>
      <c r="DF30" s="119" t="n"/>
      <c r="DG30" s="118" t="n"/>
      <c r="DH30" s="119" t="n"/>
      <c r="DI30" s="118" t="n"/>
      <c r="DJ30" s="119" t="n"/>
      <c r="DK30" s="118" t="n"/>
      <c r="DL30" s="119" t="n"/>
      <c r="DM30" s="118" t="n"/>
      <c r="DN30" s="119" t="n"/>
      <c r="DO30" s="118" t="n"/>
      <c r="DP30" s="119" t="n"/>
      <c r="DQ30" s="118" t="n"/>
      <c r="DR30" s="119" t="n"/>
      <c r="DS30" s="118" t="n"/>
      <c r="DT30" s="119" t="n"/>
      <c r="DU30" s="120" t="n"/>
      <c r="DV30" s="121" t="n"/>
      <c r="DW30" s="122" t="n"/>
      <c r="DX30" s="121" t="n"/>
      <c r="DY30" s="122" t="n"/>
      <c r="DZ30" s="121" t="n"/>
      <c r="EA30" s="122" t="n"/>
      <c r="EB30" s="121" t="n"/>
      <c r="EC30" s="122" t="n"/>
      <c r="ED30" s="121" t="n"/>
      <c r="EE30" s="122" t="n"/>
      <c r="EF30" s="121" t="n"/>
      <c r="EG30" s="122" t="n"/>
      <c r="EH30" s="121" t="n"/>
      <c r="EI30" s="122" t="n"/>
      <c r="EJ30" s="121" t="n"/>
      <c r="EK30" s="122" t="n"/>
      <c r="EL30" s="123" t="n"/>
      <c r="EM30" s="124" t="n"/>
      <c r="EN30" s="125" t="n"/>
      <c r="EO30" s="124" t="n"/>
      <c r="EP30" s="125" t="n"/>
      <c r="EQ30" s="124" t="n"/>
      <c r="ER30" s="125" t="n"/>
      <c r="ES30" s="124" t="n"/>
      <c r="ET30" s="125" t="n"/>
      <c r="EU30" s="124" t="n"/>
      <c r="EV30" s="125" t="n"/>
      <c r="EW30" s="124" t="n"/>
      <c r="EX30" s="125" t="n"/>
      <c r="EY30" s="124" t="n"/>
      <c r="EZ30" s="125" t="n"/>
      <c r="FA30" s="124" t="n"/>
      <c r="FB30" s="125" t="n"/>
      <c r="FC30" s="126" t="n"/>
      <c r="FD30" s="127" t="n"/>
      <c r="FE30" s="128" t="n"/>
      <c r="FF30" s="127" t="n"/>
      <c r="FG30" s="128" t="n"/>
      <c r="FH30" s="127" t="n"/>
      <c r="FI30" s="128" t="n"/>
      <c r="FJ30" s="127" t="n"/>
      <c r="FK30" s="128" t="n"/>
      <c r="FL30" s="127" t="n"/>
      <c r="FM30" s="128" t="n"/>
      <c r="FN30" s="127" t="n"/>
      <c r="FO30" s="128" t="n"/>
      <c r="FP30" s="127" t="n"/>
      <c r="FQ30" s="128" t="n"/>
      <c r="FR30" s="127" t="n"/>
      <c r="FS30" s="128" t="n"/>
      <c r="FT30" s="129" t="n"/>
      <c r="FU30" s="130" t="n"/>
      <c r="FV30" s="131" t="n"/>
      <c r="FW30" s="130" t="n"/>
      <c r="FX30" s="131" t="n"/>
      <c r="FY30" s="130" t="n"/>
      <c r="FZ30" s="131" t="n"/>
      <c r="GA30" s="130" t="n"/>
      <c r="GB30" s="131" t="n"/>
      <c r="GC30" s="130" t="n"/>
      <c r="GD30" s="131" t="n"/>
      <c r="GE30" s="130" t="n"/>
      <c r="GF30" s="131" t="n"/>
      <c r="GG30" s="130" t="n"/>
      <c r="GH30" s="131" t="n"/>
      <c r="GI30" s="130" t="n"/>
      <c r="GJ30" s="131" t="n"/>
      <c r="GK30" s="132" t="n"/>
      <c r="GL30" s="133" t="n"/>
      <c r="GM30" s="134" t="n"/>
      <c r="GN30" s="133" t="n"/>
      <c r="GO30" s="134" t="n"/>
      <c r="GP30" s="133" t="n"/>
      <c r="GQ30" s="134" t="n"/>
      <c r="GR30" s="133" t="n"/>
      <c r="GS30" s="134" t="n"/>
      <c r="GT30" s="133" t="n"/>
      <c r="GU30" s="134" t="n"/>
      <c r="GV30" s="133" t="n"/>
      <c r="GW30" s="134" t="n"/>
      <c r="GX30" s="133" t="n"/>
      <c r="GY30" s="134" t="n"/>
      <c r="GZ30" s="133" t="n"/>
      <c r="HA30" s="134" t="n"/>
      <c r="HB30" s="135" t="n"/>
      <c r="HC30">
        <f>COUNTIFS($G$3:$HB$3,"ح",$G30:$HB30,TRUE)</f>
        <v>0</v>
      </c>
      <c r="HD30">
        <f>COUNTIFS($G$3:$HB$3,"دفع",$G30:$HB30,TRUE)</f>
        <v>0</v>
      </c>
      <c r="HE30">
        <f>8*$HD30-$HC30</f>
        <v>0</v>
      </c>
    </row>
    <row r="31" ht="22.5" customHeight="1">
      <c r="A31" s="36" t="n">
        <v>28</v>
      </c>
      <c r="B31" s="97" t="n"/>
      <c r="C31" s="28" t="n"/>
      <c r="D31" s="98" t="str">
        <f>IF($B31="","",IF($HC31=0,"-",($HC31-8*INT(($HC31-1)/8))&amp;"/8"))</f>
        <v/>
      </c>
      <c r="E31" s="98" t="str">
        <f>IF($B31="","",IF(AND($HC31=0,$HD31=0),"-",$HE31))</f>
        <v/>
      </c>
      <c r="F31" s="99" t="str">
        <f>IF($B31="","",IF(AND($HC31=0,$HD31=0),"جديد",IF($HE31&gt;1,"تمام",IF($HE31=1,"آخر حصة",IF($HE31=0,"تجديد",IF($HE31=-1,"عليه حصة",IF($HE31=-2,"عليه حصتين","عليه "&amp;(-$HE31)&amp;" حصص")))))))</f>
        <v/>
      </c>
      <c r="G31" s="100" t="n"/>
      <c r="H31" s="101" t="n"/>
      <c r="I31" s="100" t="n"/>
      <c r="J31" s="101" t="n"/>
      <c r="K31" s="100" t="n"/>
      <c r="L31" s="101" t="n"/>
      <c r="M31" s="100" t="n"/>
      <c r="N31" s="101" t="n"/>
      <c r="O31" s="100" t="n"/>
      <c r="P31" s="101" t="n"/>
      <c r="Q31" s="100" t="n"/>
      <c r="R31" s="101" t="n"/>
      <c r="S31" s="100" t="n"/>
      <c r="T31" s="101" t="n"/>
      <c r="U31" s="100" t="n"/>
      <c r="V31" s="101" t="n"/>
      <c r="W31" s="102" t="n"/>
      <c r="X31" s="103" t="n"/>
      <c r="Y31" s="104" t="n"/>
      <c r="Z31" s="103" t="n"/>
      <c r="AA31" s="104" t="n"/>
      <c r="AB31" s="103" t="n"/>
      <c r="AC31" s="104" t="n"/>
      <c r="AD31" s="103" t="n"/>
      <c r="AE31" s="104" t="n"/>
      <c r="AF31" s="103" t="n"/>
      <c r="AG31" s="104" t="n"/>
      <c r="AH31" s="103" t="n"/>
      <c r="AI31" s="104" t="n"/>
      <c r="AJ31" s="103" t="n"/>
      <c r="AK31" s="104" t="n"/>
      <c r="AL31" s="103" t="n"/>
      <c r="AM31" s="104" t="n"/>
      <c r="AN31" s="105" t="n"/>
      <c r="AO31" s="106" t="n"/>
      <c r="AP31" s="107" t="n"/>
      <c r="AQ31" s="106" t="n"/>
      <c r="AR31" s="107" t="n"/>
      <c r="AS31" s="106" t="n"/>
      <c r="AT31" s="107" t="n"/>
      <c r="AU31" s="106" t="n"/>
      <c r="AV31" s="107" t="n"/>
      <c r="AW31" s="106" t="n"/>
      <c r="AX31" s="107" t="n"/>
      <c r="AY31" s="106" t="n"/>
      <c r="AZ31" s="107" t="n"/>
      <c r="BA31" s="106" t="n"/>
      <c r="BB31" s="107" t="n"/>
      <c r="BC31" s="106" t="n"/>
      <c r="BD31" s="107" t="n"/>
      <c r="BE31" s="108" t="n"/>
      <c r="BF31" s="109" t="n"/>
      <c r="BG31" s="110" t="n"/>
      <c r="BH31" s="109" t="n"/>
      <c r="BI31" s="110" t="n"/>
      <c r="BJ31" s="109" t="n"/>
      <c r="BK31" s="110" t="n"/>
      <c r="BL31" s="109" t="n"/>
      <c r="BM31" s="110" t="n"/>
      <c r="BN31" s="109" t="n"/>
      <c r="BO31" s="110" t="n"/>
      <c r="BP31" s="109" t="n"/>
      <c r="BQ31" s="110" t="n"/>
      <c r="BR31" s="109" t="n"/>
      <c r="BS31" s="110" t="n"/>
      <c r="BT31" s="109" t="n"/>
      <c r="BU31" s="110" t="n"/>
      <c r="BV31" s="111" t="n"/>
      <c r="BW31" s="112" t="n"/>
      <c r="BX31" s="113" t="n"/>
      <c r="BY31" s="112" t="n"/>
      <c r="BZ31" s="113" t="n"/>
      <c r="CA31" s="112" t="n"/>
      <c r="CB31" s="113" t="n"/>
      <c r="CC31" s="112" t="n"/>
      <c r="CD31" s="113" t="n"/>
      <c r="CE31" s="112" t="n"/>
      <c r="CF31" s="113" t="n"/>
      <c r="CG31" s="112" t="n"/>
      <c r="CH31" s="113" t="n"/>
      <c r="CI31" s="112" t="n"/>
      <c r="CJ31" s="113" t="n"/>
      <c r="CK31" s="112" t="n"/>
      <c r="CL31" s="113" t="n"/>
      <c r="CM31" s="114" t="n"/>
      <c r="CN31" s="115" t="n"/>
      <c r="CO31" s="116" t="n"/>
      <c r="CP31" s="115" t="n"/>
      <c r="CQ31" s="116" t="n"/>
      <c r="CR31" s="115" t="n"/>
      <c r="CS31" s="116" t="n"/>
      <c r="CT31" s="115" t="n"/>
      <c r="CU31" s="116" t="n"/>
      <c r="CV31" s="115" t="n"/>
      <c r="CW31" s="116" t="n"/>
      <c r="CX31" s="115" t="n"/>
      <c r="CY31" s="116" t="n"/>
      <c r="CZ31" s="115" t="n"/>
      <c r="DA31" s="116" t="n"/>
      <c r="DB31" s="115" t="n"/>
      <c r="DC31" s="116" t="n"/>
      <c r="DD31" s="117" t="n"/>
      <c r="DE31" s="118" t="n"/>
      <c r="DF31" s="119" t="n"/>
      <c r="DG31" s="118" t="n"/>
      <c r="DH31" s="119" t="n"/>
      <c r="DI31" s="118" t="n"/>
      <c r="DJ31" s="119" t="n"/>
      <c r="DK31" s="118" t="n"/>
      <c r="DL31" s="119" t="n"/>
      <c r="DM31" s="118" t="n"/>
      <c r="DN31" s="119" t="n"/>
      <c r="DO31" s="118" t="n"/>
      <c r="DP31" s="119" t="n"/>
      <c r="DQ31" s="118" t="n"/>
      <c r="DR31" s="119" t="n"/>
      <c r="DS31" s="118" t="n"/>
      <c r="DT31" s="119" t="n"/>
      <c r="DU31" s="120" t="n"/>
      <c r="DV31" s="121" t="n"/>
      <c r="DW31" s="122" t="n"/>
      <c r="DX31" s="121" t="n"/>
      <c r="DY31" s="122" t="n"/>
      <c r="DZ31" s="121" t="n"/>
      <c r="EA31" s="122" t="n"/>
      <c r="EB31" s="121" t="n"/>
      <c r="EC31" s="122" t="n"/>
      <c r="ED31" s="121" t="n"/>
      <c r="EE31" s="122" t="n"/>
      <c r="EF31" s="121" t="n"/>
      <c r="EG31" s="122" t="n"/>
      <c r="EH31" s="121" t="n"/>
      <c r="EI31" s="122" t="n"/>
      <c r="EJ31" s="121" t="n"/>
      <c r="EK31" s="122" t="n"/>
      <c r="EL31" s="123" t="n"/>
      <c r="EM31" s="124" t="n"/>
      <c r="EN31" s="125" t="n"/>
      <c r="EO31" s="124" t="n"/>
      <c r="EP31" s="125" t="n"/>
      <c r="EQ31" s="124" t="n"/>
      <c r="ER31" s="125" t="n"/>
      <c r="ES31" s="124" t="n"/>
      <c r="ET31" s="125" t="n"/>
      <c r="EU31" s="124" t="n"/>
      <c r="EV31" s="125" t="n"/>
      <c r="EW31" s="124" t="n"/>
      <c r="EX31" s="125" t="n"/>
      <c r="EY31" s="124" t="n"/>
      <c r="EZ31" s="125" t="n"/>
      <c r="FA31" s="124" t="n"/>
      <c r="FB31" s="125" t="n"/>
      <c r="FC31" s="126" t="n"/>
      <c r="FD31" s="127" t="n"/>
      <c r="FE31" s="128" t="n"/>
      <c r="FF31" s="127" t="n"/>
      <c r="FG31" s="128" t="n"/>
      <c r="FH31" s="127" t="n"/>
      <c r="FI31" s="128" t="n"/>
      <c r="FJ31" s="127" t="n"/>
      <c r="FK31" s="128" t="n"/>
      <c r="FL31" s="127" t="n"/>
      <c r="FM31" s="128" t="n"/>
      <c r="FN31" s="127" t="n"/>
      <c r="FO31" s="128" t="n"/>
      <c r="FP31" s="127" t="n"/>
      <c r="FQ31" s="128" t="n"/>
      <c r="FR31" s="127" t="n"/>
      <c r="FS31" s="128" t="n"/>
      <c r="FT31" s="129" t="n"/>
      <c r="FU31" s="130" t="n"/>
      <c r="FV31" s="131" t="n"/>
      <c r="FW31" s="130" t="n"/>
      <c r="FX31" s="131" t="n"/>
      <c r="FY31" s="130" t="n"/>
      <c r="FZ31" s="131" t="n"/>
      <c r="GA31" s="130" t="n"/>
      <c r="GB31" s="131" t="n"/>
      <c r="GC31" s="130" t="n"/>
      <c r="GD31" s="131" t="n"/>
      <c r="GE31" s="130" t="n"/>
      <c r="GF31" s="131" t="n"/>
      <c r="GG31" s="130" t="n"/>
      <c r="GH31" s="131" t="n"/>
      <c r="GI31" s="130" t="n"/>
      <c r="GJ31" s="131" t="n"/>
      <c r="GK31" s="132" t="n"/>
      <c r="GL31" s="133" t="n"/>
      <c r="GM31" s="134" t="n"/>
      <c r="GN31" s="133" t="n"/>
      <c r="GO31" s="134" t="n"/>
      <c r="GP31" s="133" t="n"/>
      <c r="GQ31" s="134" t="n"/>
      <c r="GR31" s="133" t="n"/>
      <c r="GS31" s="134" t="n"/>
      <c r="GT31" s="133" t="n"/>
      <c r="GU31" s="134" t="n"/>
      <c r="GV31" s="133" t="n"/>
      <c r="GW31" s="134" t="n"/>
      <c r="GX31" s="133" t="n"/>
      <c r="GY31" s="134" t="n"/>
      <c r="GZ31" s="133" t="n"/>
      <c r="HA31" s="134" t="n"/>
      <c r="HB31" s="135" t="n"/>
      <c r="HC31">
        <f>COUNTIFS($G$3:$HB$3,"ح",$G31:$HB31,TRUE)</f>
        <v>0</v>
      </c>
      <c r="HD31">
        <f>COUNTIFS($G$3:$HB$3,"دفع",$G31:$HB31,TRUE)</f>
        <v>0</v>
      </c>
      <c r="HE31">
        <f>8*$HD31-$HC31</f>
        <v>0</v>
      </c>
    </row>
    <row r="32" ht="22.5" customHeight="1">
      <c r="A32" s="36" t="n">
        <v>29</v>
      </c>
      <c r="B32" s="97" t="n"/>
      <c r="C32" s="28" t="n"/>
      <c r="D32" s="98" t="str">
        <f>IF($B32="","",IF($HC32=0,"-",($HC32-8*INT(($HC32-1)/8))&amp;"/8"))</f>
        <v/>
      </c>
      <c r="E32" s="98" t="str">
        <f>IF($B32="","",IF(AND($HC32=0,$HD32=0),"-",$HE32))</f>
        <v/>
      </c>
      <c r="F32" s="99" t="str">
        <f>IF($B32="","",IF(AND($HC32=0,$HD32=0),"جديد",IF($HE32&gt;1,"تمام",IF($HE32=1,"آخر حصة",IF($HE32=0,"تجديد",IF($HE32=-1,"عليه حصة",IF($HE32=-2,"عليه حصتين","عليه "&amp;(-$HE32)&amp;" حصص")))))))</f>
        <v/>
      </c>
      <c r="G32" s="100" t="n"/>
      <c r="H32" s="101" t="n"/>
      <c r="I32" s="100" t="n"/>
      <c r="J32" s="101" t="n"/>
      <c r="K32" s="100" t="n"/>
      <c r="L32" s="101" t="n"/>
      <c r="M32" s="100" t="n"/>
      <c r="N32" s="101" t="n"/>
      <c r="O32" s="100" t="n"/>
      <c r="P32" s="101" t="n"/>
      <c r="Q32" s="100" t="n"/>
      <c r="R32" s="101" t="n"/>
      <c r="S32" s="100" t="n"/>
      <c r="T32" s="101" t="n"/>
      <c r="U32" s="100" t="n"/>
      <c r="V32" s="101" t="n"/>
      <c r="W32" s="102" t="n"/>
      <c r="X32" s="103" t="n"/>
      <c r="Y32" s="104" t="n"/>
      <c r="Z32" s="103" t="n"/>
      <c r="AA32" s="104" t="n"/>
      <c r="AB32" s="103" t="n"/>
      <c r="AC32" s="104" t="n"/>
      <c r="AD32" s="103" t="n"/>
      <c r="AE32" s="104" t="n"/>
      <c r="AF32" s="103" t="n"/>
      <c r="AG32" s="104" t="n"/>
      <c r="AH32" s="103" t="n"/>
      <c r="AI32" s="104" t="n"/>
      <c r="AJ32" s="103" t="n"/>
      <c r="AK32" s="104" t="n"/>
      <c r="AL32" s="103" t="n"/>
      <c r="AM32" s="104" t="n"/>
      <c r="AN32" s="105" t="n"/>
      <c r="AO32" s="106" t="n"/>
      <c r="AP32" s="107" t="n"/>
      <c r="AQ32" s="106" t="n"/>
      <c r="AR32" s="107" t="n"/>
      <c r="AS32" s="106" t="n"/>
      <c r="AT32" s="107" t="n"/>
      <c r="AU32" s="106" t="n"/>
      <c r="AV32" s="107" t="n"/>
      <c r="AW32" s="106" t="n"/>
      <c r="AX32" s="107" t="n"/>
      <c r="AY32" s="106" t="n"/>
      <c r="AZ32" s="107" t="n"/>
      <c r="BA32" s="106" t="n"/>
      <c r="BB32" s="107" t="n"/>
      <c r="BC32" s="106" t="n"/>
      <c r="BD32" s="107" t="n"/>
      <c r="BE32" s="108" t="n"/>
      <c r="BF32" s="109" t="n"/>
      <c r="BG32" s="110" t="n"/>
      <c r="BH32" s="109" t="n"/>
      <c r="BI32" s="110" t="n"/>
      <c r="BJ32" s="109" t="n"/>
      <c r="BK32" s="110" t="n"/>
      <c r="BL32" s="109" t="n"/>
      <c r="BM32" s="110" t="n"/>
      <c r="BN32" s="109" t="n"/>
      <c r="BO32" s="110" t="n"/>
      <c r="BP32" s="109" t="n"/>
      <c r="BQ32" s="110" t="n"/>
      <c r="BR32" s="109" t="n"/>
      <c r="BS32" s="110" t="n"/>
      <c r="BT32" s="109" t="n"/>
      <c r="BU32" s="110" t="n"/>
      <c r="BV32" s="111" t="n"/>
      <c r="BW32" s="112" t="n"/>
      <c r="BX32" s="113" t="n"/>
      <c r="BY32" s="112" t="n"/>
      <c r="BZ32" s="113" t="n"/>
      <c r="CA32" s="112" t="n"/>
      <c r="CB32" s="113" t="n"/>
      <c r="CC32" s="112" t="n"/>
      <c r="CD32" s="113" t="n"/>
      <c r="CE32" s="112" t="n"/>
      <c r="CF32" s="113" t="n"/>
      <c r="CG32" s="112" t="n"/>
      <c r="CH32" s="113" t="n"/>
      <c r="CI32" s="112" t="n"/>
      <c r="CJ32" s="113" t="n"/>
      <c r="CK32" s="112" t="n"/>
      <c r="CL32" s="113" t="n"/>
      <c r="CM32" s="114" t="n"/>
      <c r="CN32" s="115" t="n"/>
      <c r="CO32" s="116" t="n"/>
      <c r="CP32" s="115" t="n"/>
      <c r="CQ32" s="116" t="n"/>
      <c r="CR32" s="115" t="n"/>
      <c r="CS32" s="116" t="n"/>
      <c r="CT32" s="115" t="n"/>
      <c r="CU32" s="116" t="n"/>
      <c r="CV32" s="115" t="n"/>
      <c r="CW32" s="116" t="n"/>
      <c r="CX32" s="115" t="n"/>
      <c r="CY32" s="116" t="n"/>
      <c r="CZ32" s="115" t="n"/>
      <c r="DA32" s="116" t="n"/>
      <c r="DB32" s="115" t="n"/>
      <c r="DC32" s="116" t="n"/>
      <c r="DD32" s="117" t="n"/>
      <c r="DE32" s="118" t="n"/>
      <c r="DF32" s="119" t="n"/>
      <c r="DG32" s="118" t="n"/>
      <c r="DH32" s="119" t="n"/>
      <c r="DI32" s="118" t="n"/>
      <c r="DJ32" s="119" t="n"/>
      <c r="DK32" s="118" t="n"/>
      <c r="DL32" s="119" t="n"/>
      <c r="DM32" s="118" t="n"/>
      <c r="DN32" s="119" t="n"/>
      <c r="DO32" s="118" t="n"/>
      <c r="DP32" s="119" t="n"/>
      <c r="DQ32" s="118" t="n"/>
      <c r="DR32" s="119" t="n"/>
      <c r="DS32" s="118" t="n"/>
      <c r="DT32" s="119" t="n"/>
      <c r="DU32" s="120" t="n"/>
      <c r="DV32" s="121" t="n"/>
      <c r="DW32" s="122" t="n"/>
      <c r="DX32" s="121" t="n"/>
      <c r="DY32" s="122" t="n"/>
      <c r="DZ32" s="121" t="n"/>
      <c r="EA32" s="122" t="n"/>
      <c r="EB32" s="121" t="n"/>
      <c r="EC32" s="122" t="n"/>
      <c r="ED32" s="121" t="n"/>
      <c r="EE32" s="122" t="n"/>
      <c r="EF32" s="121" t="n"/>
      <c r="EG32" s="122" t="n"/>
      <c r="EH32" s="121" t="n"/>
      <c r="EI32" s="122" t="n"/>
      <c r="EJ32" s="121" t="n"/>
      <c r="EK32" s="122" t="n"/>
      <c r="EL32" s="123" t="n"/>
      <c r="EM32" s="124" t="n"/>
      <c r="EN32" s="125" t="n"/>
      <c r="EO32" s="124" t="n"/>
      <c r="EP32" s="125" t="n"/>
      <c r="EQ32" s="124" t="n"/>
      <c r="ER32" s="125" t="n"/>
      <c r="ES32" s="124" t="n"/>
      <c r="ET32" s="125" t="n"/>
      <c r="EU32" s="124" t="n"/>
      <c r="EV32" s="125" t="n"/>
      <c r="EW32" s="124" t="n"/>
      <c r="EX32" s="125" t="n"/>
      <c r="EY32" s="124" t="n"/>
      <c r="EZ32" s="125" t="n"/>
      <c r="FA32" s="124" t="n"/>
      <c r="FB32" s="125" t="n"/>
      <c r="FC32" s="126" t="n"/>
      <c r="FD32" s="127" t="n"/>
      <c r="FE32" s="128" t="n"/>
      <c r="FF32" s="127" t="n"/>
      <c r="FG32" s="128" t="n"/>
      <c r="FH32" s="127" t="n"/>
      <c r="FI32" s="128" t="n"/>
      <c r="FJ32" s="127" t="n"/>
      <c r="FK32" s="128" t="n"/>
      <c r="FL32" s="127" t="n"/>
      <c r="FM32" s="128" t="n"/>
      <c r="FN32" s="127" t="n"/>
      <c r="FO32" s="128" t="n"/>
      <c r="FP32" s="127" t="n"/>
      <c r="FQ32" s="128" t="n"/>
      <c r="FR32" s="127" t="n"/>
      <c r="FS32" s="128" t="n"/>
      <c r="FT32" s="129" t="n"/>
      <c r="FU32" s="130" t="n"/>
      <c r="FV32" s="131" t="n"/>
      <c r="FW32" s="130" t="n"/>
      <c r="FX32" s="131" t="n"/>
      <c r="FY32" s="130" t="n"/>
      <c r="FZ32" s="131" t="n"/>
      <c r="GA32" s="130" t="n"/>
      <c r="GB32" s="131" t="n"/>
      <c r="GC32" s="130" t="n"/>
      <c r="GD32" s="131" t="n"/>
      <c r="GE32" s="130" t="n"/>
      <c r="GF32" s="131" t="n"/>
      <c r="GG32" s="130" t="n"/>
      <c r="GH32" s="131" t="n"/>
      <c r="GI32" s="130" t="n"/>
      <c r="GJ32" s="131" t="n"/>
      <c r="GK32" s="132" t="n"/>
      <c r="GL32" s="133" t="n"/>
      <c r="GM32" s="134" t="n"/>
      <c r="GN32" s="133" t="n"/>
      <c r="GO32" s="134" t="n"/>
      <c r="GP32" s="133" t="n"/>
      <c r="GQ32" s="134" t="n"/>
      <c r="GR32" s="133" t="n"/>
      <c r="GS32" s="134" t="n"/>
      <c r="GT32" s="133" t="n"/>
      <c r="GU32" s="134" t="n"/>
      <c r="GV32" s="133" t="n"/>
      <c r="GW32" s="134" t="n"/>
      <c r="GX32" s="133" t="n"/>
      <c r="GY32" s="134" t="n"/>
      <c r="GZ32" s="133" t="n"/>
      <c r="HA32" s="134" t="n"/>
      <c r="HB32" s="135" t="n"/>
      <c r="HC32">
        <f>COUNTIFS($G$3:$HB$3,"ح",$G32:$HB32,TRUE)</f>
        <v>0</v>
      </c>
      <c r="HD32">
        <f>COUNTIFS($G$3:$HB$3,"دفع",$G32:$HB32,TRUE)</f>
        <v>0</v>
      </c>
      <c r="HE32">
        <f>8*$HD32-$HC32</f>
        <v>0</v>
      </c>
    </row>
    <row r="33" ht="22.5" customHeight="1">
      <c r="A33" s="36" t="n">
        <v>30</v>
      </c>
      <c r="B33" s="97" t="n"/>
      <c r="C33" s="28" t="n"/>
      <c r="D33" s="98" t="str">
        <f>IF($B33="","",IF($HC33=0,"-",($HC33-8*INT(($HC33-1)/8))&amp;"/8"))</f>
        <v/>
      </c>
      <c r="E33" s="98" t="str">
        <f>IF($B33="","",IF(AND($HC33=0,$HD33=0),"-",$HE33))</f>
        <v/>
      </c>
      <c r="F33" s="99" t="str">
        <f>IF($B33="","",IF(AND($HC33=0,$HD33=0),"جديد",IF($HE33&gt;1,"تمام",IF($HE33=1,"آخر حصة",IF($HE33=0,"تجديد",IF($HE33=-1,"عليه حصة",IF($HE33=-2,"عليه حصتين","عليه "&amp;(-$HE33)&amp;" حصص")))))))</f>
        <v/>
      </c>
      <c r="G33" s="100" t="n"/>
      <c r="H33" s="101" t="n"/>
      <c r="I33" s="100" t="n"/>
      <c r="J33" s="101" t="n"/>
      <c r="K33" s="100" t="n"/>
      <c r="L33" s="101" t="n"/>
      <c r="M33" s="100" t="n"/>
      <c r="N33" s="101" t="n"/>
      <c r="O33" s="100" t="n"/>
      <c r="P33" s="101" t="n"/>
      <c r="Q33" s="100" t="n"/>
      <c r="R33" s="101" t="n"/>
      <c r="S33" s="100" t="n"/>
      <c r="T33" s="101" t="n"/>
      <c r="U33" s="100" t="n"/>
      <c r="V33" s="101" t="n"/>
      <c r="W33" s="102" t="n"/>
      <c r="X33" s="103" t="n"/>
      <c r="Y33" s="104" t="n"/>
      <c r="Z33" s="103" t="n"/>
      <c r="AA33" s="104" t="n"/>
      <c r="AB33" s="103" t="n"/>
      <c r="AC33" s="104" t="n"/>
      <c r="AD33" s="103" t="n"/>
      <c r="AE33" s="104" t="n"/>
      <c r="AF33" s="103" t="n"/>
      <c r="AG33" s="104" t="n"/>
      <c r="AH33" s="103" t="n"/>
      <c r="AI33" s="104" t="n"/>
      <c r="AJ33" s="103" t="n"/>
      <c r="AK33" s="104" t="n"/>
      <c r="AL33" s="103" t="n"/>
      <c r="AM33" s="104" t="n"/>
      <c r="AN33" s="105" t="n"/>
      <c r="AO33" s="106" t="n"/>
      <c r="AP33" s="107" t="n"/>
      <c r="AQ33" s="106" t="n"/>
      <c r="AR33" s="107" t="n"/>
      <c r="AS33" s="106" t="n"/>
      <c r="AT33" s="107" t="n"/>
      <c r="AU33" s="106" t="n"/>
      <c r="AV33" s="107" t="n"/>
      <c r="AW33" s="106" t="n"/>
      <c r="AX33" s="107" t="n"/>
      <c r="AY33" s="106" t="n"/>
      <c r="AZ33" s="107" t="n"/>
      <c r="BA33" s="106" t="n"/>
      <c r="BB33" s="107" t="n"/>
      <c r="BC33" s="106" t="n"/>
      <c r="BD33" s="107" t="n"/>
      <c r="BE33" s="108" t="n"/>
      <c r="BF33" s="109" t="n"/>
      <c r="BG33" s="110" t="n"/>
      <c r="BH33" s="109" t="n"/>
      <c r="BI33" s="110" t="n"/>
      <c r="BJ33" s="109" t="n"/>
      <c r="BK33" s="110" t="n"/>
      <c r="BL33" s="109" t="n"/>
      <c r="BM33" s="110" t="n"/>
      <c r="BN33" s="109" t="n"/>
      <c r="BO33" s="110" t="n"/>
      <c r="BP33" s="109" t="n"/>
      <c r="BQ33" s="110" t="n"/>
      <c r="BR33" s="109" t="n"/>
      <c r="BS33" s="110" t="n"/>
      <c r="BT33" s="109" t="n"/>
      <c r="BU33" s="110" t="n"/>
      <c r="BV33" s="111" t="n"/>
      <c r="BW33" s="112" t="n"/>
      <c r="BX33" s="113" t="n"/>
      <c r="BY33" s="112" t="n"/>
      <c r="BZ33" s="113" t="n"/>
      <c r="CA33" s="112" t="n"/>
      <c r="CB33" s="113" t="n"/>
      <c r="CC33" s="112" t="n"/>
      <c r="CD33" s="113" t="n"/>
      <c r="CE33" s="112" t="n"/>
      <c r="CF33" s="113" t="n"/>
      <c r="CG33" s="112" t="n"/>
      <c r="CH33" s="113" t="n"/>
      <c r="CI33" s="112" t="n"/>
      <c r="CJ33" s="113" t="n"/>
      <c r="CK33" s="112" t="n"/>
      <c r="CL33" s="113" t="n"/>
      <c r="CM33" s="114" t="n"/>
      <c r="CN33" s="115" t="n"/>
      <c r="CO33" s="116" t="n"/>
      <c r="CP33" s="115" t="n"/>
      <c r="CQ33" s="116" t="n"/>
      <c r="CR33" s="115" t="n"/>
      <c r="CS33" s="116" t="n"/>
      <c r="CT33" s="115" t="n"/>
      <c r="CU33" s="116" t="n"/>
      <c r="CV33" s="115" t="n"/>
      <c r="CW33" s="116" t="n"/>
      <c r="CX33" s="115" t="n"/>
      <c r="CY33" s="116" t="n"/>
      <c r="CZ33" s="115" t="n"/>
      <c r="DA33" s="116" t="n"/>
      <c r="DB33" s="115" t="n"/>
      <c r="DC33" s="116" t="n"/>
      <c r="DD33" s="117" t="n"/>
      <c r="DE33" s="118" t="n"/>
      <c r="DF33" s="119" t="n"/>
      <c r="DG33" s="118" t="n"/>
      <c r="DH33" s="119" t="n"/>
      <c r="DI33" s="118" t="n"/>
      <c r="DJ33" s="119" t="n"/>
      <c r="DK33" s="118" t="n"/>
      <c r="DL33" s="119" t="n"/>
      <c r="DM33" s="118" t="n"/>
      <c r="DN33" s="119" t="n"/>
      <c r="DO33" s="118" t="n"/>
      <c r="DP33" s="119" t="n"/>
      <c r="DQ33" s="118" t="n"/>
      <c r="DR33" s="119" t="n"/>
      <c r="DS33" s="118" t="n"/>
      <c r="DT33" s="119" t="n"/>
      <c r="DU33" s="120" t="n"/>
      <c r="DV33" s="121" t="n"/>
      <c r="DW33" s="122" t="n"/>
      <c r="DX33" s="121" t="n"/>
      <c r="DY33" s="122" t="n"/>
      <c r="DZ33" s="121" t="n"/>
      <c r="EA33" s="122" t="n"/>
      <c r="EB33" s="121" t="n"/>
      <c r="EC33" s="122" t="n"/>
      <c r="ED33" s="121" t="n"/>
      <c r="EE33" s="122" t="n"/>
      <c r="EF33" s="121" t="n"/>
      <c r="EG33" s="122" t="n"/>
      <c r="EH33" s="121" t="n"/>
      <c r="EI33" s="122" t="n"/>
      <c r="EJ33" s="121" t="n"/>
      <c r="EK33" s="122" t="n"/>
      <c r="EL33" s="123" t="n"/>
      <c r="EM33" s="124" t="n"/>
      <c r="EN33" s="125" t="n"/>
      <c r="EO33" s="124" t="n"/>
      <c r="EP33" s="125" t="n"/>
      <c r="EQ33" s="124" t="n"/>
      <c r="ER33" s="125" t="n"/>
      <c r="ES33" s="124" t="n"/>
      <c r="ET33" s="125" t="n"/>
      <c r="EU33" s="124" t="n"/>
      <c r="EV33" s="125" t="n"/>
      <c r="EW33" s="124" t="n"/>
      <c r="EX33" s="125" t="n"/>
      <c r="EY33" s="124" t="n"/>
      <c r="EZ33" s="125" t="n"/>
      <c r="FA33" s="124" t="n"/>
      <c r="FB33" s="125" t="n"/>
      <c r="FC33" s="126" t="n"/>
      <c r="FD33" s="127" t="n"/>
      <c r="FE33" s="128" t="n"/>
      <c r="FF33" s="127" t="n"/>
      <c r="FG33" s="128" t="n"/>
      <c r="FH33" s="127" t="n"/>
      <c r="FI33" s="128" t="n"/>
      <c r="FJ33" s="127" t="n"/>
      <c r="FK33" s="128" t="n"/>
      <c r="FL33" s="127" t="n"/>
      <c r="FM33" s="128" t="n"/>
      <c r="FN33" s="127" t="n"/>
      <c r="FO33" s="128" t="n"/>
      <c r="FP33" s="127" t="n"/>
      <c r="FQ33" s="128" t="n"/>
      <c r="FR33" s="127" t="n"/>
      <c r="FS33" s="128" t="n"/>
      <c r="FT33" s="129" t="n"/>
      <c r="FU33" s="130" t="n"/>
      <c r="FV33" s="131" t="n"/>
      <c r="FW33" s="130" t="n"/>
      <c r="FX33" s="131" t="n"/>
      <c r="FY33" s="130" t="n"/>
      <c r="FZ33" s="131" t="n"/>
      <c r="GA33" s="130" t="n"/>
      <c r="GB33" s="131" t="n"/>
      <c r="GC33" s="130" t="n"/>
      <c r="GD33" s="131" t="n"/>
      <c r="GE33" s="130" t="n"/>
      <c r="GF33" s="131" t="n"/>
      <c r="GG33" s="130" t="n"/>
      <c r="GH33" s="131" t="n"/>
      <c r="GI33" s="130" t="n"/>
      <c r="GJ33" s="131" t="n"/>
      <c r="GK33" s="132" t="n"/>
      <c r="GL33" s="133" t="n"/>
      <c r="GM33" s="134" t="n"/>
      <c r="GN33" s="133" t="n"/>
      <c r="GO33" s="134" t="n"/>
      <c r="GP33" s="133" t="n"/>
      <c r="GQ33" s="134" t="n"/>
      <c r="GR33" s="133" t="n"/>
      <c r="GS33" s="134" t="n"/>
      <c r="GT33" s="133" t="n"/>
      <c r="GU33" s="134" t="n"/>
      <c r="GV33" s="133" t="n"/>
      <c r="GW33" s="134" t="n"/>
      <c r="GX33" s="133" t="n"/>
      <c r="GY33" s="134" t="n"/>
      <c r="GZ33" s="133" t="n"/>
      <c r="HA33" s="134" t="n"/>
      <c r="HB33" s="135" t="n"/>
      <c r="HC33">
        <f>COUNTIFS($G$3:$HB$3,"ح",$G33:$HB33,TRUE)</f>
        <v>0</v>
      </c>
      <c r="HD33">
        <f>COUNTIFS($G$3:$HB$3,"دفع",$G33:$HB33,TRUE)</f>
        <v>0</v>
      </c>
      <c r="HE33">
        <f>8*$HD33-$HC33</f>
        <v>0</v>
      </c>
    </row>
    <row r="34" ht="10.5" customHeight="1"/>
    <row r="35" ht="21" customHeight="1">
      <c r="A35" s="76" t="inlineStr">
        <is>
          <t>الدرجات</t>
        </is>
      </c>
      <c r="B35" s="4" t="n"/>
      <c r="C35" s="156" t="inlineStr">
        <is>
          <t>اكتبي الدرجة، وجنبها النهائية (من)</t>
        </is>
      </c>
      <c r="D35" s="13" t="n"/>
      <c r="E35" s="13" t="n"/>
      <c r="F35" s="4" t="n"/>
      <c r="G35" s="59" t="inlineStr">
        <is>
          <t>حصة 1</t>
        </is>
      </c>
      <c r="H35" s="4" t="n"/>
      <c r="I35" s="59" t="inlineStr">
        <is>
          <t>حصة 2</t>
        </is>
      </c>
      <c r="J35" s="4" t="n"/>
      <c r="K35" s="59" t="inlineStr">
        <is>
          <t>حصة 3</t>
        </is>
      </c>
      <c r="L35" s="4" t="n"/>
      <c r="M35" s="59" t="inlineStr">
        <is>
          <t>حصة 4</t>
        </is>
      </c>
      <c r="N35" s="4" t="n"/>
      <c r="O35" s="59" t="inlineStr">
        <is>
          <t>حصة 5</t>
        </is>
      </c>
      <c r="P35" s="4" t="n"/>
      <c r="Q35" s="59" t="inlineStr">
        <is>
          <t>حصة 6</t>
        </is>
      </c>
      <c r="R35" s="4" t="n"/>
      <c r="S35" s="59" t="inlineStr">
        <is>
          <t>حصة 7</t>
        </is>
      </c>
      <c r="T35" s="4" t="n"/>
      <c r="U35" s="59" t="inlineStr">
        <is>
          <t>حصة 8</t>
        </is>
      </c>
      <c r="V35" s="4" t="n"/>
      <c r="W35" s="59" t="inlineStr">
        <is>
          <t>ملاحظات</t>
        </is>
      </c>
      <c r="X35" s="60" t="inlineStr">
        <is>
          <t>حصة 1</t>
        </is>
      </c>
      <c r="Y35" s="4" t="n"/>
      <c r="Z35" s="60" t="inlineStr">
        <is>
          <t>حصة 2</t>
        </is>
      </c>
      <c r="AA35" s="4" t="n"/>
      <c r="AB35" s="60" t="inlineStr">
        <is>
          <t>حصة 3</t>
        </is>
      </c>
      <c r="AC35" s="4" t="n"/>
      <c r="AD35" s="60" t="inlineStr">
        <is>
          <t>حصة 4</t>
        </is>
      </c>
      <c r="AE35" s="4" t="n"/>
      <c r="AF35" s="60" t="inlineStr">
        <is>
          <t>حصة 5</t>
        </is>
      </c>
      <c r="AG35" s="4" t="n"/>
      <c r="AH35" s="60" t="inlineStr">
        <is>
          <t>حصة 6</t>
        </is>
      </c>
      <c r="AI35" s="4" t="n"/>
      <c r="AJ35" s="60" t="inlineStr">
        <is>
          <t>حصة 7</t>
        </is>
      </c>
      <c r="AK35" s="4" t="n"/>
      <c r="AL35" s="60" t="inlineStr">
        <is>
          <t>حصة 8</t>
        </is>
      </c>
      <c r="AM35" s="4" t="n"/>
      <c r="AN35" s="60" t="inlineStr">
        <is>
          <t>ملاحظات</t>
        </is>
      </c>
      <c r="AO35" s="61" t="inlineStr">
        <is>
          <t>حصة 1</t>
        </is>
      </c>
      <c r="AP35" s="4" t="n"/>
      <c r="AQ35" s="61" t="inlineStr">
        <is>
          <t>حصة 2</t>
        </is>
      </c>
      <c r="AR35" s="4" t="n"/>
      <c r="AS35" s="61" t="inlineStr">
        <is>
          <t>حصة 3</t>
        </is>
      </c>
      <c r="AT35" s="4" t="n"/>
      <c r="AU35" s="61" t="inlineStr">
        <is>
          <t>حصة 4</t>
        </is>
      </c>
      <c r="AV35" s="4" t="n"/>
      <c r="AW35" s="61" t="inlineStr">
        <is>
          <t>حصة 5</t>
        </is>
      </c>
      <c r="AX35" s="4" t="n"/>
      <c r="AY35" s="61" t="inlineStr">
        <is>
          <t>حصة 6</t>
        </is>
      </c>
      <c r="AZ35" s="4" t="n"/>
      <c r="BA35" s="61" t="inlineStr">
        <is>
          <t>حصة 7</t>
        </is>
      </c>
      <c r="BB35" s="4" t="n"/>
      <c r="BC35" s="61" t="inlineStr">
        <is>
          <t>حصة 8</t>
        </is>
      </c>
      <c r="BD35" s="4" t="n"/>
      <c r="BE35" s="61" t="inlineStr">
        <is>
          <t>ملاحظات</t>
        </is>
      </c>
      <c r="BF35" s="62" t="inlineStr">
        <is>
          <t>حصة 1</t>
        </is>
      </c>
      <c r="BG35" s="4" t="n"/>
      <c r="BH35" s="62" t="inlineStr">
        <is>
          <t>حصة 2</t>
        </is>
      </c>
      <c r="BI35" s="4" t="n"/>
      <c r="BJ35" s="62" t="inlineStr">
        <is>
          <t>حصة 3</t>
        </is>
      </c>
      <c r="BK35" s="4" t="n"/>
      <c r="BL35" s="62" t="inlineStr">
        <is>
          <t>حصة 4</t>
        </is>
      </c>
      <c r="BM35" s="4" t="n"/>
      <c r="BN35" s="62" t="inlineStr">
        <is>
          <t>حصة 5</t>
        </is>
      </c>
      <c r="BO35" s="4" t="n"/>
      <c r="BP35" s="62" t="inlineStr">
        <is>
          <t>حصة 6</t>
        </is>
      </c>
      <c r="BQ35" s="4" t="n"/>
      <c r="BR35" s="62" t="inlineStr">
        <is>
          <t>حصة 7</t>
        </is>
      </c>
      <c r="BS35" s="4" t="n"/>
      <c r="BT35" s="62" t="inlineStr">
        <is>
          <t>حصة 8</t>
        </is>
      </c>
      <c r="BU35" s="4" t="n"/>
      <c r="BV35" s="62" t="inlineStr">
        <is>
          <t>ملاحظات</t>
        </is>
      </c>
      <c r="BW35" s="63" t="inlineStr">
        <is>
          <t>حصة 1</t>
        </is>
      </c>
      <c r="BX35" s="4" t="n"/>
      <c r="BY35" s="63" t="inlineStr">
        <is>
          <t>حصة 2</t>
        </is>
      </c>
      <c r="BZ35" s="4" t="n"/>
      <c r="CA35" s="63" t="inlineStr">
        <is>
          <t>حصة 3</t>
        </is>
      </c>
      <c r="CB35" s="4" t="n"/>
      <c r="CC35" s="63" t="inlineStr">
        <is>
          <t>حصة 4</t>
        </is>
      </c>
      <c r="CD35" s="4" t="n"/>
      <c r="CE35" s="63" t="inlineStr">
        <is>
          <t>حصة 5</t>
        </is>
      </c>
      <c r="CF35" s="4" t="n"/>
      <c r="CG35" s="63" t="inlineStr">
        <is>
          <t>حصة 6</t>
        </is>
      </c>
      <c r="CH35" s="4" t="n"/>
      <c r="CI35" s="63" t="inlineStr">
        <is>
          <t>حصة 7</t>
        </is>
      </c>
      <c r="CJ35" s="4" t="n"/>
      <c r="CK35" s="63" t="inlineStr">
        <is>
          <t>حصة 8</t>
        </is>
      </c>
      <c r="CL35" s="4" t="n"/>
      <c r="CM35" s="63" t="inlineStr">
        <is>
          <t>ملاحظات</t>
        </is>
      </c>
      <c r="CN35" s="64" t="inlineStr">
        <is>
          <t>حصة 1</t>
        </is>
      </c>
      <c r="CO35" s="4" t="n"/>
      <c r="CP35" s="64" t="inlineStr">
        <is>
          <t>حصة 2</t>
        </is>
      </c>
      <c r="CQ35" s="4" t="n"/>
      <c r="CR35" s="64" t="inlineStr">
        <is>
          <t>حصة 3</t>
        </is>
      </c>
      <c r="CS35" s="4" t="n"/>
      <c r="CT35" s="64" t="inlineStr">
        <is>
          <t>حصة 4</t>
        </is>
      </c>
      <c r="CU35" s="4" t="n"/>
      <c r="CV35" s="64" t="inlineStr">
        <is>
          <t>حصة 5</t>
        </is>
      </c>
      <c r="CW35" s="4" t="n"/>
      <c r="CX35" s="64" t="inlineStr">
        <is>
          <t>حصة 6</t>
        </is>
      </c>
      <c r="CY35" s="4" t="n"/>
      <c r="CZ35" s="64" t="inlineStr">
        <is>
          <t>حصة 7</t>
        </is>
      </c>
      <c r="DA35" s="4" t="n"/>
      <c r="DB35" s="64" t="inlineStr">
        <is>
          <t>حصة 8</t>
        </is>
      </c>
      <c r="DC35" s="4" t="n"/>
      <c r="DD35" s="64" t="inlineStr">
        <is>
          <t>ملاحظات</t>
        </is>
      </c>
      <c r="DE35" s="65" t="inlineStr">
        <is>
          <t>حصة 1</t>
        </is>
      </c>
      <c r="DF35" s="4" t="n"/>
      <c r="DG35" s="65" t="inlineStr">
        <is>
          <t>حصة 2</t>
        </is>
      </c>
      <c r="DH35" s="4" t="n"/>
      <c r="DI35" s="65" t="inlineStr">
        <is>
          <t>حصة 3</t>
        </is>
      </c>
      <c r="DJ35" s="4" t="n"/>
      <c r="DK35" s="65" t="inlineStr">
        <is>
          <t>حصة 4</t>
        </is>
      </c>
      <c r="DL35" s="4" t="n"/>
      <c r="DM35" s="65" t="inlineStr">
        <is>
          <t>حصة 5</t>
        </is>
      </c>
      <c r="DN35" s="4" t="n"/>
      <c r="DO35" s="65" t="inlineStr">
        <is>
          <t>حصة 6</t>
        </is>
      </c>
      <c r="DP35" s="4" t="n"/>
      <c r="DQ35" s="65" t="inlineStr">
        <is>
          <t>حصة 7</t>
        </is>
      </c>
      <c r="DR35" s="4" t="n"/>
      <c r="DS35" s="65" t="inlineStr">
        <is>
          <t>حصة 8</t>
        </is>
      </c>
      <c r="DT35" s="4" t="n"/>
      <c r="DU35" s="65" t="inlineStr">
        <is>
          <t>ملاحظات</t>
        </is>
      </c>
      <c r="DV35" s="66" t="inlineStr">
        <is>
          <t>حصة 1</t>
        </is>
      </c>
      <c r="DW35" s="4" t="n"/>
      <c r="DX35" s="66" t="inlineStr">
        <is>
          <t>حصة 2</t>
        </is>
      </c>
      <c r="DY35" s="4" t="n"/>
      <c r="DZ35" s="66" t="inlineStr">
        <is>
          <t>حصة 3</t>
        </is>
      </c>
      <c r="EA35" s="4" t="n"/>
      <c r="EB35" s="66" t="inlineStr">
        <is>
          <t>حصة 4</t>
        </is>
      </c>
      <c r="EC35" s="4" t="n"/>
      <c r="ED35" s="66" t="inlineStr">
        <is>
          <t>حصة 5</t>
        </is>
      </c>
      <c r="EE35" s="4" t="n"/>
      <c r="EF35" s="66" t="inlineStr">
        <is>
          <t>حصة 6</t>
        </is>
      </c>
      <c r="EG35" s="4" t="n"/>
      <c r="EH35" s="66" t="inlineStr">
        <is>
          <t>حصة 7</t>
        </is>
      </c>
      <c r="EI35" s="4" t="n"/>
      <c r="EJ35" s="66" t="inlineStr">
        <is>
          <t>حصة 8</t>
        </is>
      </c>
      <c r="EK35" s="4" t="n"/>
      <c r="EL35" s="66" t="inlineStr">
        <is>
          <t>ملاحظات</t>
        </is>
      </c>
      <c r="EM35" s="67" t="inlineStr">
        <is>
          <t>حصة 1</t>
        </is>
      </c>
      <c r="EN35" s="4" t="n"/>
      <c r="EO35" s="67" t="inlineStr">
        <is>
          <t>حصة 2</t>
        </is>
      </c>
      <c r="EP35" s="4" t="n"/>
      <c r="EQ35" s="67" t="inlineStr">
        <is>
          <t>حصة 3</t>
        </is>
      </c>
      <c r="ER35" s="4" t="n"/>
      <c r="ES35" s="67" t="inlineStr">
        <is>
          <t>حصة 4</t>
        </is>
      </c>
      <c r="ET35" s="4" t="n"/>
      <c r="EU35" s="67" t="inlineStr">
        <is>
          <t>حصة 5</t>
        </is>
      </c>
      <c r="EV35" s="4" t="n"/>
      <c r="EW35" s="67" t="inlineStr">
        <is>
          <t>حصة 6</t>
        </is>
      </c>
      <c r="EX35" s="4" t="n"/>
      <c r="EY35" s="67" t="inlineStr">
        <is>
          <t>حصة 7</t>
        </is>
      </c>
      <c r="EZ35" s="4" t="n"/>
      <c r="FA35" s="67" t="inlineStr">
        <is>
          <t>حصة 8</t>
        </is>
      </c>
      <c r="FB35" s="4" t="n"/>
      <c r="FC35" s="67" t="inlineStr">
        <is>
          <t>ملاحظات</t>
        </is>
      </c>
      <c r="FD35" s="68" t="inlineStr">
        <is>
          <t>حصة 1</t>
        </is>
      </c>
      <c r="FE35" s="4" t="n"/>
      <c r="FF35" s="68" t="inlineStr">
        <is>
          <t>حصة 2</t>
        </is>
      </c>
      <c r="FG35" s="4" t="n"/>
      <c r="FH35" s="68" t="inlineStr">
        <is>
          <t>حصة 3</t>
        </is>
      </c>
      <c r="FI35" s="4" t="n"/>
      <c r="FJ35" s="68" t="inlineStr">
        <is>
          <t>حصة 4</t>
        </is>
      </c>
      <c r="FK35" s="4" t="n"/>
      <c r="FL35" s="68" t="inlineStr">
        <is>
          <t>حصة 5</t>
        </is>
      </c>
      <c r="FM35" s="4" t="n"/>
      <c r="FN35" s="68" t="inlineStr">
        <is>
          <t>حصة 6</t>
        </is>
      </c>
      <c r="FO35" s="4" t="n"/>
      <c r="FP35" s="68" t="inlineStr">
        <is>
          <t>حصة 7</t>
        </is>
      </c>
      <c r="FQ35" s="4" t="n"/>
      <c r="FR35" s="68" t="inlineStr">
        <is>
          <t>حصة 8</t>
        </is>
      </c>
      <c r="FS35" s="4" t="n"/>
      <c r="FT35" s="68" t="inlineStr">
        <is>
          <t>ملاحظات</t>
        </is>
      </c>
      <c r="FU35" s="69" t="inlineStr">
        <is>
          <t>حصة 1</t>
        </is>
      </c>
      <c r="FV35" s="4" t="n"/>
      <c r="FW35" s="69" t="inlineStr">
        <is>
          <t>حصة 2</t>
        </is>
      </c>
      <c r="FX35" s="4" t="n"/>
      <c r="FY35" s="69" t="inlineStr">
        <is>
          <t>حصة 3</t>
        </is>
      </c>
      <c r="FZ35" s="4" t="n"/>
      <c r="GA35" s="69" t="inlineStr">
        <is>
          <t>حصة 4</t>
        </is>
      </c>
      <c r="GB35" s="4" t="n"/>
      <c r="GC35" s="69" t="inlineStr">
        <is>
          <t>حصة 5</t>
        </is>
      </c>
      <c r="GD35" s="4" t="n"/>
      <c r="GE35" s="69" t="inlineStr">
        <is>
          <t>حصة 6</t>
        </is>
      </c>
      <c r="GF35" s="4" t="n"/>
      <c r="GG35" s="69" t="inlineStr">
        <is>
          <t>حصة 7</t>
        </is>
      </c>
      <c r="GH35" s="4" t="n"/>
      <c r="GI35" s="69" t="inlineStr">
        <is>
          <t>حصة 8</t>
        </is>
      </c>
      <c r="GJ35" s="4" t="n"/>
      <c r="GK35" s="69" t="inlineStr">
        <is>
          <t>ملاحظات</t>
        </is>
      </c>
      <c r="GL35" s="70" t="inlineStr">
        <is>
          <t>حصة 1</t>
        </is>
      </c>
      <c r="GM35" s="4" t="n"/>
      <c r="GN35" s="70" t="inlineStr">
        <is>
          <t>حصة 2</t>
        </is>
      </c>
      <c r="GO35" s="4" t="n"/>
      <c r="GP35" s="70" t="inlineStr">
        <is>
          <t>حصة 3</t>
        </is>
      </c>
      <c r="GQ35" s="4" t="n"/>
      <c r="GR35" s="70" t="inlineStr">
        <is>
          <t>حصة 4</t>
        </is>
      </c>
      <c r="GS35" s="4" t="n"/>
      <c r="GT35" s="70" t="inlineStr">
        <is>
          <t>حصة 5</t>
        </is>
      </c>
      <c r="GU35" s="4" t="n"/>
      <c r="GV35" s="70" t="inlineStr">
        <is>
          <t>حصة 6</t>
        </is>
      </c>
      <c r="GW35" s="4" t="n"/>
      <c r="GX35" s="70" t="inlineStr">
        <is>
          <t>حصة 7</t>
        </is>
      </c>
      <c r="GY35" s="4" t="n"/>
      <c r="GZ35" s="70" t="inlineStr">
        <is>
          <t>حصة 8</t>
        </is>
      </c>
      <c r="HA35" s="4" t="n"/>
      <c r="HB35" s="70" t="inlineStr">
        <is>
          <t>ملاحظات</t>
        </is>
      </c>
    </row>
    <row r="36" ht="16.5" customHeight="1">
      <c r="A36" s="76" t="inlineStr">
        <is>
          <t>م</t>
        </is>
      </c>
      <c r="B36" s="76" t="inlineStr">
        <is>
          <t>الاسم</t>
        </is>
      </c>
      <c r="C36" s="76" t="inlineStr">
        <is>
          <t>المجموع</t>
        </is>
      </c>
      <c r="D36" s="76" t="inlineStr">
        <is>
          <t>%</t>
        </is>
      </c>
      <c r="E36" s="76" t="inlineStr"/>
      <c r="F36" s="76" t="inlineStr">
        <is>
          <t>التقدير</t>
        </is>
      </c>
      <c r="G36" s="157" t="inlineStr">
        <is>
          <t>درجة</t>
        </is>
      </c>
      <c r="H36" s="158" t="inlineStr">
        <is>
          <t>من</t>
        </is>
      </c>
      <c r="I36" s="157" t="inlineStr">
        <is>
          <t>درجة</t>
        </is>
      </c>
      <c r="J36" s="158" t="inlineStr">
        <is>
          <t>من</t>
        </is>
      </c>
      <c r="K36" s="157" t="inlineStr">
        <is>
          <t>درجة</t>
        </is>
      </c>
      <c r="L36" s="158" t="inlineStr">
        <is>
          <t>من</t>
        </is>
      </c>
      <c r="M36" s="157" t="inlineStr">
        <is>
          <t>درجة</t>
        </is>
      </c>
      <c r="N36" s="158" t="inlineStr">
        <is>
          <t>من</t>
        </is>
      </c>
      <c r="O36" s="157" t="inlineStr">
        <is>
          <t>درجة</t>
        </is>
      </c>
      <c r="P36" s="158" t="inlineStr">
        <is>
          <t>من</t>
        </is>
      </c>
      <c r="Q36" s="157" t="inlineStr">
        <is>
          <t>درجة</t>
        </is>
      </c>
      <c r="R36" s="158" t="inlineStr">
        <is>
          <t>من</t>
        </is>
      </c>
      <c r="S36" s="157" t="inlineStr">
        <is>
          <t>درجة</t>
        </is>
      </c>
      <c r="T36" s="158" t="inlineStr">
        <is>
          <t>من</t>
        </is>
      </c>
      <c r="U36" s="157" t="inlineStr">
        <is>
          <t>درجة</t>
        </is>
      </c>
      <c r="V36" s="158" t="inlineStr">
        <is>
          <t>من</t>
        </is>
      </c>
      <c r="W36" s="59" t="inlineStr">
        <is>
          <t>ملاحظات</t>
        </is>
      </c>
      <c r="X36" s="159" t="inlineStr">
        <is>
          <t>درجة</t>
        </is>
      </c>
      <c r="Y36" s="160" t="inlineStr">
        <is>
          <t>من</t>
        </is>
      </c>
      <c r="Z36" s="159" t="inlineStr">
        <is>
          <t>درجة</t>
        </is>
      </c>
      <c r="AA36" s="160" t="inlineStr">
        <is>
          <t>من</t>
        </is>
      </c>
      <c r="AB36" s="159" t="inlineStr">
        <is>
          <t>درجة</t>
        </is>
      </c>
      <c r="AC36" s="160" t="inlineStr">
        <is>
          <t>من</t>
        </is>
      </c>
      <c r="AD36" s="159" t="inlineStr">
        <is>
          <t>درجة</t>
        </is>
      </c>
      <c r="AE36" s="160" t="inlineStr">
        <is>
          <t>من</t>
        </is>
      </c>
      <c r="AF36" s="159" t="inlineStr">
        <is>
          <t>درجة</t>
        </is>
      </c>
      <c r="AG36" s="160" t="inlineStr">
        <is>
          <t>من</t>
        </is>
      </c>
      <c r="AH36" s="159" t="inlineStr">
        <is>
          <t>درجة</t>
        </is>
      </c>
      <c r="AI36" s="160" t="inlineStr">
        <is>
          <t>من</t>
        </is>
      </c>
      <c r="AJ36" s="159" t="inlineStr">
        <is>
          <t>درجة</t>
        </is>
      </c>
      <c r="AK36" s="160" t="inlineStr">
        <is>
          <t>من</t>
        </is>
      </c>
      <c r="AL36" s="159" t="inlineStr">
        <is>
          <t>درجة</t>
        </is>
      </c>
      <c r="AM36" s="160" t="inlineStr">
        <is>
          <t>من</t>
        </is>
      </c>
      <c r="AN36" s="60" t="inlineStr">
        <is>
          <t>ملاحظات</t>
        </is>
      </c>
      <c r="AO36" s="161" t="inlineStr">
        <is>
          <t>درجة</t>
        </is>
      </c>
      <c r="AP36" s="162" t="inlineStr">
        <is>
          <t>من</t>
        </is>
      </c>
      <c r="AQ36" s="161" t="inlineStr">
        <is>
          <t>درجة</t>
        </is>
      </c>
      <c r="AR36" s="162" t="inlineStr">
        <is>
          <t>من</t>
        </is>
      </c>
      <c r="AS36" s="161" t="inlineStr">
        <is>
          <t>درجة</t>
        </is>
      </c>
      <c r="AT36" s="162" t="inlineStr">
        <is>
          <t>من</t>
        </is>
      </c>
      <c r="AU36" s="161" t="inlineStr">
        <is>
          <t>درجة</t>
        </is>
      </c>
      <c r="AV36" s="162" t="inlineStr">
        <is>
          <t>من</t>
        </is>
      </c>
      <c r="AW36" s="161" t="inlineStr">
        <is>
          <t>درجة</t>
        </is>
      </c>
      <c r="AX36" s="162" t="inlineStr">
        <is>
          <t>من</t>
        </is>
      </c>
      <c r="AY36" s="161" t="inlineStr">
        <is>
          <t>درجة</t>
        </is>
      </c>
      <c r="AZ36" s="162" t="inlineStr">
        <is>
          <t>من</t>
        </is>
      </c>
      <c r="BA36" s="161" t="inlineStr">
        <is>
          <t>درجة</t>
        </is>
      </c>
      <c r="BB36" s="162" t="inlineStr">
        <is>
          <t>من</t>
        </is>
      </c>
      <c r="BC36" s="161" t="inlineStr">
        <is>
          <t>درجة</t>
        </is>
      </c>
      <c r="BD36" s="162" t="inlineStr">
        <is>
          <t>من</t>
        </is>
      </c>
      <c r="BE36" s="61" t="inlineStr">
        <is>
          <t>ملاحظات</t>
        </is>
      </c>
      <c r="BF36" s="163" t="inlineStr">
        <is>
          <t>درجة</t>
        </is>
      </c>
      <c r="BG36" s="164" t="inlineStr">
        <is>
          <t>من</t>
        </is>
      </c>
      <c r="BH36" s="163" t="inlineStr">
        <is>
          <t>درجة</t>
        </is>
      </c>
      <c r="BI36" s="164" t="inlineStr">
        <is>
          <t>من</t>
        </is>
      </c>
      <c r="BJ36" s="163" t="inlineStr">
        <is>
          <t>درجة</t>
        </is>
      </c>
      <c r="BK36" s="164" t="inlineStr">
        <is>
          <t>من</t>
        </is>
      </c>
      <c r="BL36" s="163" t="inlineStr">
        <is>
          <t>درجة</t>
        </is>
      </c>
      <c r="BM36" s="164" t="inlineStr">
        <is>
          <t>من</t>
        </is>
      </c>
      <c r="BN36" s="163" t="inlineStr">
        <is>
          <t>درجة</t>
        </is>
      </c>
      <c r="BO36" s="164" t="inlineStr">
        <is>
          <t>من</t>
        </is>
      </c>
      <c r="BP36" s="163" t="inlineStr">
        <is>
          <t>درجة</t>
        </is>
      </c>
      <c r="BQ36" s="164" t="inlineStr">
        <is>
          <t>من</t>
        </is>
      </c>
      <c r="BR36" s="163" t="inlineStr">
        <is>
          <t>درجة</t>
        </is>
      </c>
      <c r="BS36" s="164" t="inlineStr">
        <is>
          <t>من</t>
        </is>
      </c>
      <c r="BT36" s="163" t="inlineStr">
        <is>
          <t>درجة</t>
        </is>
      </c>
      <c r="BU36" s="164" t="inlineStr">
        <is>
          <t>من</t>
        </is>
      </c>
      <c r="BV36" s="62" t="inlineStr">
        <is>
          <t>ملاحظات</t>
        </is>
      </c>
      <c r="BW36" s="165" t="inlineStr">
        <is>
          <t>درجة</t>
        </is>
      </c>
      <c r="BX36" s="166" t="inlineStr">
        <is>
          <t>من</t>
        </is>
      </c>
      <c r="BY36" s="165" t="inlineStr">
        <is>
          <t>درجة</t>
        </is>
      </c>
      <c r="BZ36" s="166" t="inlineStr">
        <is>
          <t>من</t>
        </is>
      </c>
      <c r="CA36" s="165" t="inlineStr">
        <is>
          <t>درجة</t>
        </is>
      </c>
      <c r="CB36" s="166" t="inlineStr">
        <is>
          <t>من</t>
        </is>
      </c>
      <c r="CC36" s="165" t="inlineStr">
        <is>
          <t>درجة</t>
        </is>
      </c>
      <c r="CD36" s="166" t="inlineStr">
        <is>
          <t>من</t>
        </is>
      </c>
      <c r="CE36" s="165" t="inlineStr">
        <is>
          <t>درجة</t>
        </is>
      </c>
      <c r="CF36" s="166" t="inlineStr">
        <is>
          <t>من</t>
        </is>
      </c>
      <c r="CG36" s="165" t="inlineStr">
        <is>
          <t>درجة</t>
        </is>
      </c>
      <c r="CH36" s="166" t="inlineStr">
        <is>
          <t>من</t>
        </is>
      </c>
      <c r="CI36" s="165" t="inlineStr">
        <is>
          <t>درجة</t>
        </is>
      </c>
      <c r="CJ36" s="166" t="inlineStr">
        <is>
          <t>من</t>
        </is>
      </c>
      <c r="CK36" s="165" t="inlineStr">
        <is>
          <t>درجة</t>
        </is>
      </c>
      <c r="CL36" s="166" t="inlineStr">
        <is>
          <t>من</t>
        </is>
      </c>
      <c r="CM36" s="63" t="inlineStr">
        <is>
          <t>ملاحظات</t>
        </is>
      </c>
      <c r="CN36" s="167" t="inlineStr">
        <is>
          <t>درجة</t>
        </is>
      </c>
      <c r="CO36" s="168" t="inlineStr">
        <is>
          <t>من</t>
        </is>
      </c>
      <c r="CP36" s="167" t="inlineStr">
        <is>
          <t>درجة</t>
        </is>
      </c>
      <c r="CQ36" s="168" t="inlineStr">
        <is>
          <t>من</t>
        </is>
      </c>
      <c r="CR36" s="167" t="inlineStr">
        <is>
          <t>درجة</t>
        </is>
      </c>
      <c r="CS36" s="168" t="inlineStr">
        <is>
          <t>من</t>
        </is>
      </c>
      <c r="CT36" s="167" t="inlineStr">
        <is>
          <t>درجة</t>
        </is>
      </c>
      <c r="CU36" s="168" t="inlineStr">
        <is>
          <t>من</t>
        </is>
      </c>
      <c r="CV36" s="167" t="inlineStr">
        <is>
          <t>درجة</t>
        </is>
      </c>
      <c r="CW36" s="168" t="inlineStr">
        <is>
          <t>من</t>
        </is>
      </c>
      <c r="CX36" s="167" t="inlineStr">
        <is>
          <t>درجة</t>
        </is>
      </c>
      <c r="CY36" s="168" t="inlineStr">
        <is>
          <t>من</t>
        </is>
      </c>
      <c r="CZ36" s="167" t="inlineStr">
        <is>
          <t>درجة</t>
        </is>
      </c>
      <c r="DA36" s="168" t="inlineStr">
        <is>
          <t>من</t>
        </is>
      </c>
      <c r="DB36" s="167" t="inlineStr">
        <is>
          <t>درجة</t>
        </is>
      </c>
      <c r="DC36" s="168" t="inlineStr">
        <is>
          <t>من</t>
        </is>
      </c>
      <c r="DD36" s="64" t="inlineStr">
        <is>
          <t>ملاحظات</t>
        </is>
      </c>
      <c r="DE36" s="169" t="inlineStr">
        <is>
          <t>درجة</t>
        </is>
      </c>
      <c r="DF36" s="170" t="inlineStr">
        <is>
          <t>من</t>
        </is>
      </c>
      <c r="DG36" s="169" t="inlineStr">
        <is>
          <t>درجة</t>
        </is>
      </c>
      <c r="DH36" s="170" t="inlineStr">
        <is>
          <t>من</t>
        </is>
      </c>
      <c r="DI36" s="169" t="inlineStr">
        <is>
          <t>درجة</t>
        </is>
      </c>
      <c r="DJ36" s="170" t="inlineStr">
        <is>
          <t>من</t>
        </is>
      </c>
      <c r="DK36" s="169" t="inlineStr">
        <is>
          <t>درجة</t>
        </is>
      </c>
      <c r="DL36" s="170" t="inlineStr">
        <is>
          <t>من</t>
        </is>
      </c>
      <c r="DM36" s="169" t="inlineStr">
        <is>
          <t>درجة</t>
        </is>
      </c>
      <c r="DN36" s="170" t="inlineStr">
        <is>
          <t>من</t>
        </is>
      </c>
      <c r="DO36" s="169" t="inlineStr">
        <is>
          <t>درجة</t>
        </is>
      </c>
      <c r="DP36" s="170" t="inlineStr">
        <is>
          <t>من</t>
        </is>
      </c>
      <c r="DQ36" s="169" t="inlineStr">
        <is>
          <t>درجة</t>
        </is>
      </c>
      <c r="DR36" s="170" t="inlineStr">
        <is>
          <t>من</t>
        </is>
      </c>
      <c r="DS36" s="169" t="inlineStr">
        <is>
          <t>درجة</t>
        </is>
      </c>
      <c r="DT36" s="170" t="inlineStr">
        <is>
          <t>من</t>
        </is>
      </c>
      <c r="DU36" s="65" t="inlineStr">
        <is>
          <t>ملاحظات</t>
        </is>
      </c>
      <c r="DV36" s="171" t="inlineStr">
        <is>
          <t>درجة</t>
        </is>
      </c>
      <c r="DW36" s="172" t="inlineStr">
        <is>
          <t>من</t>
        </is>
      </c>
      <c r="DX36" s="171" t="inlineStr">
        <is>
          <t>درجة</t>
        </is>
      </c>
      <c r="DY36" s="172" t="inlineStr">
        <is>
          <t>من</t>
        </is>
      </c>
      <c r="DZ36" s="171" t="inlineStr">
        <is>
          <t>درجة</t>
        </is>
      </c>
      <c r="EA36" s="172" t="inlineStr">
        <is>
          <t>من</t>
        </is>
      </c>
      <c r="EB36" s="171" t="inlineStr">
        <is>
          <t>درجة</t>
        </is>
      </c>
      <c r="EC36" s="172" t="inlineStr">
        <is>
          <t>من</t>
        </is>
      </c>
      <c r="ED36" s="171" t="inlineStr">
        <is>
          <t>درجة</t>
        </is>
      </c>
      <c r="EE36" s="172" t="inlineStr">
        <is>
          <t>من</t>
        </is>
      </c>
      <c r="EF36" s="171" t="inlineStr">
        <is>
          <t>درجة</t>
        </is>
      </c>
      <c r="EG36" s="172" t="inlineStr">
        <is>
          <t>من</t>
        </is>
      </c>
      <c r="EH36" s="171" t="inlineStr">
        <is>
          <t>درجة</t>
        </is>
      </c>
      <c r="EI36" s="172" t="inlineStr">
        <is>
          <t>من</t>
        </is>
      </c>
      <c r="EJ36" s="171" t="inlineStr">
        <is>
          <t>درجة</t>
        </is>
      </c>
      <c r="EK36" s="172" t="inlineStr">
        <is>
          <t>من</t>
        </is>
      </c>
      <c r="EL36" s="66" t="inlineStr">
        <is>
          <t>ملاحظات</t>
        </is>
      </c>
      <c r="EM36" s="173" t="inlineStr">
        <is>
          <t>درجة</t>
        </is>
      </c>
      <c r="EN36" s="174" t="inlineStr">
        <is>
          <t>من</t>
        </is>
      </c>
      <c r="EO36" s="173" t="inlineStr">
        <is>
          <t>درجة</t>
        </is>
      </c>
      <c r="EP36" s="174" t="inlineStr">
        <is>
          <t>من</t>
        </is>
      </c>
      <c r="EQ36" s="173" t="inlineStr">
        <is>
          <t>درجة</t>
        </is>
      </c>
      <c r="ER36" s="174" t="inlineStr">
        <is>
          <t>من</t>
        </is>
      </c>
      <c r="ES36" s="173" t="inlineStr">
        <is>
          <t>درجة</t>
        </is>
      </c>
      <c r="ET36" s="174" t="inlineStr">
        <is>
          <t>من</t>
        </is>
      </c>
      <c r="EU36" s="173" t="inlineStr">
        <is>
          <t>درجة</t>
        </is>
      </c>
      <c r="EV36" s="174" t="inlineStr">
        <is>
          <t>من</t>
        </is>
      </c>
      <c r="EW36" s="173" t="inlineStr">
        <is>
          <t>درجة</t>
        </is>
      </c>
      <c r="EX36" s="174" t="inlineStr">
        <is>
          <t>من</t>
        </is>
      </c>
      <c r="EY36" s="173" t="inlineStr">
        <is>
          <t>درجة</t>
        </is>
      </c>
      <c r="EZ36" s="174" t="inlineStr">
        <is>
          <t>من</t>
        </is>
      </c>
      <c r="FA36" s="173" t="inlineStr">
        <is>
          <t>درجة</t>
        </is>
      </c>
      <c r="FB36" s="174" t="inlineStr">
        <is>
          <t>من</t>
        </is>
      </c>
      <c r="FC36" s="67" t="inlineStr">
        <is>
          <t>ملاحظات</t>
        </is>
      </c>
      <c r="FD36" s="175" t="inlineStr">
        <is>
          <t>درجة</t>
        </is>
      </c>
      <c r="FE36" s="176" t="inlineStr">
        <is>
          <t>من</t>
        </is>
      </c>
      <c r="FF36" s="175" t="inlineStr">
        <is>
          <t>درجة</t>
        </is>
      </c>
      <c r="FG36" s="176" t="inlineStr">
        <is>
          <t>من</t>
        </is>
      </c>
      <c r="FH36" s="175" t="inlineStr">
        <is>
          <t>درجة</t>
        </is>
      </c>
      <c r="FI36" s="176" t="inlineStr">
        <is>
          <t>من</t>
        </is>
      </c>
      <c r="FJ36" s="175" t="inlineStr">
        <is>
          <t>درجة</t>
        </is>
      </c>
      <c r="FK36" s="176" t="inlineStr">
        <is>
          <t>من</t>
        </is>
      </c>
      <c r="FL36" s="175" t="inlineStr">
        <is>
          <t>درجة</t>
        </is>
      </c>
      <c r="FM36" s="176" t="inlineStr">
        <is>
          <t>من</t>
        </is>
      </c>
      <c r="FN36" s="175" t="inlineStr">
        <is>
          <t>درجة</t>
        </is>
      </c>
      <c r="FO36" s="176" t="inlineStr">
        <is>
          <t>من</t>
        </is>
      </c>
      <c r="FP36" s="175" t="inlineStr">
        <is>
          <t>درجة</t>
        </is>
      </c>
      <c r="FQ36" s="176" t="inlineStr">
        <is>
          <t>من</t>
        </is>
      </c>
      <c r="FR36" s="175" t="inlineStr">
        <is>
          <t>درجة</t>
        </is>
      </c>
      <c r="FS36" s="176" t="inlineStr">
        <is>
          <t>من</t>
        </is>
      </c>
      <c r="FT36" s="68" t="inlineStr">
        <is>
          <t>ملاحظات</t>
        </is>
      </c>
      <c r="FU36" s="177" t="inlineStr">
        <is>
          <t>درجة</t>
        </is>
      </c>
      <c r="FV36" s="178" t="inlineStr">
        <is>
          <t>من</t>
        </is>
      </c>
      <c r="FW36" s="177" t="inlineStr">
        <is>
          <t>درجة</t>
        </is>
      </c>
      <c r="FX36" s="178" t="inlineStr">
        <is>
          <t>من</t>
        </is>
      </c>
      <c r="FY36" s="177" t="inlineStr">
        <is>
          <t>درجة</t>
        </is>
      </c>
      <c r="FZ36" s="178" t="inlineStr">
        <is>
          <t>من</t>
        </is>
      </c>
      <c r="GA36" s="177" t="inlineStr">
        <is>
          <t>درجة</t>
        </is>
      </c>
      <c r="GB36" s="178" t="inlineStr">
        <is>
          <t>من</t>
        </is>
      </c>
      <c r="GC36" s="177" t="inlineStr">
        <is>
          <t>درجة</t>
        </is>
      </c>
      <c r="GD36" s="178" t="inlineStr">
        <is>
          <t>من</t>
        </is>
      </c>
      <c r="GE36" s="177" t="inlineStr">
        <is>
          <t>درجة</t>
        </is>
      </c>
      <c r="GF36" s="178" t="inlineStr">
        <is>
          <t>من</t>
        </is>
      </c>
      <c r="GG36" s="177" t="inlineStr">
        <is>
          <t>درجة</t>
        </is>
      </c>
      <c r="GH36" s="178" t="inlineStr">
        <is>
          <t>من</t>
        </is>
      </c>
      <c r="GI36" s="177" t="inlineStr">
        <is>
          <t>درجة</t>
        </is>
      </c>
      <c r="GJ36" s="178" t="inlineStr">
        <is>
          <t>من</t>
        </is>
      </c>
      <c r="GK36" s="69" t="inlineStr">
        <is>
          <t>ملاحظات</t>
        </is>
      </c>
      <c r="GL36" s="179" t="inlineStr">
        <is>
          <t>درجة</t>
        </is>
      </c>
      <c r="GM36" s="180" t="inlineStr">
        <is>
          <t>من</t>
        </is>
      </c>
      <c r="GN36" s="179" t="inlineStr">
        <is>
          <t>درجة</t>
        </is>
      </c>
      <c r="GO36" s="180" t="inlineStr">
        <is>
          <t>من</t>
        </is>
      </c>
      <c r="GP36" s="179" t="inlineStr">
        <is>
          <t>درجة</t>
        </is>
      </c>
      <c r="GQ36" s="180" t="inlineStr">
        <is>
          <t>من</t>
        </is>
      </c>
      <c r="GR36" s="179" t="inlineStr">
        <is>
          <t>درجة</t>
        </is>
      </c>
      <c r="GS36" s="180" t="inlineStr">
        <is>
          <t>من</t>
        </is>
      </c>
      <c r="GT36" s="179" t="inlineStr">
        <is>
          <t>درجة</t>
        </is>
      </c>
      <c r="GU36" s="180" t="inlineStr">
        <is>
          <t>من</t>
        </is>
      </c>
      <c r="GV36" s="179" t="inlineStr">
        <is>
          <t>درجة</t>
        </is>
      </c>
      <c r="GW36" s="180" t="inlineStr">
        <is>
          <t>من</t>
        </is>
      </c>
      <c r="GX36" s="179" t="inlineStr">
        <is>
          <t>درجة</t>
        </is>
      </c>
      <c r="GY36" s="180" t="inlineStr">
        <is>
          <t>من</t>
        </is>
      </c>
      <c r="GZ36" s="179" t="inlineStr">
        <is>
          <t>درجة</t>
        </is>
      </c>
      <c r="HA36" s="180" t="inlineStr">
        <is>
          <t>من</t>
        </is>
      </c>
      <c r="HB36" s="70" t="inlineStr">
        <is>
          <t>ملاحظات</t>
        </is>
      </c>
    </row>
    <row r="37" ht="22.5" customHeight="1">
      <c r="A37" s="36" t="n">
        <v>1</v>
      </c>
      <c r="B37" s="181" t="str">
        <f>IF($B4="","",$B4)</f>
        <v/>
      </c>
      <c r="C37" s="136" t="str">
        <f>IF(OR($B37="",$HD37=0),"",ROUND($HC37,2)&amp;" / "&amp;$HD37)</f>
        <v/>
      </c>
      <c r="D37" s="182" t="str">
        <f>IF(OR($B37="",$HD37=0),"",$HC37/$HD37)</f>
        <v/>
      </c>
      <c r="E37" s="136" t="n"/>
      <c r="F37" s="99" t="str">
        <f>IF($D37="","",IF($D37&gt;=0.85,"ممتاز",IF($D37&gt;=0.75,"جيد جداً",IF($D37&gt;=0.65,"جيد",IF($D37&gt;=0.5,"مقبول","ضعيف")))))</f>
        <v/>
      </c>
      <c r="G37" s="100" t="n"/>
      <c r="H37" s="101" t="n"/>
      <c r="I37" s="100" t="n"/>
      <c r="J37" s="101" t="n"/>
      <c r="K37" s="100" t="n"/>
      <c r="L37" s="101" t="n"/>
      <c r="M37" s="100" t="n"/>
      <c r="N37" s="101" t="n"/>
      <c r="O37" s="100" t="n"/>
      <c r="P37" s="101" t="n"/>
      <c r="Q37" s="100" t="n"/>
      <c r="R37" s="101" t="n"/>
      <c r="S37" s="100" t="n"/>
      <c r="T37" s="101" t="n"/>
      <c r="U37" s="100" t="n"/>
      <c r="V37" s="101" t="n"/>
      <c r="W37" s="183" t="n"/>
      <c r="X37" s="103" t="n"/>
      <c r="Y37" s="104" t="n"/>
      <c r="Z37" s="103" t="n"/>
      <c r="AA37" s="104" t="n"/>
      <c r="AB37" s="103" t="n"/>
      <c r="AC37" s="104" t="n"/>
      <c r="AD37" s="103" t="n"/>
      <c r="AE37" s="104" t="n"/>
      <c r="AF37" s="103" t="n"/>
      <c r="AG37" s="104" t="n"/>
      <c r="AH37" s="103" t="n"/>
      <c r="AI37" s="104" t="n"/>
      <c r="AJ37" s="103" t="n"/>
      <c r="AK37" s="104" t="n"/>
      <c r="AL37" s="103" t="n"/>
      <c r="AM37" s="104" t="n"/>
      <c r="AN37" s="184" t="n"/>
      <c r="AO37" s="106" t="n"/>
      <c r="AP37" s="107" t="n"/>
      <c r="AQ37" s="106" t="n"/>
      <c r="AR37" s="107" t="n"/>
      <c r="AS37" s="106" t="n"/>
      <c r="AT37" s="107" t="n"/>
      <c r="AU37" s="106" t="n"/>
      <c r="AV37" s="107" t="n"/>
      <c r="AW37" s="106" t="n"/>
      <c r="AX37" s="107" t="n"/>
      <c r="AY37" s="106" t="n"/>
      <c r="AZ37" s="107" t="n"/>
      <c r="BA37" s="106" t="n"/>
      <c r="BB37" s="107" t="n"/>
      <c r="BC37" s="106" t="n"/>
      <c r="BD37" s="107" t="n"/>
      <c r="BE37" s="185" t="n"/>
      <c r="BF37" s="109" t="n"/>
      <c r="BG37" s="110" t="n"/>
      <c r="BH37" s="109" t="n"/>
      <c r="BI37" s="110" t="n"/>
      <c r="BJ37" s="109" t="n"/>
      <c r="BK37" s="110" t="n"/>
      <c r="BL37" s="109" t="n"/>
      <c r="BM37" s="110" t="n"/>
      <c r="BN37" s="109" t="n"/>
      <c r="BO37" s="110" t="n"/>
      <c r="BP37" s="109" t="n"/>
      <c r="BQ37" s="110" t="n"/>
      <c r="BR37" s="109" t="n"/>
      <c r="BS37" s="110" t="n"/>
      <c r="BT37" s="109" t="n"/>
      <c r="BU37" s="110" t="n"/>
      <c r="BV37" s="186" t="n"/>
      <c r="BW37" s="112" t="n"/>
      <c r="BX37" s="113" t="n"/>
      <c r="BY37" s="112" t="n"/>
      <c r="BZ37" s="113" t="n"/>
      <c r="CA37" s="112" t="n"/>
      <c r="CB37" s="113" t="n"/>
      <c r="CC37" s="112" t="n"/>
      <c r="CD37" s="113" t="n"/>
      <c r="CE37" s="112" t="n"/>
      <c r="CF37" s="113" t="n"/>
      <c r="CG37" s="112" t="n"/>
      <c r="CH37" s="113" t="n"/>
      <c r="CI37" s="112" t="n"/>
      <c r="CJ37" s="113" t="n"/>
      <c r="CK37" s="112" t="n"/>
      <c r="CL37" s="113" t="n"/>
      <c r="CM37" s="187" t="n"/>
      <c r="CN37" s="115" t="n"/>
      <c r="CO37" s="116" t="n"/>
      <c r="CP37" s="115" t="n"/>
      <c r="CQ37" s="116" t="n"/>
      <c r="CR37" s="115" t="n"/>
      <c r="CS37" s="116" t="n"/>
      <c r="CT37" s="115" t="n"/>
      <c r="CU37" s="116" t="n"/>
      <c r="CV37" s="115" t="n"/>
      <c r="CW37" s="116" t="n"/>
      <c r="CX37" s="115" t="n"/>
      <c r="CY37" s="116" t="n"/>
      <c r="CZ37" s="115" t="n"/>
      <c r="DA37" s="116" t="n"/>
      <c r="DB37" s="115" t="n"/>
      <c r="DC37" s="116" t="n"/>
      <c r="DD37" s="188" t="n"/>
      <c r="DE37" s="118" t="n"/>
      <c r="DF37" s="119" t="n"/>
      <c r="DG37" s="118" t="n"/>
      <c r="DH37" s="119" t="n"/>
      <c r="DI37" s="118" t="n"/>
      <c r="DJ37" s="119" t="n"/>
      <c r="DK37" s="118" t="n"/>
      <c r="DL37" s="119" t="n"/>
      <c r="DM37" s="118" t="n"/>
      <c r="DN37" s="119" t="n"/>
      <c r="DO37" s="118" t="n"/>
      <c r="DP37" s="119" t="n"/>
      <c r="DQ37" s="118" t="n"/>
      <c r="DR37" s="119" t="n"/>
      <c r="DS37" s="118" t="n"/>
      <c r="DT37" s="119" t="n"/>
      <c r="DU37" s="189" t="n"/>
      <c r="DV37" s="121" t="n"/>
      <c r="DW37" s="122" t="n"/>
      <c r="DX37" s="121" t="n"/>
      <c r="DY37" s="122" t="n"/>
      <c r="DZ37" s="121" t="n"/>
      <c r="EA37" s="122" t="n"/>
      <c r="EB37" s="121" t="n"/>
      <c r="EC37" s="122" t="n"/>
      <c r="ED37" s="121" t="n"/>
      <c r="EE37" s="122" t="n"/>
      <c r="EF37" s="121" t="n"/>
      <c r="EG37" s="122" t="n"/>
      <c r="EH37" s="121" t="n"/>
      <c r="EI37" s="122" t="n"/>
      <c r="EJ37" s="121" t="n"/>
      <c r="EK37" s="122" t="n"/>
      <c r="EL37" s="190" t="n"/>
      <c r="EM37" s="124" t="n"/>
      <c r="EN37" s="125" t="n"/>
      <c r="EO37" s="124" t="n"/>
      <c r="EP37" s="125" t="n"/>
      <c r="EQ37" s="124" t="n"/>
      <c r="ER37" s="125" t="n"/>
      <c r="ES37" s="124" t="n"/>
      <c r="ET37" s="125" t="n"/>
      <c r="EU37" s="124" t="n"/>
      <c r="EV37" s="125" t="n"/>
      <c r="EW37" s="124" t="n"/>
      <c r="EX37" s="125" t="n"/>
      <c r="EY37" s="124" t="n"/>
      <c r="EZ37" s="125" t="n"/>
      <c r="FA37" s="124" t="n"/>
      <c r="FB37" s="125" t="n"/>
      <c r="FC37" s="191" t="n"/>
      <c r="FD37" s="127" t="n"/>
      <c r="FE37" s="128" t="n"/>
      <c r="FF37" s="127" t="n"/>
      <c r="FG37" s="128" t="n"/>
      <c r="FH37" s="127" t="n"/>
      <c r="FI37" s="128" t="n"/>
      <c r="FJ37" s="127" t="n"/>
      <c r="FK37" s="128" t="n"/>
      <c r="FL37" s="127" t="n"/>
      <c r="FM37" s="128" t="n"/>
      <c r="FN37" s="127" t="n"/>
      <c r="FO37" s="128" t="n"/>
      <c r="FP37" s="127" t="n"/>
      <c r="FQ37" s="128" t="n"/>
      <c r="FR37" s="127" t="n"/>
      <c r="FS37" s="128" t="n"/>
      <c r="FT37" s="192" t="n"/>
      <c r="FU37" s="130" t="n"/>
      <c r="FV37" s="131" t="n"/>
      <c r="FW37" s="130" t="n"/>
      <c r="FX37" s="131" t="n"/>
      <c r="FY37" s="130" t="n"/>
      <c r="FZ37" s="131" t="n"/>
      <c r="GA37" s="130" t="n"/>
      <c r="GB37" s="131" t="n"/>
      <c r="GC37" s="130" t="n"/>
      <c r="GD37" s="131" t="n"/>
      <c r="GE37" s="130" t="n"/>
      <c r="GF37" s="131" t="n"/>
      <c r="GG37" s="130" t="n"/>
      <c r="GH37" s="131" t="n"/>
      <c r="GI37" s="130" t="n"/>
      <c r="GJ37" s="131" t="n"/>
      <c r="GK37" s="193" t="n"/>
      <c r="GL37" s="133" t="n"/>
      <c r="GM37" s="134" t="n"/>
      <c r="GN37" s="133" t="n"/>
      <c r="GO37" s="134" t="n"/>
      <c r="GP37" s="133" t="n"/>
      <c r="GQ37" s="134" t="n"/>
      <c r="GR37" s="133" t="n"/>
      <c r="GS37" s="134" t="n"/>
      <c r="GT37" s="133" t="n"/>
      <c r="GU37" s="134" t="n"/>
      <c r="GV37" s="133" t="n"/>
      <c r="GW37" s="134" t="n"/>
      <c r="GX37" s="133" t="n"/>
      <c r="GY37" s="134" t="n"/>
      <c r="GZ37" s="133" t="n"/>
      <c r="HA37" s="134" t="n"/>
      <c r="HB37" s="194" t="n"/>
      <c r="HC37">
        <f>SUMIFS($G37:$HA37,$G$36:$HA$36,"درجة",$H37:$HB37,"&gt;0")</f>
        <v>0</v>
      </c>
      <c r="HD37">
        <f>SUMIFS($H37:$HB37,$G$36:$HA$36,"درجة",$G37:$HA37,"&gt;=0")</f>
        <v>0</v>
      </c>
    </row>
    <row r="38" ht="22.5" customHeight="1">
      <c r="A38" s="36" t="n">
        <v>2</v>
      </c>
      <c r="B38" s="181" t="str">
        <f>IF($B5="","",$B5)</f>
        <v/>
      </c>
      <c r="C38" s="136" t="str">
        <f>IF(OR($B38="",$HD38=0),"",ROUND($HC38,2)&amp;" / "&amp;$HD38)</f>
        <v/>
      </c>
      <c r="D38" s="182" t="str">
        <f>IF(OR($B38="",$HD38=0),"",$HC38/$HD38)</f>
        <v/>
      </c>
      <c r="E38" s="136" t="n"/>
      <c r="F38" s="99" t="str">
        <f>IF($D38="","",IF($D38&gt;=0.85,"ممتاز",IF($D38&gt;=0.75,"جيد جداً",IF($D38&gt;=0.65,"جيد",IF($D38&gt;=0.5,"مقبول","ضعيف")))))</f>
        <v/>
      </c>
      <c r="G38" s="100" t="n"/>
      <c r="H38" s="101" t="n"/>
      <c r="I38" s="100" t="n"/>
      <c r="J38" s="101" t="n"/>
      <c r="K38" s="100" t="n"/>
      <c r="L38" s="101" t="n"/>
      <c r="M38" s="100" t="n"/>
      <c r="N38" s="101" t="n"/>
      <c r="O38" s="100" t="n"/>
      <c r="P38" s="101" t="n"/>
      <c r="Q38" s="100" t="n"/>
      <c r="R38" s="101" t="n"/>
      <c r="S38" s="100" t="n"/>
      <c r="T38" s="101" t="n"/>
      <c r="U38" s="100" t="n"/>
      <c r="V38" s="101" t="n"/>
      <c r="W38" s="183" t="n"/>
      <c r="X38" s="103" t="n"/>
      <c r="Y38" s="104" t="n"/>
      <c r="Z38" s="103" t="n"/>
      <c r="AA38" s="104" t="n"/>
      <c r="AB38" s="103" t="n"/>
      <c r="AC38" s="104" t="n"/>
      <c r="AD38" s="103" t="n"/>
      <c r="AE38" s="104" t="n"/>
      <c r="AF38" s="103" t="n"/>
      <c r="AG38" s="104" t="n"/>
      <c r="AH38" s="103" t="n"/>
      <c r="AI38" s="104" t="n"/>
      <c r="AJ38" s="103" t="n"/>
      <c r="AK38" s="104" t="n"/>
      <c r="AL38" s="103" t="n"/>
      <c r="AM38" s="104" t="n"/>
      <c r="AN38" s="184" t="n"/>
      <c r="AO38" s="106" t="n"/>
      <c r="AP38" s="107" t="n"/>
      <c r="AQ38" s="106" t="n"/>
      <c r="AR38" s="107" t="n"/>
      <c r="AS38" s="106" t="n"/>
      <c r="AT38" s="107" t="n"/>
      <c r="AU38" s="106" t="n"/>
      <c r="AV38" s="107" t="n"/>
      <c r="AW38" s="106" t="n"/>
      <c r="AX38" s="107" t="n"/>
      <c r="AY38" s="106" t="n"/>
      <c r="AZ38" s="107" t="n"/>
      <c r="BA38" s="106" t="n"/>
      <c r="BB38" s="107" t="n"/>
      <c r="BC38" s="106" t="n"/>
      <c r="BD38" s="107" t="n"/>
      <c r="BE38" s="185" t="n"/>
      <c r="BF38" s="109" t="n"/>
      <c r="BG38" s="110" t="n"/>
      <c r="BH38" s="109" t="n"/>
      <c r="BI38" s="110" t="n"/>
      <c r="BJ38" s="109" t="n"/>
      <c r="BK38" s="110" t="n"/>
      <c r="BL38" s="109" t="n"/>
      <c r="BM38" s="110" t="n"/>
      <c r="BN38" s="109" t="n"/>
      <c r="BO38" s="110" t="n"/>
      <c r="BP38" s="109" t="n"/>
      <c r="BQ38" s="110" t="n"/>
      <c r="BR38" s="109" t="n"/>
      <c r="BS38" s="110" t="n"/>
      <c r="BT38" s="109" t="n"/>
      <c r="BU38" s="110" t="n"/>
      <c r="BV38" s="186" t="n"/>
      <c r="BW38" s="112" t="n"/>
      <c r="BX38" s="113" t="n"/>
      <c r="BY38" s="112" t="n"/>
      <c r="BZ38" s="113" t="n"/>
      <c r="CA38" s="112" t="n"/>
      <c r="CB38" s="113" t="n"/>
      <c r="CC38" s="112" t="n"/>
      <c r="CD38" s="113" t="n"/>
      <c r="CE38" s="112" t="n"/>
      <c r="CF38" s="113" t="n"/>
      <c r="CG38" s="112" t="n"/>
      <c r="CH38" s="113" t="n"/>
      <c r="CI38" s="112" t="n"/>
      <c r="CJ38" s="113" t="n"/>
      <c r="CK38" s="112" t="n"/>
      <c r="CL38" s="113" t="n"/>
      <c r="CM38" s="187" t="n"/>
      <c r="CN38" s="115" t="n"/>
      <c r="CO38" s="116" t="n"/>
      <c r="CP38" s="115" t="n"/>
      <c r="CQ38" s="116" t="n"/>
      <c r="CR38" s="115" t="n"/>
      <c r="CS38" s="116" t="n"/>
      <c r="CT38" s="115" t="n"/>
      <c r="CU38" s="116" t="n"/>
      <c r="CV38" s="115" t="n"/>
      <c r="CW38" s="116" t="n"/>
      <c r="CX38" s="115" t="n"/>
      <c r="CY38" s="116" t="n"/>
      <c r="CZ38" s="115" t="n"/>
      <c r="DA38" s="116" t="n"/>
      <c r="DB38" s="115" t="n"/>
      <c r="DC38" s="116" t="n"/>
      <c r="DD38" s="188" t="n"/>
      <c r="DE38" s="118" t="n"/>
      <c r="DF38" s="119" t="n"/>
      <c r="DG38" s="118" t="n"/>
      <c r="DH38" s="119" t="n"/>
      <c r="DI38" s="118" t="n"/>
      <c r="DJ38" s="119" t="n"/>
      <c r="DK38" s="118" t="n"/>
      <c r="DL38" s="119" t="n"/>
      <c r="DM38" s="118" t="n"/>
      <c r="DN38" s="119" t="n"/>
      <c r="DO38" s="118" t="n"/>
      <c r="DP38" s="119" t="n"/>
      <c r="DQ38" s="118" t="n"/>
      <c r="DR38" s="119" t="n"/>
      <c r="DS38" s="118" t="n"/>
      <c r="DT38" s="119" t="n"/>
      <c r="DU38" s="189" t="n"/>
      <c r="DV38" s="121" t="n"/>
      <c r="DW38" s="122" t="n"/>
      <c r="DX38" s="121" t="n"/>
      <c r="DY38" s="122" t="n"/>
      <c r="DZ38" s="121" t="n"/>
      <c r="EA38" s="122" t="n"/>
      <c r="EB38" s="121" t="n"/>
      <c r="EC38" s="122" t="n"/>
      <c r="ED38" s="121" t="n"/>
      <c r="EE38" s="122" t="n"/>
      <c r="EF38" s="121" t="n"/>
      <c r="EG38" s="122" t="n"/>
      <c r="EH38" s="121" t="n"/>
      <c r="EI38" s="122" t="n"/>
      <c r="EJ38" s="121" t="n"/>
      <c r="EK38" s="122" t="n"/>
      <c r="EL38" s="190" t="n"/>
      <c r="EM38" s="124" t="n"/>
      <c r="EN38" s="125" t="n"/>
      <c r="EO38" s="124" t="n"/>
      <c r="EP38" s="125" t="n"/>
      <c r="EQ38" s="124" t="n"/>
      <c r="ER38" s="125" t="n"/>
      <c r="ES38" s="124" t="n"/>
      <c r="ET38" s="125" t="n"/>
      <c r="EU38" s="124" t="n"/>
      <c r="EV38" s="125" t="n"/>
      <c r="EW38" s="124" t="n"/>
      <c r="EX38" s="125" t="n"/>
      <c r="EY38" s="124" t="n"/>
      <c r="EZ38" s="125" t="n"/>
      <c r="FA38" s="124" t="n"/>
      <c r="FB38" s="125" t="n"/>
      <c r="FC38" s="191" t="n"/>
      <c r="FD38" s="127" t="n"/>
      <c r="FE38" s="128" t="n"/>
      <c r="FF38" s="127" t="n"/>
      <c r="FG38" s="128" t="n"/>
      <c r="FH38" s="127" t="n"/>
      <c r="FI38" s="128" t="n"/>
      <c r="FJ38" s="127" t="n"/>
      <c r="FK38" s="128" t="n"/>
      <c r="FL38" s="127" t="n"/>
      <c r="FM38" s="128" t="n"/>
      <c r="FN38" s="127" t="n"/>
      <c r="FO38" s="128" t="n"/>
      <c r="FP38" s="127" t="n"/>
      <c r="FQ38" s="128" t="n"/>
      <c r="FR38" s="127" t="n"/>
      <c r="FS38" s="128" t="n"/>
      <c r="FT38" s="192" t="n"/>
      <c r="FU38" s="130" t="n"/>
      <c r="FV38" s="131" t="n"/>
      <c r="FW38" s="130" t="n"/>
      <c r="FX38" s="131" t="n"/>
      <c r="FY38" s="130" t="n"/>
      <c r="FZ38" s="131" t="n"/>
      <c r="GA38" s="130" t="n"/>
      <c r="GB38" s="131" t="n"/>
      <c r="GC38" s="130" t="n"/>
      <c r="GD38" s="131" t="n"/>
      <c r="GE38" s="130" t="n"/>
      <c r="GF38" s="131" t="n"/>
      <c r="GG38" s="130" t="n"/>
      <c r="GH38" s="131" t="n"/>
      <c r="GI38" s="130" t="n"/>
      <c r="GJ38" s="131" t="n"/>
      <c r="GK38" s="193" t="n"/>
      <c r="GL38" s="133" t="n"/>
      <c r="GM38" s="134" t="n"/>
      <c r="GN38" s="133" t="n"/>
      <c r="GO38" s="134" t="n"/>
      <c r="GP38" s="133" t="n"/>
      <c r="GQ38" s="134" t="n"/>
      <c r="GR38" s="133" t="n"/>
      <c r="GS38" s="134" t="n"/>
      <c r="GT38" s="133" t="n"/>
      <c r="GU38" s="134" t="n"/>
      <c r="GV38" s="133" t="n"/>
      <c r="GW38" s="134" t="n"/>
      <c r="GX38" s="133" t="n"/>
      <c r="GY38" s="134" t="n"/>
      <c r="GZ38" s="133" t="n"/>
      <c r="HA38" s="134" t="n"/>
      <c r="HB38" s="194" t="n"/>
      <c r="HC38">
        <f>SUMIFS($G38:$HA38,$G$36:$HA$36,"درجة",$H38:$HB38,"&gt;0")</f>
        <v>0</v>
      </c>
      <c r="HD38">
        <f>SUMIFS($H38:$HB38,$G$36:$HA$36,"درجة",$G38:$HA38,"&gt;=0")</f>
        <v>0</v>
      </c>
    </row>
    <row r="39" ht="22.5" customHeight="1">
      <c r="A39" s="36" t="n">
        <v>3</v>
      </c>
      <c r="B39" s="181" t="str">
        <f>IF($B6="","",$B6)</f>
        <v/>
      </c>
      <c r="C39" s="136" t="str">
        <f>IF(OR($B39="",$HD39=0),"",ROUND($HC39,2)&amp;" / "&amp;$HD39)</f>
        <v/>
      </c>
      <c r="D39" s="182" t="str">
        <f>IF(OR($B39="",$HD39=0),"",$HC39/$HD39)</f>
        <v/>
      </c>
      <c r="E39" s="136" t="n"/>
      <c r="F39" s="99" t="str">
        <f>IF($D39="","",IF($D39&gt;=0.85,"ممتاز",IF($D39&gt;=0.75,"جيد جداً",IF($D39&gt;=0.65,"جيد",IF($D39&gt;=0.5,"مقبول","ضعيف")))))</f>
        <v/>
      </c>
      <c r="G39" s="100" t="n"/>
      <c r="H39" s="101" t="n"/>
      <c r="I39" s="100" t="n"/>
      <c r="J39" s="101" t="n"/>
      <c r="K39" s="100" t="n"/>
      <c r="L39" s="101" t="n"/>
      <c r="M39" s="100" t="n"/>
      <c r="N39" s="101" t="n"/>
      <c r="O39" s="100" t="n"/>
      <c r="P39" s="101" t="n"/>
      <c r="Q39" s="100" t="n"/>
      <c r="R39" s="101" t="n"/>
      <c r="S39" s="100" t="n"/>
      <c r="T39" s="101" t="n"/>
      <c r="U39" s="100" t="n"/>
      <c r="V39" s="101" t="n"/>
      <c r="W39" s="183" t="n"/>
      <c r="X39" s="103" t="n"/>
      <c r="Y39" s="104" t="n"/>
      <c r="Z39" s="103" t="n"/>
      <c r="AA39" s="104" t="n"/>
      <c r="AB39" s="103" t="n"/>
      <c r="AC39" s="104" t="n"/>
      <c r="AD39" s="103" t="n"/>
      <c r="AE39" s="104" t="n"/>
      <c r="AF39" s="103" t="n"/>
      <c r="AG39" s="104" t="n"/>
      <c r="AH39" s="103" t="n"/>
      <c r="AI39" s="104" t="n"/>
      <c r="AJ39" s="103" t="n"/>
      <c r="AK39" s="104" t="n"/>
      <c r="AL39" s="103" t="n"/>
      <c r="AM39" s="104" t="n"/>
      <c r="AN39" s="184" t="n"/>
      <c r="AO39" s="106" t="n"/>
      <c r="AP39" s="107" t="n"/>
      <c r="AQ39" s="106" t="n"/>
      <c r="AR39" s="107" t="n"/>
      <c r="AS39" s="106" t="n"/>
      <c r="AT39" s="107" t="n"/>
      <c r="AU39" s="106" t="n"/>
      <c r="AV39" s="107" t="n"/>
      <c r="AW39" s="106" t="n"/>
      <c r="AX39" s="107" t="n"/>
      <c r="AY39" s="106" t="n"/>
      <c r="AZ39" s="107" t="n"/>
      <c r="BA39" s="106" t="n"/>
      <c r="BB39" s="107" t="n"/>
      <c r="BC39" s="106" t="n"/>
      <c r="BD39" s="107" t="n"/>
      <c r="BE39" s="185" t="n"/>
      <c r="BF39" s="109" t="n"/>
      <c r="BG39" s="110" t="n"/>
      <c r="BH39" s="109" t="n"/>
      <c r="BI39" s="110" t="n"/>
      <c r="BJ39" s="109" t="n"/>
      <c r="BK39" s="110" t="n"/>
      <c r="BL39" s="109" t="n"/>
      <c r="BM39" s="110" t="n"/>
      <c r="BN39" s="109" t="n"/>
      <c r="BO39" s="110" t="n"/>
      <c r="BP39" s="109" t="n"/>
      <c r="BQ39" s="110" t="n"/>
      <c r="BR39" s="109" t="n"/>
      <c r="BS39" s="110" t="n"/>
      <c r="BT39" s="109" t="n"/>
      <c r="BU39" s="110" t="n"/>
      <c r="BV39" s="186" t="n"/>
      <c r="BW39" s="112" t="n"/>
      <c r="BX39" s="113" t="n"/>
      <c r="BY39" s="112" t="n"/>
      <c r="BZ39" s="113" t="n"/>
      <c r="CA39" s="112" t="n"/>
      <c r="CB39" s="113" t="n"/>
      <c r="CC39" s="112" t="n"/>
      <c r="CD39" s="113" t="n"/>
      <c r="CE39" s="112" t="n"/>
      <c r="CF39" s="113" t="n"/>
      <c r="CG39" s="112" t="n"/>
      <c r="CH39" s="113" t="n"/>
      <c r="CI39" s="112" t="n"/>
      <c r="CJ39" s="113" t="n"/>
      <c r="CK39" s="112" t="n"/>
      <c r="CL39" s="113" t="n"/>
      <c r="CM39" s="187" t="n"/>
      <c r="CN39" s="115" t="n"/>
      <c r="CO39" s="116" t="n"/>
      <c r="CP39" s="115" t="n"/>
      <c r="CQ39" s="116" t="n"/>
      <c r="CR39" s="115" t="n"/>
      <c r="CS39" s="116" t="n"/>
      <c r="CT39" s="115" t="n"/>
      <c r="CU39" s="116" t="n"/>
      <c r="CV39" s="115" t="n"/>
      <c r="CW39" s="116" t="n"/>
      <c r="CX39" s="115" t="n"/>
      <c r="CY39" s="116" t="n"/>
      <c r="CZ39" s="115" t="n"/>
      <c r="DA39" s="116" t="n"/>
      <c r="DB39" s="115" t="n"/>
      <c r="DC39" s="116" t="n"/>
      <c r="DD39" s="188" t="n"/>
      <c r="DE39" s="118" t="n"/>
      <c r="DF39" s="119" t="n"/>
      <c r="DG39" s="118" t="n"/>
      <c r="DH39" s="119" t="n"/>
      <c r="DI39" s="118" t="n"/>
      <c r="DJ39" s="119" t="n"/>
      <c r="DK39" s="118" t="n"/>
      <c r="DL39" s="119" t="n"/>
      <c r="DM39" s="118" t="n"/>
      <c r="DN39" s="119" t="n"/>
      <c r="DO39" s="118" t="n"/>
      <c r="DP39" s="119" t="n"/>
      <c r="DQ39" s="118" t="n"/>
      <c r="DR39" s="119" t="n"/>
      <c r="DS39" s="118" t="n"/>
      <c r="DT39" s="119" t="n"/>
      <c r="DU39" s="189" t="n"/>
      <c r="DV39" s="121" t="n"/>
      <c r="DW39" s="122" t="n"/>
      <c r="DX39" s="121" t="n"/>
      <c r="DY39" s="122" t="n"/>
      <c r="DZ39" s="121" t="n"/>
      <c r="EA39" s="122" t="n"/>
      <c r="EB39" s="121" t="n"/>
      <c r="EC39" s="122" t="n"/>
      <c r="ED39" s="121" t="n"/>
      <c r="EE39" s="122" t="n"/>
      <c r="EF39" s="121" t="n"/>
      <c r="EG39" s="122" t="n"/>
      <c r="EH39" s="121" t="n"/>
      <c r="EI39" s="122" t="n"/>
      <c r="EJ39" s="121" t="n"/>
      <c r="EK39" s="122" t="n"/>
      <c r="EL39" s="190" t="n"/>
      <c r="EM39" s="124" t="n"/>
      <c r="EN39" s="125" t="n"/>
      <c r="EO39" s="124" t="n"/>
      <c r="EP39" s="125" t="n"/>
      <c r="EQ39" s="124" t="n"/>
      <c r="ER39" s="125" t="n"/>
      <c r="ES39" s="124" t="n"/>
      <c r="ET39" s="125" t="n"/>
      <c r="EU39" s="124" t="n"/>
      <c r="EV39" s="125" t="n"/>
      <c r="EW39" s="124" t="n"/>
      <c r="EX39" s="125" t="n"/>
      <c r="EY39" s="124" t="n"/>
      <c r="EZ39" s="125" t="n"/>
      <c r="FA39" s="124" t="n"/>
      <c r="FB39" s="125" t="n"/>
      <c r="FC39" s="191" t="n"/>
      <c r="FD39" s="127" t="n"/>
      <c r="FE39" s="128" t="n"/>
      <c r="FF39" s="127" t="n"/>
      <c r="FG39" s="128" t="n"/>
      <c r="FH39" s="127" t="n"/>
      <c r="FI39" s="128" t="n"/>
      <c r="FJ39" s="127" t="n"/>
      <c r="FK39" s="128" t="n"/>
      <c r="FL39" s="127" t="n"/>
      <c r="FM39" s="128" t="n"/>
      <c r="FN39" s="127" t="n"/>
      <c r="FO39" s="128" t="n"/>
      <c r="FP39" s="127" t="n"/>
      <c r="FQ39" s="128" t="n"/>
      <c r="FR39" s="127" t="n"/>
      <c r="FS39" s="128" t="n"/>
      <c r="FT39" s="192" t="n"/>
      <c r="FU39" s="130" t="n"/>
      <c r="FV39" s="131" t="n"/>
      <c r="FW39" s="130" t="n"/>
      <c r="FX39" s="131" t="n"/>
      <c r="FY39" s="130" t="n"/>
      <c r="FZ39" s="131" t="n"/>
      <c r="GA39" s="130" t="n"/>
      <c r="GB39" s="131" t="n"/>
      <c r="GC39" s="130" t="n"/>
      <c r="GD39" s="131" t="n"/>
      <c r="GE39" s="130" t="n"/>
      <c r="GF39" s="131" t="n"/>
      <c r="GG39" s="130" t="n"/>
      <c r="GH39" s="131" t="n"/>
      <c r="GI39" s="130" t="n"/>
      <c r="GJ39" s="131" t="n"/>
      <c r="GK39" s="193" t="n"/>
      <c r="GL39" s="133" t="n"/>
      <c r="GM39" s="134" t="n"/>
      <c r="GN39" s="133" t="n"/>
      <c r="GO39" s="134" t="n"/>
      <c r="GP39" s="133" t="n"/>
      <c r="GQ39" s="134" t="n"/>
      <c r="GR39" s="133" t="n"/>
      <c r="GS39" s="134" t="n"/>
      <c r="GT39" s="133" t="n"/>
      <c r="GU39" s="134" t="n"/>
      <c r="GV39" s="133" t="n"/>
      <c r="GW39" s="134" t="n"/>
      <c r="GX39" s="133" t="n"/>
      <c r="GY39" s="134" t="n"/>
      <c r="GZ39" s="133" t="n"/>
      <c r="HA39" s="134" t="n"/>
      <c r="HB39" s="194" t="n"/>
      <c r="HC39">
        <f>SUMIFS($G39:$HA39,$G$36:$HA$36,"درجة",$H39:$HB39,"&gt;0")</f>
        <v>0</v>
      </c>
      <c r="HD39">
        <f>SUMIFS($H39:$HB39,$G$36:$HA$36,"درجة",$G39:$HA39,"&gt;=0")</f>
        <v>0</v>
      </c>
    </row>
    <row r="40" ht="22.5" customHeight="1">
      <c r="A40" s="36" t="n">
        <v>4</v>
      </c>
      <c r="B40" s="181" t="str">
        <f>IF($B7="","",$B7)</f>
        <v/>
      </c>
      <c r="C40" s="136" t="str">
        <f>IF(OR($B40="",$HD40=0),"",ROUND($HC40,2)&amp;" / "&amp;$HD40)</f>
        <v/>
      </c>
      <c r="D40" s="182" t="str">
        <f>IF(OR($B40="",$HD40=0),"",$HC40/$HD40)</f>
        <v/>
      </c>
      <c r="E40" s="136" t="n"/>
      <c r="F40" s="99" t="str">
        <f>IF($D40="","",IF($D40&gt;=0.85,"ممتاز",IF($D40&gt;=0.75,"جيد جداً",IF($D40&gt;=0.65,"جيد",IF($D40&gt;=0.5,"مقبول","ضعيف")))))</f>
        <v/>
      </c>
      <c r="G40" s="100" t="n"/>
      <c r="H40" s="101" t="n"/>
      <c r="I40" s="100" t="n"/>
      <c r="J40" s="101" t="n"/>
      <c r="K40" s="100" t="n"/>
      <c r="L40" s="101" t="n"/>
      <c r="M40" s="100" t="n"/>
      <c r="N40" s="101" t="n"/>
      <c r="O40" s="100" t="n"/>
      <c r="P40" s="101" t="n"/>
      <c r="Q40" s="100" t="n"/>
      <c r="R40" s="101" t="n"/>
      <c r="S40" s="100" t="n"/>
      <c r="T40" s="101" t="n"/>
      <c r="U40" s="100" t="n"/>
      <c r="V40" s="101" t="n"/>
      <c r="W40" s="183" t="n"/>
      <c r="X40" s="103" t="n"/>
      <c r="Y40" s="104" t="n"/>
      <c r="Z40" s="103" t="n"/>
      <c r="AA40" s="104" t="n"/>
      <c r="AB40" s="103" t="n"/>
      <c r="AC40" s="104" t="n"/>
      <c r="AD40" s="103" t="n"/>
      <c r="AE40" s="104" t="n"/>
      <c r="AF40" s="103" t="n"/>
      <c r="AG40" s="104" t="n"/>
      <c r="AH40" s="103" t="n"/>
      <c r="AI40" s="104" t="n"/>
      <c r="AJ40" s="103" t="n"/>
      <c r="AK40" s="104" t="n"/>
      <c r="AL40" s="103" t="n"/>
      <c r="AM40" s="104" t="n"/>
      <c r="AN40" s="184" t="n"/>
      <c r="AO40" s="106" t="n"/>
      <c r="AP40" s="107" t="n"/>
      <c r="AQ40" s="106" t="n"/>
      <c r="AR40" s="107" t="n"/>
      <c r="AS40" s="106" t="n"/>
      <c r="AT40" s="107" t="n"/>
      <c r="AU40" s="106" t="n"/>
      <c r="AV40" s="107" t="n"/>
      <c r="AW40" s="106" t="n"/>
      <c r="AX40" s="107" t="n"/>
      <c r="AY40" s="106" t="n"/>
      <c r="AZ40" s="107" t="n"/>
      <c r="BA40" s="106" t="n"/>
      <c r="BB40" s="107" t="n"/>
      <c r="BC40" s="106" t="n"/>
      <c r="BD40" s="107" t="n"/>
      <c r="BE40" s="185" t="n"/>
      <c r="BF40" s="109" t="n"/>
      <c r="BG40" s="110" t="n"/>
      <c r="BH40" s="109" t="n"/>
      <c r="BI40" s="110" t="n"/>
      <c r="BJ40" s="109" t="n"/>
      <c r="BK40" s="110" t="n"/>
      <c r="BL40" s="109" t="n"/>
      <c r="BM40" s="110" t="n"/>
      <c r="BN40" s="109" t="n"/>
      <c r="BO40" s="110" t="n"/>
      <c r="BP40" s="109" t="n"/>
      <c r="BQ40" s="110" t="n"/>
      <c r="BR40" s="109" t="n"/>
      <c r="BS40" s="110" t="n"/>
      <c r="BT40" s="109" t="n"/>
      <c r="BU40" s="110" t="n"/>
      <c r="BV40" s="186" t="n"/>
      <c r="BW40" s="112" t="n"/>
      <c r="BX40" s="113" t="n"/>
      <c r="BY40" s="112" t="n"/>
      <c r="BZ40" s="113" t="n"/>
      <c r="CA40" s="112" t="n"/>
      <c r="CB40" s="113" t="n"/>
      <c r="CC40" s="112" t="n"/>
      <c r="CD40" s="113" t="n"/>
      <c r="CE40" s="112" t="n"/>
      <c r="CF40" s="113" t="n"/>
      <c r="CG40" s="112" t="n"/>
      <c r="CH40" s="113" t="n"/>
      <c r="CI40" s="112" t="n"/>
      <c r="CJ40" s="113" t="n"/>
      <c r="CK40" s="112" t="n"/>
      <c r="CL40" s="113" t="n"/>
      <c r="CM40" s="187" t="n"/>
      <c r="CN40" s="115" t="n"/>
      <c r="CO40" s="116" t="n"/>
      <c r="CP40" s="115" t="n"/>
      <c r="CQ40" s="116" t="n"/>
      <c r="CR40" s="115" t="n"/>
      <c r="CS40" s="116" t="n"/>
      <c r="CT40" s="115" t="n"/>
      <c r="CU40" s="116" t="n"/>
      <c r="CV40" s="115" t="n"/>
      <c r="CW40" s="116" t="n"/>
      <c r="CX40" s="115" t="n"/>
      <c r="CY40" s="116" t="n"/>
      <c r="CZ40" s="115" t="n"/>
      <c r="DA40" s="116" t="n"/>
      <c r="DB40" s="115" t="n"/>
      <c r="DC40" s="116" t="n"/>
      <c r="DD40" s="188" t="n"/>
      <c r="DE40" s="118" t="n"/>
      <c r="DF40" s="119" t="n"/>
      <c r="DG40" s="118" t="n"/>
      <c r="DH40" s="119" t="n"/>
      <c r="DI40" s="118" t="n"/>
      <c r="DJ40" s="119" t="n"/>
      <c r="DK40" s="118" t="n"/>
      <c r="DL40" s="119" t="n"/>
      <c r="DM40" s="118" t="n"/>
      <c r="DN40" s="119" t="n"/>
      <c r="DO40" s="118" t="n"/>
      <c r="DP40" s="119" t="n"/>
      <c r="DQ40" s="118" t="n"/>
      <c r="DR40" s="119" t="n"/>
      <c r="DS40" s="118" t="n"/>
      <c r="DT40" s="119" t="n"/>
      <c r="DU40" s="189" t="n"/>
      <c r="DV40" s="121" t="n"/>
      <c r="DW40" s="122" t="n"/>
      <c r="DX40" s="121" t="n"/>
      <c r="DY40" s="122" t="n"/>
      <c r="DZ40" s="121" t="n"/>
      <c r="EA40" s="122" t="n"/>
      <c r="EB40" s="121" t="n"/>
      <c r="EC40" s="122" t="n"/>
      <c r="ED40" s="121" t="n"/>
      <c r="EE40" s="122" t="n"/>
      <c r="EF40" s="121" t="n"/>
      <c r="EG40" s="122" t="n"/>
      <c r="EH40" s="121" t="n"/>
      <c r="EI40" s="122" t="n"/>
      <c r="EJ40" s="121" t="n"/>
      <c r="EK40" s="122" t="n"/>
      <c r="EL40" s="190" t="n"/>
      <c r="EM40" s="124" t="n"/>
      <c r="EN40" s="125" t="n"/>
      <c r="EO40" s="124" t="n"/>
      <c r="EP40" s="125" t="n"/>
      <c r="EQ40" s="124" t="n"/>
      <c r="ER40" s="125" t="n"/>
      <c r="ES40" s="124" t="n"/>
      <c r="ET40" s="125" t="n"/>
      <c r="EU40" s="124" t="n"/>
      <c r="EV40" s="125" t="n"/>
      <c r="EW40" s="124" t="n"/>
      <c r="EX40" s="125" t="n"/>
      <c r="EY40" s="124" t="n"/>
      <c r="EZ40" s="125" t="n"/>
      <c r="FA40" s="124" t="n"/>
      <c r="FB40" s="125" t="n"/>
      <c r="FC40" s="191" t="n"/>
      <c r="FD40" s="127" t="n"/>
      <c r="FE40" s="128" t="n"/>
      <c r="FF40" s="127" t="n"/>
      <c r="FG40" s="128" t="n"/>
      <c r="FH40" s="127" t="n"/>
      <c r="FI40" s="128" t="n"/>
      <c r="FJ40" s="127" t="n"/>
      <c r="FK40" s="128" t="n"/>
      <c r="FL40" s="127" t="n"/>
      <c r="FM40" s="128" t="n"/>
      <c r="FN40" s="127" t="n"/>
      <c r="FO40" s="128" t="n"/>
      <c r="FP40" s="127" t="n"/>
      <c r="FQ40" s="128" t="n"/>
      <c r="FR40" s="127" t="n"/>
      <c r="FS40" s="128" t="n"/>
      <c r="FT40" s="192" t="n"/>
      <c r="FU40" s="130" t="n"/>
      <c r="FV40" s="131" t="n"/>
      <c r="FW40" s="130" t="n"/>
      <c r="FX40" s="131" t="n"/>
      <c r="FY40" s="130" t="n"/>
      <c r="FZ40" s="131" t="n"/>
      <c r="GA40" s="130" t="n"/>
      <c r="GB40" s="131" t="n"/>
      <c r="GC40" s="130" t="n"/>
      <c r="GD40" s="131" t="n"/>
      <c r="GE40" s="130" t="n"/>
      <c r="GF40" s="131" t="n"/>
      <c r="GG40" s="130" t="n"/>
      <c r="GH40" s="131" t="n"/>
      <c r="GI40" s="130" t="n"/>
      <c r="GJ40" s="131" t="n"/>
      <c r="GK40" s="193" t="n"/>
      <c r="GL40" s="133" t="n"/>
      <c r="GM40" s="134" t="n"/>
      <c r="GN40" s="133" t="n"/>
      <c r="GO40" s="134" t="n"/>
      <c r="GP40" s="133" t="n"/>
      <c r="GQ40" s="134" t="n"/>
      <c r="GR40" s="133" t="n"/>
      <c r="GS40" s="134" t="n"/>
      <c r="GT40" s="133" t="n"/>
      <c r="GU40" s="134" t="n"/>
      <c r="GV40" s="133" t="n"/>
      <c r="GW40" s="134" t="n"/>
      <c r="GX40" s="133" t="n"/>
      <c r="GY40" s="134" t="n"/>
      <c r="GZ40" s="133" t="n"/>
      <c r="HA40" s="134" t="n"/>
      <c r="HB40" s="194" t="n"/>
      <c r="HC40">
        <f>SUMIFS($G40:$HA40,$G$36:$HA$36,"درجة",$H40:$HB40,"&gt;0")</f>
        <v>0</v>
      </c>
      <c r="HD40">
        <f>SUMIFS($H40:$HB40,$G$36:$HA$36,"درجة",$G40:$HA40,"&gt;=0")</f>
        <v>0</v>
      </c>
    </row>
    <row r="41" ht="22.5" customHeight="1">
      <c r="A41" s="36" t="n">
        <v>5</v>
      </c>
      <c r="B41" s="181" t="str">
        <f>IF($B8="","",$B8)</f>
        <v/>
      </c>
      <c r="C41" s="136" t="str">
        <f>IF(OR($B41="",$HD41=0),"",ROUND($HC41,2)&amp;" / "&amp;$HD41)</f>
        <v/>
      </c>
      <c r="D41" s="182" t="str">
        <f>IF(OR($B41="",$HD41=0),"",$HC41/$HD41)</f>
        <v/>
      </c>
      <c r="E41" s="136" t="n"/>
      <c r="F41" s="99" t="str">
        <f>IF($D41="","",IF($D41&gt;=0.85,"ممتاز",IF($D41&gt;=0.75,"جيد جداً",IF($D41&gt;=0.65,"جيد",IF($D41&gt;=0.5,"مقبول","ضعيف")))))</f>
        <v/>
      </c>
      <c r="G41" s="100" t="n"/>
      <c r="H41" s="101" t="n"/>
      <c r="I41" s="100" t="n"/>
      <c r="J41" s="101" t="n"/>
      <c r="K41" s="100" t="n"/>
      <c r="L41" s="101" t="n"/>
      <c r="M41" s="100" t="n"/>
      <c r="N41" s="101" t="n"/>
      <c r="O41" s="100" t="n"/>
      <c r="P41" s="101" t="n"/>
      <c r="Q41" s="100" t="n"/>
      <c r="R41" s="101" t="n"/>
      <c r="S41" s="100" t="n"/>
      <c r="T41" s="101" t="n"/>
      <c r="U41" s="100" t="n"/>
      <c r="V41" s="101" t="n"/>
      <c r="W41" s="183" t="n"/>
      <c r="X41" s="103" t="n"/>
      <c r="Y41" s="104" t="n"/>
      <c r="Z41" s="103" t="n"/>
      <c r="AA41" s="104" t="n"/>
      <c r="AB41" s="103" t="n"/>
      <c r="AC41" s="104" t="n"/>
      <c r="AD41" s="103" t="n"/>
      <c r="AE41" s="104" t="n"/>
      <c r="AF41" s="103" t="n"/>
      <c r="AG41" s="104" t="n"/>
      <c r="AH41" s="103" t="n"/>
      <c r="AI41" s="104" t="n"/>
      <c r="AJ41" s="103" t="n"/>
      <c r="AK41" s="104" t="n"/>
      <c r="AL41" s="103" t="n"/>
      <c r="AM41" s="104" t="n"/>
      <c r="AN41" s="184" t="n"/>
      <c r="AO41" s="106" t="n"/>
      <c r="AP41" s="107" t="n"/>
      <c r="AQ41" s="106" t="n"/>
      <c r="AR41" s="107" t="n"/>
      <c r="AS41" s="106" t="n"/>
      <c r="AT41" s="107" t="n"/>
      <c r="AU41" s="106" t="n"/>
      <c r="AV41" s="107" t="n"/>
      <c r="AW41" s="106" t="n"/>
      <c r="AX41" s="107" t="n"/>
      <c r="AY41" s="106" t="n"/>
      <c r="AZ41" s="107" t="n"/>
      <c r="BA41" s="106" t="n"/>
      <c r="BB41" s="107" t="n"/>
      <c r="BC41" s="106" t="n"/>
      <c r="BD41" s="107" t="n"/>
      <c r="BE41" s="185" t="n"/>
      <c r="BF41" s="109" t="n"/>
      <c r="BG41" s="110" t="n"/>
      <c r="BH41" s="109" t="n"/>
      <c r="BI41" s="110" t="n"/>
      <c r="BJ41" s="109" t="n"/>
      <c r="BK41" s="110" t="n"/>
      <c r="BL41" s="109" t="n"/>
      <c r="BM41" s="110" t="n"/>
      <c r="BN41" s="109" t="n"/>
      <c r="BO41" s="110" t="n"/>
      <c r="BP41" s="109" t="n"/>
      <c r="BQ41" s="110" t="n"/>
      <c r="BR41" s="109" t="n"/>
      <c r="BS41" s="110" t="n"/>
      <c r="BT41" s="109" t="n"/>
      <c r="BU41" s="110" t="n"/>
      <c r="BV41" s="186" t="n"/>
      <c r="BW41" s="112" t="n"/>
      <c r="BX41" s="113" t="n"/>
      <c r="BY41" s="112" t="n"/>
      <c r="BZ41" s="113" t="n"/>
      <c r="CA41" s="112" t="n"/>
      <c r="CB41" s="113" t="n"/>
      <c r="CC41" s="112" t="n"/>
      <c r="CD41" s="113" t="n"/>
      <c r="CE41" s="112" t="n"/>
      <c r="CF41" s="113" t="n"/>
      <c r="CG41" s="112" t="n"/>
      <c r="CH41" s="113" t="n"/>
      <c r="CI41" s="112" t="n"/>
      <c r="CJ41" s="113" t="n"/>
      <c r="CK41" s="112" t="n"/>
      <c r="CL41" s="113" t="n"/>
      <c r="CM41" s="187" t="n"/>
      <c r="CN41" s="115" t="n"/>
      <c r="CO41" s="116" t="n"/>
      <c r="CP41" s="115" t="n"/>
      <c r="CQ41" s="116" t="n"/>
      <c r="CR41" s="115" t="n"/>
      <c r="CS41" s="116" t="n"/>
      <c r="CT41" s="115" t="n"/>
      <c r="CU41" s="116" t="n"/>
      <c r="CV41" s="115" t="n"/>
      <c r="CW41" s="116" t="n"/>
      <c r="CX41" s="115" t="n"/>
      <c r="CY41" s="116" t="n"/>
      <c r="CZ41" s="115" t="n"/>
      <c r="DA41" s="116" t="n"/>
      <c r="DB41" s="115" t="n"/>
      <c r="DC41" s="116" t="n"/>
      <c r="DD41" s="188" t="n"/>
      <c r="DE41" s="118" t="n"/>
      <c r="DF41" s="119" t="n"/>
      <c r="DG41" s="118" t="n"/>
      <c r="DH41" s="119" t="n"/>
      <c r="DI41" s="118" t="n"/>
      <c r="DJ41" s="119" t="n"/>
      <c r="DK41" s="118" t="n"/>
      <c r="DL41" s="119" t="n"/>
      <c r="DM41" s="118" t="n"/>
      <c r="DN41" s="119" t="n"/>
      <c r="DO41" s="118" t="n"/>
      <c r="DP41" s="119" t="n"/>
      <c r="DQ41" s="118" t="n"/>
      <c r="DR41" s="119" t="n"/>
      <c r="DS41" s="118" t="n"/>
      <c r="DT41" s="119" t="n"/>
      <c r="DU41" s="189" t="n"/>
      <c r="DV41" s="121" t="n"/>
      <c r="DW41" s="122" t="n"/>
      <c r="DX41" s="121" t="n"/>
      <c r="DY41" s="122" t="n"/>
      <c r="DZ41" s="121" t="n"/>
      <c r="EA41" s="122" t="n"/>
      <c r="EB41" s="121" t="n"/>
      <c r="EC41" s="122" t="n"/>
      <c r="ED41" s="121" t="n"/>
      <c r="EE41" s="122" t="n"/>
      <c r="EF41" s="121" t="n"/>
      <c r="EG41" s="122" t="n"/>
      <c r="EH41" s="121" t="n"/>
      <c r="EI41" s="122" t="n"/>
      <c r="EJ41" s="121" t="n"/>
      <c r="EK41" s="122" t="n"/>
      <c r="EL41" s="190" t="n"/>
      <c r="EM41" s="124" t="n"/>
      <c r="EN41" s="125" t="n"/>
      <c r="EO41" s="124" t="n"/>
      <c r="EP41" s="125" t="n"/>
      <c r="EQ41" s="124" t="n"/>
      <c r="ER41" s="125" t="n"/>
      <c r="ES41" s="124" t="n"/>
      <c r="ET41" s="125" t="n"/>
      <c r="EU41" s="124" t="n"/>
      <c r="EV41" s="125" t="n"/>
      <c r="EW41" s="124" t="n"/>
      <c r="EX41" s="125" t="n"/>
      <c r="EY41" s="124" t="n"/>
      <c r="EZ41" s="125" t="n"/>
      <c r="FA41" s="124" t="n"/>
      <c r="FB41" s="125" t="n"/>
      <c r="FC41" s="191" t="n"/>
      <c r="FD41" s="127" t="n"/>
      <c r="FE41" s="128" t="n"/>
      <c r="FF41" s="127" t="n"/>
      <c r="FG41" s="128" t="n"/>
      <c r="FH41" s="127" t="n"/>
      <c r="FI41" s="128" t="n"/>
      <c r="FJ41" s="127" t="n"/>
      <c r="FK41" s="128" t="n"/>
      <c r="FL41" s="127" t="n"/>
      <c r="FM41" s="128" t="n"/>
      <c r="FN41" s="127" t="n"/>
      <c r="FO41" s="128" t="n"/>
      <c r="FP41" s="127" t="n"/>
      <c r="FQ41" s="128" t="n"/>
      <c r="FR41" s="127" t="n"/>
      <c r="FS41" s="128" t="n"/>
      <c r="FT41" s="192" t="n"/>
      <c r="FU41" s="130" t="n"/>
      <c r="FV41" s="131" t="n"/>
      <c r="FW41" s="130" t="n"/>
      <c r="FX41" s="131" t="n"/>
      <c r="FY41" s="130" t="n"/>
      <c r="FZ41" s="131" t="n"/>
      <c r="GA41" s="130" t="n"/>
      <c r="GB41" s="131" t="n"/>
      <c r="GC41" s="130" t="n"/>
      <c r="GD41" s="131" t="n"/>
      <c r="GE41" s="130" t="n"/>
      <c r="GF41" s="131" t="n"/>
      <c r="GG41" s="130" t="n"/>
      <c r="GH41" s="131" t="n"/>
      <c r="GI41" s="130" t="n"/>
      <c r="GJ41" s="131" t="n"/>
      <c r="GK41" s="193" t="n"/>
      <c r="GL41" s="133" t="n"/>
      <c r="GM41" s="134" t="n"/>
      <c r="GN41" s="133" t="n"/>
      <c r="GO41" s="134" t="n"/>
      <c r="GP41" s="133" t="n"/>
      <c r="GQ41" s="134" t="n"/>
      <c r="GR41" s="133" t="n"/>
      <c r="GS41" s="134" t="n"/>
      <c r="GT41" s="133" t="n"/>
      <c r="GU41" s="134" t="n"/>
      <c r="GV41" s="133" t="n"/>
      <c r="GW41" s="134" t="n"/>
      <c r="GX41" s="133" t="n"/>
      <c r="GY41" s="134" t="n"/>
      <c r="GZ41" s="133" t="n"/>
      <c r="HA41" s="134" t="n"/>
      <c r="HB41" s="194" t="n"/>
      <c r="HC41">
        <f>SUMIFS($G41:$HA41,$G$36:$HA$36,"درجة",$H41:$HB41,"&gt;0")</f>
        <v>0</v>
      </c>
      <c r="HD41">
        <f>SUMIFS($H41:$HB41,$G$36:$HA$36,"درجة",$G41:$HA41,"&gt;=0")</f>
        <v>0</v>
      </c>
    </row>
    <row r="42" ht="22.5" customHeight="1">
      <c r="A42" s="36" t="n">
        <v>6</v>
      </c>
      <c r="B42" s="181" t="str">
        <f>IF($B9="","",$B9)</f>
        <v/>
      </c>
      <c r="C42" s="136" t="str">
        <f>IF(OR($B42="",$HD42=0),"",ROUND($HC42,2)&amp;" / "&amp;$HD42)</f>
        <v/>
      </c>
      <c r="D42" s="182" t="str">
        <f>IF(OR($B42="",$HD42=0),"",$HC42/$HD42)</f>
        <v/>
      </c>
      <c r="E42" s="136" t="n"/>
      <c r="F42" s="99" t="str">
        <f>IF($D42="","",IF($D42&gt;=0.85,"ممتاز",IF($D42&gt;=0.75,"جيد جداً",IF($D42&gt;=0.65,"جيد",IF($D42&gt;=0.5,"مقبول","ضعيف")))))</f>
        <v/>
      </c>
      <c r="G42" s="100" t="n"/>
      <c r="H42" s="101" t="n"/>
      <c r="I42" s="100" t="n"/>
      <c r="J42" s="101" t="n"/>
      <c r="K42" s="100" t="n"/>
      <c r="L42" s="101" t="n"/>
      <c r="M42" s="100" t="n"/>
      <c r="N42" s="101" t="n"/>
      <c r="O42" s="100" t="n"/>
      <c r="P42" s="101" t="n"/>
      <c r="Q42" s="100" t="n"/>
      <c r="R42" s="101" t="n"/>
      <c r="S42" s="100" t="n"/>
      <c r="T42" s="101" t="n"/>
      <c r="U42" s="100" t="n"/>
      <c r="V42" s="101" t="n"/>
      <c r="W42" s="183" t="n"/>
      <c r="X42" s="103" t="n"/>
      <c r="Y42" s="104" t="n"/>
      <c r="Z42" s="103" t="n"/>
      <c r="AA42" s="104" t="n"/>
      <c r="AB42" s="103" t="n"/>
      <c r="AC42" s="104" t="n"/>
      <c r="AD42" s="103" t="n"/>
      <c r="AE42" s="104" t="n"/>
      <c r="AF42" s="103" t="n"/>
      <c r="AG42" s="104" t="n"/>
      <c r="AH42" s="103" t="n"/>
      <c r="AI42" s="104" t="n"/>
      <c r="AJ42" s="103" t="n"/>
      <c r="AK42" s="104" t="n"/>
      <c r="AL42" s="103" t="n"/>
      <c r="AM42" s="104" t="n"/>
      <c r="AN42" s="184" t="n"/>
      <c r="AO42" s="106" t="n"/>
      <c r="AP42" s="107" t="n"/>
      <c r="AQ42" s="106" t="n"/>
      <c r="AR42" s="107" t="n"/>
      <c r="AS42" s="106" t="n"/>
      <c r="AT42" s="107" t="n"/>
      <c r="AU42" s="106" t="n"/>
      <c r="AV42" s="107" t="n"/>
      <c r="AW42" s="106" t="n"/>
      <c r="AX42" s="107" t="n"/>
      <c r="AY42" s="106" t="n"/>
      <c r="AZ42" s="107" t="n"/>
      <c r="BA42" s="106" t="n"/>
      <c r="BB42" s="107" t="n"/>
      <c r="BC42" s="106" t="n"/>
      <c r="BD42" s="107" t="n"/>
      <c r="BE42" s="185" t="n"/>
      <c r="BF42" s="109" t="n"/>
      <c r="BG42" s="110" t="n"/>
      <c r="BH42" s="109" t="n"/>
      <c r="BI42" s="110" t="n"/>
      <c r="BJ42" s="109" t="n"/>
      <c r="BK42" s="110" t="n"/>
      <c r="BL42" s="109" t="n"/>
      <c r="BM42" s="110" t="n"/>
      <c r="BN42" s="109" t="n"/>
      <c r="BO42" s="110" t="n"/>
      <c r="BP42" s="109" t="n"/>
      <c r="BQ42" s="110" t="n"/>
      <c r="BR42" s="109" t="n"/>
      <c r="BS42" s="110" t="n"/>
      <c r="BT42" s="109" t="n"/>
      <c r="BU42" s="110" t="n"/>
      <c r="BV42" s="186" t="n"/>
      <c r="BW42" s="112" t="n"/>
      <c r="BX42" s="113" t="n"/>
      <c r="BY42" s="112" t="n"/>
      <c r="BZ42" s="113" t="n"/>
      <c r="CA42" s="112" t="n"/>
      <c r="CB42" s="113" t="n"/>
      <c r="CC42" s="112" t="n"/>
      <c r="CD42" s="113" t="n"/>
      <c r="CE42" s="112" t="n"/>
      <c r="CF42" s="113" t="n"/>
      <c r="CG42" s="112" t="n"/>
      <c r="CH42" s="113" t="n"/>
      <c r="CI42" s="112" t="n"/>
      <c r="CJ42" s="113" t="n"/>
      <c r="CK42" s="112" t="n"/>
      <c r="CL42" s="113" t="n"/>
      <c r="CM42" s="187" t="n"/>
      <c r="CN42" s="115" t="n"/>
      <c r="CO42" s="116" t="n"/>
      <c r="CP42" s="115" t="n"/>
      <c r="CQ42" s="116" t="n"/>
      <c r="CR42" s="115" t="n"/>
      <c r="CS42" s="116" t="n"/>
      <c r="CT42" s="115" t="n"/>
      <c r="CU42" s="116" t="n"/>
      <c r="CV42" s="115" t="n"/>
      <c r="CW42" s="116" t="n"/>
      <c r="CX42" s="115" t="n"/>
      <c r="CY42" s="116" t="n"/>
      <c r="CZ42" s="115" t="n"/>
      <c r="DA42" s="116" t="n"/>
      <c r="DB42" s="115" t="n"/>
      <c r="DC42" s="116" t="n"/>
      <c r="DD42" s="188" t="n"/>
      <c r="DE42" s="118" t="n"/>
      <c r="DF42" s="119" t="n"/>
      <c r="DG42" s="118" t="n"/>
      <c r="DH42" s="119" t="n"/>
      <c r="DI42" s="118" t="n"/>
      <c r="DJ42" s="119" t="n"/>
      <c r="DK42" s="118" t="n"/>
      <c r="DL42" s="119" t="n"/>
      <c r="DM42" s="118" t="n"/>
      <c r="DN42" s="119" t="n"/>
      <c r="DO42" s="118" t="n"/>
      <c r="DP42" s="119" t="n"/>
      <c r="DQ42" s="118" t="n"/>
      <c r="DR42" s="119" t="n"/>
      <c r="DS42" s="118" t="n"/>
      <c r="DT42" s="119" t="n"/>
      <c r="DU42" s="189" t="n"/>
      <c r="DV42" s="121" t="n"/>
      <c r="DW42" s="122" t="n"/>
      <c r="DX42" s="121" t="n"/>
      <c r="DY42" s="122" t="n"/>
      <c r="DZ42" s="121" t="n"/>
      <c r="EA42" s="122" t="n"/>
      <c r="EB42" s="121" t="n"/>
      <c r="EC42" s="122" t="n"/>
      <c r="ED42" s="121" t="n"/>
      <c r="EE42" s="122" t="n"/>
      <c r="EF42" s="121" t="n"/>
      <c r="EG42" s="122" t="n"/>
      <c r="EH42" s="121" t="n"/>
      <c r="EI42" s="122" t="n"/>
      <c r="EJ42" s="121" t="n"/>
      <c r="EK42" s="122" t="n"/>
      <c r="EL42" s="190" t="n"/>
      <c r="EM42" s="124" t="n"/>
      <c r="EN42" s="125" t="n"/>
      <c r="EO42" s="124" t="n"/>
      <c r="EP42" s="125" t="n"/>
      <c r="EQ42" s="124" t="n"/>
      <c r="ER42" s="125" t="n"/>
      <c r="ES42" s="124" t="n"/>
      <c r="ET42" s="125" t="n"/>
      <c r="EU42" s="124" t="n"/>
      <c r="EV42" s="125" t="n"/>
      <c r="EW42" s="124" t="n"/>
      <c r="EX42" s="125" t="n"/>
      <c r="EY42" s="124" t="n"/>
      <c r="EZ42" s="125" t="n"/>
      <c r="FA42" s="124" t="n"/>
      <c r="FB42" s="125" t="n"/>
      <c r="FC42" s="191" t="n"/>
      <c r="FD42" s="127" t="n"/>
      <c r="FE42" s="128" t="n"/>
      <c r="FF42" s="127" t="n"/>
      <c r="FG42" s="128" t="n"/>
      <c r="FH42" s="127" t="n"/>
      <c r="FI42" s="128" t="n"/>
      <c r="FJ42" s="127" t="n"/>
      <c r="FK42" s="128" t="n"/>
      <c r="FL42" s="127" t="n"/>
      <c r="FM42" s="128" t="n"/>
      <c r="FN42" s="127" t="n"/>
      <c r="FO42" s="128" t="n"/>
      <c r="FP42" s="127" t="n"/>
      <c r="FQ42" s="128" t="n"/>
      <c r="FR42" s="127" t="n"/>
      <c r="FS42" s="128" t="n"/>
      <c r="FT42" s="192" t="n"/>
      <c r="FU42" s="130" t="n"/>
      <c r="FV42" s="131" t="n"/>
      <c r="FW42" s="130" t="n"/>
      <c r="FX42" s="131" t="n"/>
      <c r="FY42" s="130" t="n"/>
      <c r="FZ42" s="131" t="n"/>
      <c r="GA42" s="130" t="n"/>
      <c r="GB42" s="131" t="n"/>
      <c r="GC42" s="130" t="n"/>
      <c r="GD42" s="131" t="n"/>
      <c r="GE42" s="130" t="n"/>
      <c r="GF42" s="131" t="n"/>
      <c r="GG42" s="130" t="n"/>
      <c r="GH42" s="131" t="n"/>
      <c r="GI42" s="130" t="n"/>
      <c r="GJ42" s="131" t="n"/>
      <c r="GK42" s="193" t="n"/>
      <c r="GL42" s="133" t="n"/>
      <c r="GM42" s="134" t="n"/>
      <c r="GN42" s="133" t="n"/>
      <c r="GO42" s="134" t="n"/>
      <c r="GP42" s="133" t="n"/>
      <c r="GQ42" s="134" t="n"/>
      <c r="GR42" s="133" t="n"/>
      <c r="GS42" s="134" t="n"/>
      <c r="GT42" s="133" t="n"/>
      <c r="GU42" s="134" t="n"/>
      <c r="GV42" s="133" t="n"/>
      <c r="GW42" s="134" t="n"/>
      <c r="GX42" s="133" t="n"/>
      <c r="GY42" s="134" t="n"/>
      <c r="GZ42" s="133" t="n"/>
      <c r="HA42" s="134" t="n"/>
      <c r="HB42" s="194" t="n"/>
      <c r="HC42">
        <f>SUMIFS($G42:$HA42,$G$36:$HA$36,"درجة",$H42:$HB42,"&gt;0")</f>
        <v>0</v>
      </c>
      <c r="HD42">
        <f>SUMIFS($H42:$HB42,$G$36:$HA$36,"درجة",$G42:$HA42,"&gt;=0")</f>
        <v>0</v>
      </c>
    </row>
    <row r="43" ht="22.5" customHeight="1">
      <c r="A43" s="36" t="n">
        <v>7</v>
      </c>
      <c r="B43" s="181" t="str">
        <f>IF($B10="","",$B10)</f>
        <v/>
      </c>
      <c r="C43" s="136" t="str">
        <f>IF(OR($B43="",$HD43=0),"",ROUND($HC43,2)&amp;" / "&amp;$HD43)</f>
        <v/>
      </c>
      <c r="D43" s="182" t="str">
        <f>IF(OR($B43="",$HD43=0),"",$HC43/$HD43)</f>
        <v/>
      </c>
      <c r="E43" s="136" t="n"/>
      <c r="F43" s="99" t="str">
        <f>IF($D43="","",IF($D43&gt;=0.85,"ممتاز",IF($D43&gt;=0.75,"جيد جداً",IF($D43&gt;=0.65,"جيد",IF($D43&gt;=0.5,"مقبول","ضعيف")))))</f>
        <v/>
      </c>
      <c r="G43" s="100" t="n"/>
      <c r="H43" s="101" t="n"/>
      <c r="I43" s="100" t="n"/>
      <c r="J43" s="101" t="n"/>
      <c r="K43" s="100" t="n"/>
      <c r="L43" s="101" t="n"/>
      <c r="M43" s="100" t="n"/>
      <c r="N43" s="101" t="n"/>
      <c r="O43" s="100" t="n"/>
      <c r="P43" s="101" t="n"/>
      <c r="Q43" s="100" t="n"/>
      <c r="R43" s="101" t="n"/>
      <c r="S43" s="100" t="n"/>
      <c r="T43" s="101" t="n"/>
      <c r="U43" s="100" t="n"/>
      <c r="V43" s="101" t="n"/>
      <c r="W43" s="183" t="n"/>
      <c r="X43" s="103" t="n"/>
      <c r="Y43" s="104" t="n"/>
      <c r="Z43" s="103" t="n"/>
      <c r="AA43" s="104" t="n"/>
      <c r="AB43" s="103" t="n"/>
      <c r="AC43" s="104" t="n"/>
      <c r="AD43" s="103" t="n"/>
      <c r="AE43" s="104" t="n"/>
      <c r="AF43" s="103" t="n"/>
      <c r="AG43" s="104" t="n"/>
      <c r="AH43" s="103" t="n"/>
      <c r="AI43" s="104" t="n"/>
      <c r="AJ43" s="103" t="n"/>
      <c r="AK43" s="104" t="n"/>
      <c r="AL43" s="103" t="n"/>
      <c r="AM43" s="104" t="n"/>
      <c r="AN43" s="184" t="n"/>
      <c r="AO43" s="106" t="n"/>
      <c r="AP43" s="107" t="n"/>
      <c r="AQ43" s="106" t="n"/>
      <c r="AR43" s="107" t="n"/>
      <c r="AS43" s="106" t="n"/>
      <c r="AT43" s="107" t="n"/>
      <c r="AU43" s="106" t="n"/>
      <c r="AV43" s="107" t="n"/>
      <c r="AW43" s="106" t="n"/>
      <c r="AX43" s="107" t="n"/>
      <c r="AY43" s="106" t="n"/>
      <c r="AZ43" s="107" t="n"/>
      <c r="BA43" s="106" t="n"/>
      <c r="BB43" s="107" t="n"/>
      <c r="BC43" s="106" t="n"/>
      <c r="BD43" s="107" t="n"/>
      <c r="BE43" s="185" t="n"/>
      <c r="BF43" s="109" t="n"/>
      <c r="BG43" s="110" t="n"/>
      <c r="BH43" s="109" t="n"/>
      <c r="BI43" s="110" t="n"/>
      <c r="BJ43" s="109" t="n"/>
      <c r="BK43" s="110" t="n"/>
      <c r="BL43" s="109" t="n"/>
      <c r="BM43" s="110" t="n"/>
      <c r="BN43" s="109" t="n"/>
      <c r="BO43" s="110" t="n"/>
      <c r="BP43" s="109" t="n"/>
      <c r="BQ43" s="110" t="n"/>
      <c r="BR43" s="109" t="n"/>
      <c r="BS43" s="110" t="n"/>
      <c r="BT43" s="109" t="n"/>
      <c r="BU43" s="110" t="n"/>
      <c r="BV43" s="186" t="n"/>
      <c r="BW43" s="112" t="n"/>
      <c r="BX43" s="113" t="n"/>
      <c r="BY43" s="112" t="n"/>
      <c r="BZ43" s="113" t="n"/>
      <c r="CA43" s="112" t="n"/>
      <c r="CB43" s="113" t="n"/>
      <c r="CC43" s="112" t="n"/>
      <c r="CD43" s="113" t="n"/>
      <c r="CE43" s="112" t="n"/>
      <c r="CF43" s="113" t="n"/>
      <c r="CG43" s="112" t="n"/>
      <c r="CH43" s="113" t="n"/>
      <c r="CI43" s="112" t="n"/>
      <c r="CJ43" s="113" t="n"/>
      <c r="CK43" s="112" t="n"/>
      <c r="CL43" s="113" t="n"/>
      <c r="CM43" s="187" t="n"/>
      <c r="CN43" s="115" t="n"/>
      <c r="CO43" s="116" t="n"/>
      <c r="CP43" s="115" t="n"/>
      <c r="CQ43" s="116" t="n"/>
      <c r="CR43" s="115" t="n"/>
      <c r="CS43" s="116" t="n"/>
      <c r="CT43" s="115" t="n"/>
      <c r="CU43" s="116" t="n"/>
      <c r="CV43" s="115" t="n"/>
      <c r="CW43" s="116" t="n"/>
      <c r="CX43" s="115" t="n"/>
      <c r="CY43" s="116" t="n"/>
      <c r="CZ43" s="115" t="n"/>
      <c r="DA43" s="116" t="n"/>
      <c r="DB43" s="115" t="n"/>
      <c r="DC43" s="116" t="n"/>
      <c r="DD43" s="188" t="n"/>
      <c r="DE43" s="118" t="n"/>
      <c r="DF43" s="119" t="n"/>
      <c r="DG43" s="118" t="n"/>
      <c r="DH43" s="119" t="n"/>
      <c r="DI43" s="118" t="n"/>
      <c r="DJ43" s="119" t="n"/>
      <c r="DK43" s="118" t="n"/>
      <c r="DL43" s="119" t="n"/>
      <c r="DM43" s="118" t="n"/>
      <c r="DN43" s="119" t="n"/>
      <c r="DO43" s="118" t="n"/>
      <c r="DP43" s="119" t="n"/>
      <c r="DQ43" s="118" t="n"/>
      <c r="DR43" s="119" t="n"/>
      <c r="DS43" s="118" t="n"/>
      <c r="DT43" s="119" t="n"/>
      <c r="DU43" s="189" t="n"/>
      <c r="DV43" s="121" t="n"/>
      <c r="DW43" s="122" t="n"/>
      <c r="DX43" s="121" t="n"/>
      <c r="DY43" s="122" t="n"/>
      <c r="DZ43" s="121" t="n"/>
      <c r="EA43" s="122" t="n"/>
      <c r="EB43" s="121" t="n"/>
      <c r="EC43" s="122" t="n"/>
      <c r="ED43" s="121" t="n"/>
      <c r="EE43" s="122" t="n"/>
      <c r="EF43" s="121" t="n"/>
      <c r="EG43" s="122" t="n"/>
      <c r="EH43" s="121" t="n"/>
      <c r="EI43" s="122" t="n"/>
      <c r="EJ43" s="121" t="n"/>
      <c r="EK43" s="122" t="n"/>
      <c r="EL43" s="190" t="n"/>
      <c r="EM43" s="124" t="n"/>
      <c r="EN43" s="125" t="n"/>
      <c r="EO43" s="124" t="n"/>
      <c r="EP43" s="125" t="n"/>
      <c r="EQ43" s="124" t="n"/>
      <c r="ER43" s="125" t="n"/>
      <c r="ES43" s="124" t="n"/>
      <c r="ET43" s="125" t="n"/>
      <c r="EU43" s="124" t="n"/>
      <c r="EV43" s="125" t="n"/>
      <c r="EW43" s="124" t="n"/>
      <c r="EX43" s="125" t="n"/>
      <c r="EY43" s="124" t="n"/>
      <c r="EZ43" s="125" t="n"/>
      <c r="FA43" s="124" t="n"/>
      <c r="FB43" s="125" t="n"/>
      <c r="FC43" s="191" t="n"/>
      <c r="FD43" s="127" t="n"/>
      <c r="FE43" s="128" t="n"/>
      <c r="FF43" s="127" t="n"/>
      <c r="FG43" s="128" t="n"/>
      <c r="FH43" s="127" t="n"/>
      <c r="FI43" s="128" t="n"/>
      <c r="FJ43" s="127" t="n"/>
      <c r="FK43" s="128" t="n"/>
      <c r="FL43" s="127" t="n"/>
      <c r="FM43" s="128" t="n"/>
      <c r="FN43" s="127" t="n"/>
      <c r="FO43" s="128" t="n"/>
      <c r="FP43" s="127" t="n"/>
      <c r="FQ43" s="128" t="n"/>
      <c r="FR43" s="127" t="n"/>
      <c r="FS43" s="128" t="n"/>
      <c r="FT43" s="192" t="n"/>
      <c r="FU43" s="130" t="n"/>
      <c r="FV43" s="131" t="n"/>
      <c r="FW43" s="130" t="n"/>
      <c r="FX43" s="131" t="n"/>
      <c r="FY43" s="130" t="n"/>
      <c r="FZ43" s="131" t="n"/>
      <c r="GA43" s="130" t="n"/>
      <c r="GB43" s="131" t="n"/>
      <c r="GC43" s="130" t="n"/>
      <c r="GD43" s="131" t="n"/>
      <c r="GE43" s="130" t="n"/>
      <c r="GF43" s="131" t="n"/>
      <c r="GG43" s="130" t="n"/>
      <c r="GH43" s="131" t="n"/>
      <c r="GI43" s="130" t="n"/>
      <c r="GJ43" s="131" t="n"/>
      <c r="GK43" s="193" t="n"/>
      <c r="GL43" s="133" t="n"/>
      <c r="GM43" s="134" t="n"/>
      <c r="GN43" s="133" t="n"/>
      <c r="GO43" s="134" t="n"/>
      <c r="GP43" s="133" t="n"/>
      <c r="GQ43" s="134" t="n"/>
      <c r="GR43" s="133" t="n"/>
      <c r="GS43" s="134" t="n"/>
      <c r="GT43" s="133" t="n"/>
      <c r="GU43" s="134" t="n"/>
      <c r="GV43" s="133" t="n"/>
      <c r="GW43" s="134" t="n"/>
      <c r="GX43" s="133" t="n"/>
      <c r="GY43" s="134" t="n"/>
      <c r="GZ43" s="133" t="n"/>
      <c r="HA43" s="134" t="n"/>
      <c r="HB43" s="194" t="n"/>
      <c r="HC43">
        <f>SUMIFS($G43:$HA43,$G$36:$HA$36,"درجة",$H43:$HB43,"&gt;0")</f>
        <v>0</v>
      </c>
      <c r="HD43">
        <f>SUMIFS($H43:$HB43,$G$36:$HA$36,"درجة",$G43:$HA43,"&gt;=0")</f>
        <v>0</v>
      </c>
    </row>
    <row r="44" ht="22.5" customHeight="1">
      <c r="A44" s="36" t="n">
        <v>8</v>
      </c>
      <c r="B44" s="181" t="str">
        <f>IF($B11="","",$B11)</f>
        <v/>
      </c>
      <c r="C44" s="136" t="str">
        <f>IF(OR($B44="",$HD44=0),"",ROUND($HC44,2)&amp;" / "&amp;$HD44)</f>
        <v/>
      </c>
      <c r="D44" s="182" t="str">
        <f>IF(OR($B44="",$HD44=0),"",$HC44/$HD44)</f>
        <v/>
      </c>
      <c r="E44" s="136" t="n"/>
      <c r="F44" s="99" t="str">
        <f>IF($D44="","",IF($D44&gt;=0.85,"ممتاز",IF($D44&gt;=0.75,"جيد جداً",IF($D44&gt;=0.65,"جيد",IF($D44&gt;=0.5,"مقبول","ضعيف")))))</f>
        <v/>
      </c>
      <c r="G44" s="100" t="n"/>
      <c r="H44" s="101" t="n"/>
      <c r="I44" s="100" t="n"/>
      <c r="J44" s="101" t="n"/>
      <c r="K44" s="100" t="n"/>
      <c r="L44" s="101" t="n"/>
      <c r="M44" s="100" t="n"/>
      <c r="N44" s="101" t="n"/>
      <c r="O44" s="100" t="n"/>
      <c r="P44" s="101" t="n"/>
      <c r="Q44" s="100" t="n"/>
      <c r="R44" s="101" t="n"/>
      <c r="S44" s="100" t="n"/>
      <c r="T44" s="101" t="n"/>
      <c r="U44" s="100" t="n"/>
      <c r="V44" s="101" t="n"/>
      <c r="W44" s="183" t="n"/>
      <c r="X44" s="103" t="n"/>
      <c r="Y44" s="104" t="n"/>
      <c r="Z44" s="103" t="n"/>
      <c r="AA44" s="104" t="n"/>
      <c r="AB44" s="103" t="n"/>
      <c r="AC44" s="104" t="n"/>
      <c r="AD44" s="103" t="n"/>
      <c r="AE44" s="104" t="n"/>
      <c r="AF44" s="103" t="n"/>
      <c r="AG44" s="104" t="n"/>
      <c r="AH44" s="103" t="n"/>
      <c r="AI44" s="104" t="n"/>
      <c r="AJ44" s="103" t="n"/>
      <c r="AK44" s="104" t="n"/>
      <c r="AL44" s="103" t="n"/>
      <c r="AM44" s="104" t="n"/>
      <c r="AN44" s="184" t="n"/>
      <c r="AO44" s="106" t="n"/>
      <c r="AP44" s="107" t="n"/>
      <c r="AQ44" s="106" t="n"/>
      <c r="AR44" s="107" t="n"/>
      <c r="AS44" s="106" t="n"/>
      <c r="AT44" s="107" t="n"/>
      <c r="AU44" s="106" t="n"/>
      <c r="AV44" s="107" t="n"/>
      <c r="AW44" s="106" t="n"/>
      <c r="AX44" s="107" t="n"/>
      <c r="AY44" s="106" t="n"/>
      <c r="AZ44" s="107" t="n"/>
      <c r="BA44" s="106" t="n"/>
      <c r="BB44" s="107" t="n"/>
      <c r="BC44" s="106" t="n"/>
      <c r="BD44" s="107" t="n"/>
      <c r="BE44" s="185" t="n"/>
      <c r="BF44" s="109" t="n"/>
      <c r="BG44" s="110" t="n"/>
      <c r="BH44" s="109" t="n"/>
      <c r="BI44" s="110" t="n"/>
      <c r="BJ44" s="109" t="n"/>
      <c r="BK44" s="110" t="n"/>
      <c r="BL44" s="109" t="n"/>
      <c r="BM44" s="110" t="n"/>
      <c r="BN44" s="109" t="n"/>
      <c r="BO44" s="110" t="n"/>
      <c r="BP44" s="109" t="n"/>
      <c r="BQ44" s="110" t="n"/>
      <c r="BR44" s="109" t="n"/>
      <c r="BS44" s="110" t="n"/>
      <c r="BT44" s="109" t="n"/>
      <c r="BU44" s="110" t="n"/>
      <c r="BV44" s="186" t="n"/>
      <c r="BW44" s="112" t="n"/>
      <c r="BX44" s="113" t="n"/>
      <c r="BY44" s="112" t="n"/>
      <c r="BZ44" s="113" t="n"/>
      <c r="CA44" s="112" t="n"/>
      <c r="CB44" s="113" t="n"/>
      <c r="CC44" s="112" t="n"/>
      <c r="CD44" s="113" t="n"/>
      <c r="CE44" s="112" t="n"/>
      <c r="CF44" s="113" t="n"/>
      <c r="CG44" s="112" t="n"/>
      <c r="CH44" s="113" t="n"/>
      <c r="CI44" s="112" t="n"/>
      <c r="CJ44" s="113" t="n"/>
      <c r="CK44" s="112" t="n"/>
      <c r="CL44" s="113" t="n"/>
      <c r="CM44" s="187" t="n"/>
      <c r="CN44" s="115" t="n"/>
      <c r="CO44" s="116" t="n"/>
      <c r="CP44" s="115" t="n"/>
      <c r="CQ44" s="116" t="n"/>
      <c r="CR44" s="115" t="n"/>
      <c r="CS44" s="116" t="n"/>
      <c r="CT44" s="115" t="n"/>
      <c r="CU44" s="116" t="n"/>
      <c r="CV44" s="115" t="n"/>
      <c r="CW44" s="116" t="n"/>
      <c r="CX44" s="115" t="n"/>
      <c r="CY44" s="116" t="n"/>
      <c r="CZ44" s="115" t="n"/>
      <c r="DA44" s="116" t="n"/>
      <c r="DB44" s="115" t="n"/>
      <c r="DC44" s="116" t="n"/>
      <c r="DD44" s="188" t="n"/>
      <c r="DE44" s="118" t="n"/>
      <c r="DF44" s="119" t="n"/>
      <c r="DG44" s="118" t="n"/>
      <c r="DH44" s="119" t="n"/>
      <c r="DI44" s="118" t="n"/>
      <c r="DJ44" s="119" t="n"/>
      <c r="DK44" s="118" t="n"/>
      <c r="DL44" s="119" t="n"/>
      <c r="DM44" s="118" t="n"/>
      <c r="DN44" s="119" t="n"/>
      <c r="DO44" s="118" t="n"/>
      <c r="DP44" s="119" t="n"/>
      <c r="DQ44" s="118" t="n"/>
      <c r="DR44" s="119" t="n"/>
      <c r="DS44" s="118" t="n"/>
      <c r="DT44" s="119" t="n"/>
      <c r="DU44" s="189" t="n"/>
      <c r="DV44" s="121" t="n"/>
      <c r="DW44" s="122" t="n"/>
      <c r="DX44" s="121" t="n"/>
      <c r="DY44" s="122" t="n"/>
      <c r="DZ44" s="121" t="n"/>
      <c r="EA44" s="122" t="n"/>
      <c r="EB44" s="121" t="n"/>
      <c r="EC44" s="122" t="n"/>
      <c r="ED44" s="121" t="n"/>
      <c r="EE44" s="122" t="n"/>
      <c r="EF44" s="121" t="n"/>
      <c r="EG44" s="122" t="n"/>
      <c r="EH44" s="121" t="n"/>
      <c r="EI44" s="122" t="n"/>
      <c r="EJ44" s="121" t="n"/>
      <c r="EK44" s="122" t="n"/>
      <c r="EL44" s="190" t="n"/>
      <c r="EM44" s="124" t="n"/>
      <c r="EN44" s="125" t="n"/>
      <c r="EO44" s="124" t="n"/>
      <c r="EP44" s="125" t="n"/>
      <c r="EQ44" s="124" t="n"/>
      <c r="ER44" s="125" t="n"/>
      <c r="ES44" s="124" t="n"/>
      <c r="ET44" s="125" t="n"/>
      <c r="EU44" s="124" t="n"/>
      <c r="EV44" s="125" t="n"/>
      <c r="EW44" s="124" t="n"/>
      <c r="EX44" s="125" t="n"/>
      <c r="EY44" s="124" t="n"/>
      <c r="EZ44" s="125" t="n"/>
      <c r="FA44" s="124" t="n"/>
      <c r="FB44" s="125" t="n"/>
      <c r="FC44" s="191" t="n"/>
      <c r="FD44" s="127" t="n"/>
      <c r="FE44" s="128" t="n"/>
      <c r="FF44" s="127" t="n"/>
      <c r="FG44" s="128" t="n"/>
      <c r="FH44" s="127" t="n"/>
      <c r="FI44" s="128" t="n"/>
      <c r="FJ44" s="127" t="n"/>
      <c r="FK44" s="128" t="n"/>
      <c r="FL44" s="127" t="n"/>
      <c r="FM44" s="128" t="n"/>
      <c r="FN44" s="127" t="n"/>
      <c r="FO44" s="128" t="n"/>
      <c r="FP44" s="127" t="n"/>
      <c r="FQ44" s="128" t="n"/>
      <c r="FR44" s="127" t="n"/>
      <c r="FS44" s="128" t="n"/>
      <c r="FT44" s="192" t="n"/>
      <c r="FU44" s="130" t="n"/>
      <c r="FV44" s="131" t="n"/>
      <c r="FW44" s="130" t="n"/>
      <c r="FX44" s="131" t="n"/>
      <c r="FY44" s="130" t="n"/>
      <c r="FZ44" s="131" t="n"/>
      <c r="GA44" s="130" t="n"/>
      <c r="GB44" s="131" t="n"/>
      <c r="GC44" s="130" t="n"/>
      <c r="GD44" s="131" t="n"/>
      <c r="GE44" s="130" t="n"/>
      <c r="GF44" s="131" t="n"/>
      <c r="GG44" s="130" t="n"/>
      <c r="GH44" s="131" t="n"/>
      <c r="GI44" s="130" t="n"/>
      <c r="GJ44" s="131" t="n"/>
      <c r="GK44" s="193" t="n"/>
      <c r="GL44" s="133" t="n"/>
      <c r="GM44" s="134" t="n"/>
      <c r="GN44" s="133" t="n"/>
      <c r="GO44" s="134" t="n"/>
      <c r="GP44" s="133" t="n"/>
      <c r="GQ44" s="134" t="n"/>
      <c r="GR44" s="133" t="n"/>
      <c r="GS44" s="134" t="n"/>
      <c r="GT44" s="133" t="n"/>
      <c r="GU44" s="134" t="n"/>
      <c r="GV44" s="133" t="n"/>
      <c r="GW44" s="134" t="n"/>
      <c r="GX44" s="133" t="n"/>
      <c r="GY44" s="134" t="n"/>
      <c r="GZ44" s="133" t="n"/>
      <c r="HA44" s="134" t="n"/>
      <c r="HB44" s="194" t="n"/>
      <c r="HC44">
        <f>SUMIFS($G44:$HA44,$G$36:$HA$36,"درجة",$H44:$HB44,"&gt;0")</f>
        <v>0</v>
      </c>
      <c r="HD44">
        <f>SUMIFS($H44:$HB44,$G$36:$HA$36,"درجة",$G44:$HA44,"&gt;=0")</f>
        <v>0</v>
      </c>
    </row>
    <row r="45" ht="22.5" customHeight="1">
      <c r="A45" s="36" t="n">
        <v>9</v>
      </c>
      <c r="B45" s="181" t="str">
        <f>IF($B12="","",$B12)</f>
        <v/>
      </c>
      <c r="C45" s="136" t="str">
        <f>IF(OR($B45="",$HD45=0),"",ROUND($HC45,2)&amp;" / "&amp;$HD45)</f>
        <v/>
      </c>
      <c r="D45" s="182" t="str">
        <f>IF(OR($B45="",$HD45=0),"",$HC45/$HD45)</f>
        <v/>
      </c>
      <c r="E45" s="136" t="n"/>
      <c r="F45" s="99" t="str">
        <f>IF($D45="","",IF($D45&gt;=0.85,"ممتاز",IF($D45&gt;=0.75,"جيد جداً",IF($D45&gt;=0.65,"جيد",IF($D45&gt;=0.5,"مقبول","ضعيف")))))</f>
        <v/>
      </c>
      <c r="G45" s="100" t="n"/>
      <c r="H45" s="101" t="n"/>
      <c r="I45" s="100" t="n"/>
      <c r="J45" s="101" t="n"/>
      <c r="K45" s="100" t="n"/>
      <c r="L45" s="101" t="n"/>
      <c r="M45" s="100" t="n"/>
      <c r="N45" s="101" t="n"/>
      <c r="O45" s="100" t="n"/>
      <c r="P45" s="101" t="n"/>
      <c r="Q45" s="100" t="n"/>
      <c r="R45" s="101" t="n"/>
      <c r="S45" s="100" t="n"/>
      <c r="T45" s="101" t="n"/>
      <c r="U45" s="100" t="n"/>
      <c r="V45" s="101" t="n"/>
      <c r="W45" s="183" t="n"/>
      <c r="X45" s="103" t="n"/>
      <c r="Y45" s="104" t="n"/>
      <c r="Z45" s="103" t="n"/>
      <c r="AA45" s="104" t="n"/>
      <c r="AB45" s="103" t="n"/>
      <c r="AC45" s="104" t="n"/>
      <c r="AD45" s="103" t="n"/>
      <c r="AE45" s="104" t="n"/>
      <c r="AF45" s="103" t="n"/>
      <c r="AG45" s="104" t="n"/>
      <c r="AH45" s="103" t="n"/>
      <c r="AI45" s="104" t="n"/>
      <c r="AJ45" s="103" t="n"/>
      <c r="AK45" s="104" t="n"/>
      <c r="AL45" s="103" t="n"/>
      <c r="AM45" s="104" t="n"/>
      <c r="AN45" s="184" t="n"/>
      <c r="AO45" s="106" t="n"/>
      <c r="AP45" s="107" t="n"/>
      <c r="AQ45" s="106" t="n"/>
      <c r="AR45" s="107" t="n"/>
      <c r="AS45" s="106" t="n"/>
      <c r="AT45" s="107" t="n"/>
      <c r="AU45" s="106" t="n"/>
      <c r="AV45" s="107" t="n"/>
      <c r="AW45" s="106" t="n"/>
      <c r="AX45" s="107" t="n"/>
      <c r="AY45" s="106" t="n"/>
      <c r="AZ45" s="107" t="n"/>
      <c r="BA45" s="106" t="n"/>
      <c r="BB45" s="107" t="n"/>
      <c r="BC45" s="106" t="n"/>
      <c r="BD45" s="107" t="n"/>
      <c r="BE45" s="185" t="n"/>
      <c r="BF45" s="109" t="n"/>
      <c r="BG45" s="110" t="n"/>
      <c r="BH45" s="109" t="n"/>
      <c r="BI45" s="110" t="n"/>
      <c r="BJ45" s="109" t="n"/>
      <c r="BK45" s="110" t="n"/>
      <c r="BL45" s="109" t="n"/>
      <c r="BM45" s="110" t="n"/>
      <c r="BN45" s="109" t="n"/>
      <c r="BO45" s="110" t="n"/>
      <c r="BP45" s="109" t="n"/>
      <c r="BQ45" s="110" t="n"/>
      <c r="BR45" s="109" t="n"/>
      <c r="BS45" s="110" t="n"/>
      <c r="BT45" s="109" t="n"/>
      <c r="BU45" s="110" t="n"/>
      <c r="BV45" s="186" t="n"/>
      <c r="BW45" s="112" t="n"/>
      <c r="BX45" s="113" t="n"/>
      <c r="BY45" s="112" t="n"/>
      <c r="BZ45" s="113" t="n"/>
      <c r="CA45" s="112" t="n"/>
      <c r="CB45" s="113" t="n"/>
      <c r="CC45" s="112" t="n"/>
      <c r="CD45" s="113" t="n"/>
      <c r="CE45" s="112" t="n"/>
      <c r="CF45" s="113" t="n"/>
      <c r="CG45" s="112" t="n"/>
      <c r="CH45" s="113" t="n"/>
      <c r="CI45" s="112" t="n"/>
      <c r="CJ45" s="113" t="n"/>
      <c r="CK45" s="112" t="n"/>
      <c r="CL45" s="113" t="n"/>
      <c r="CM45" s="187" t="n"/>
      <c r="CN45" s="115" t="n"/>
      <c r="CO45" s="116" t="n"/>
      <c r="CP45" s="115" t="n"/>
      <c r="CQ45" s="116" t="n"/>
      <c r="CR45" s="115" t="n"/>
      <c r="CS45" s="116" t="n"/>
      <c r="CT45" s="115" t="n"/>
      <c r="CU45" s="116" t="n"/>
      <c r="CV45" s="115" t="n"/>
      <c r="CW45" s="116" t="n"/>
      <c r="CX45" s="115" t="n"/>
      <c r="CY45" s="116" t="n"/>
      <c r="CZ45" s="115" t="n"/>
      <c r="DA45" s="116" t="n"/>
      <c r="DB45" s="115" t="n"/>
      <c r="DC45" s="116" t="n"/>
      <c r="DD45" s="188" t="n"/>
      <c r="DE45" s="118" t="n"/>
      <c r="DF45" s="119" t="n"/>
      <c r="DG45" s="118" t="n"/>
      <c r="DH45" s="119" t="n"/>
      <c r="DI45" s="118" t="n"/>
      <c r="DJ45" s="119" t="n"/>
      <c r="DK45" s="118" t="n"/>
      <c r="DL45" s="119" t="n"/>
      <c r="DM45" s="118" t="n"/>
      <c r="DN45" s="119" t="n"/>
      <c r="DO45" s="118" t="n"/>
      <c r="DP45" s="119" t="n"/>
      <c r="DQ45" s="118" t="n"/>
      <c r="DR45" s="119" t="n"/>
      <c r="DS45" s="118" t="n"/>
      <c r="DT45" s="119" t="n"/>
      <c r="DU45" s="189" t="n"/>
      <c r="DV45" s="121" t="n"/>
      <c r="DW45" s="122" t="n"/>
      <c r="DX45" s="121" t="n"/>
      <c r="DY45" s="122" t="n"/>
      <c r="DZ45" s="121" t="n"/>
      <c r="EA45" s="122" t="n"/>
      <c r="EB45" s="121" t="n"/>
      <c r="EC45" s="122" t="n"/>
      <c r="ED45" s="121" t="n"/>
      <c r="EE45" s="122" t="n"/>
      <c r="EF45" s="121" t="n"/>
      <c r="EG45" s="122" t="n"/>
      <c r="EH45" s="121" t="n"/>
      <c r="EI45" s="122" t="n"/>
      <c r="EJ45" s="121" t="n"/>
      <c r="EK45" s="122" t="n"/>
      <c r="EL45" s="190" t="n"/>
      <c r="EM45" s="124" t="n"/>
      <c r="EN45" s="125" t="n"/>
      <c r="EO45" s="124" t="n"/>
      <c r="EP45" s="125" t="n"/>
      <c r="EQ45" s="124" t="n"/>
      <c r="ER45" s="125" t="n"/>
      <c r="ES45" s="124" t="n"/>
      <c r="ET45" s="125" t="n"/>
      <c r="EU45" s="124" t="n"/>
      <c r="EV45" s="125" t="n"/>
      <c r="EW45" s="124" t="n"/>
      <c r="EX45" s="125" t="n"/>
      <c r="EY45" s="124" t="n"/>
      <c r="EZ45" s="125" t="n"/>
      <c r="FA45" s="124" t="n"/>
      <c r="FB45" s="125" t="n"/>
      <c r="FC45" s="191" t="n"/>
      <c r="FD45" s="127" t="n"/>
      <c r="FE45" s="128" t="n"/>
      <c r="FF45" s="127" t="n"/>
      <c r="FG45" s="128" t="n"/>
      <c r="FH45" s="127" t="n"/>
      <c r="FI45" s="128" t="n"/>
      <c r="FJ45" s="127" t="n"/>
      <c r="FK45" s="128" t="n"/>
      <c r="FL45" s="127" t="n"/>
      <c r="FM45" s="128" t="n"/>
      <c r="FN45" s="127" t="n"/>
      <c r="FO45" s="128" t="n"/>
      <c r="FP45" s="127" t="n"/>
      <c r="FQ45" s="128" t="n"/>
      <c r="FR45" s="127" t="n"/>
      <c r="FS45" s="128" t="n"/>
      <c r="FT45" s="192" t="n"/>
      <c r="FU45" s="130" t="n"/>
      <c r="FV45" s="131" t="n"/>
      <c r="FW45" s="130" t="n"/>
      <c r="FX45" s="131" t="n"/>
      <c r="FY45" s="130" t="n"/>
      <c r="FZ45" s="131" t="n"/>
      <c r="GA45" s="130" t="n"/>
      <c r="GB45" s="131" t="n"/>
      <c r="GC45" s="130" t="n"/>
      <c r="GD45" s="131" t="n"/>
      <c r="GE45" s="130" t="n"/>
      <c r="GF45" s="131" t="n"/>
      <c r="GG45" s="130" t="n"/>
      <c r="GH45" s="131" t="n"/>
      <c r="GI45" s="130" t="n"/>
      <c r="GJ45" s="131" t="n"/>
      <c r="GK45" s="193" t="n"/>
      <c r="GL45" s="133" t="n"/>
      <c r="GM45" s="134" t="n"/>
      <c r="GN45" s="133" t="n"/>
      <c r="GO45" s="134" t="n"/>
      <c r="GP45" s="133" t="n"/>
      <c r="GQ45" s="134" t="n"/>
      <c r="GR45" s="133" t="n"/>
      <c r="GS45" s="134" t="n"/>
      <c r="GT45" s="133" t="n"/>
      <c r="GU45" s="134" t="n"/>
      <c r="GV45" s="133" t="n"/>
      <c r="GW45" s="134" t="n"/>
      <c r="GX45" s="133" t="n"/>
      <c r="GY45" s="134" t="n"/>
      <c r="GZ45" s="133" t="n"/>
      <c r="HA45" s="134" t="n"/>
      <c r="HB45" s="194" t="n"/>
      <c r="HC45">
        <f>SUMIFS($G45:$HA45,$G$36:$HA$36,"درجة",$H45:$HB45,"&gt;0")</f>
        <v>0</v>
      </c>
      <c r="HD45">
        <f>SUMIFS($H45:$HB45,$G$36:$HA$36,"درجة",$G45:$HA45,"&gt;=0")</f>
        <v>0</v>
      </c>
    </row>
    <row r="46" ht="22.5" customHeight="1">
      <c r="A46" s="36" t="n">
        <v>10</v>
      </c>
      <c r="B46" s="181" t="str">
        <f>IF($B13="","",$B13)</f>
        <v/>
      </c>
      <c r="C46" s="136" t="str">
        <f>IF(OR($B46="",$HD46=0),"",ROUND($HC46,2)&amp;" / "&amp;$HD46)</f>
        <v/>
      </c>
      <c r="D46" s="182" t="str">
        <f>IF(OR($B46="",$HD46=0),"",$HC46/$HD46)</f>
        <v/>
      </c>
      <c r="E46" s="136" t="n"/>
      <c r="F46" s="99" t="str">
        <f>IF($D46="","",IF($D46&gt;=0.85,"ممتاز",IF($D46&gt;=0.75,"جيد جداً",IF($D46&gt;=0.65,"جيد",IF($D46&gt;=0.5,"مقبول","ضعيف")))))</f>
        <v/>
      </c>
      <c r="G46" s="100" t="n"/>
      <c r="H46" s="101" t="n"/>
      <c r="I46" s="100" t="n"/>
      <c r="J46" s="101" t="n"/>
      <c r="K46" s="100" t="n"/>
      <c r="L46" s="101" t="n"/>
      <c r="M46" s="100" t="n"/>
      <c r="N46" s="101" t="n"/>
      <c r="O46" s="100" t="n"/>
      <c r="P46" s="101" t="n"/>
      <c r="Q46" s="100" t="n"/>
      <c r="R46" s="101" t="n"/>
      <c r="S46" s="100" t="n"/>
      <c r="T46" s="101" t="n"/>
      <c r="U46" s="100" t="n"/>
      <c r="V46" s="101" t="n"/>
      <c r="W46" s="183" t="n"/>
      <c r="X46" s="103" t="n"/>
      <c r="Y46" s="104" t="n"/>
      <c r="Z46" s="103" t="n"/>
      <c r="AA46" s="104" t="n"/>
      <c r="AB46" s="103" t="n"/>
      <c r="AC46" s="104" t="n"/>
      <c r="AD46" s="103" t="n"/>
      <c r="AE46" s="104" t="n"/>
      <c r="AF46" s="103" t="n"/>
      <c r="AG46" s="104" t="n"/>
      <c r="AH46" s="103" t="n"/>
      <c r="AI46" s="104" t="n"/>
      <c r="AJ46" s="103" t="n"/>
      <c r="AK46" s="104" t="n"/>
      <c r="AL46" s="103" t="n"/>
      <c r="AM46" s="104" t="n"/>
      <c r="AN46" s="184" t="n"/>
      <c r="AO46" s="106" t="n"/>
      <c r="AP46" s="107" t="n"/>
      <c r="AQ46" s="106" t="n"/>
      <c r="AR46" s="107" t="n"/>
      <c r="AS46" s="106" t="n"/>
      <c r="AT46" s="107" t="n"/>
      <c r="AU46" s="106" t="n"/>
      <c r="AV46" s="107" t="n"/>
      <c r="AW46" s="106" t="n"/>
      <c r="AX46" s="107" t="n"/>
      <c r="AY46" s="106" t="n"/>
      <c r="AZ46" s="107" t="n"/>
      <c r="BA46" s="106" t="n"/>
      <c r="BB46" s="107" t="n"/>
      <c r="BC46" s="106" t="n"/>
      <c r="BD46" s="107" t="n"/>
      <c r="BE46" s="185" t="n"/>
      <c r="BF46" s="109" t="n"/>
      <c r="BG46" s="110" t="n"/>
      <c r="BH46" s="109" t="n"/>
      <c r="BI46" s="110" t="n"/>
      <c r="BJ46" s="109" t="n"/>
      <c r="BK46" s="110" t="n"/>
      <c r="BL46" s="109" t="n"/>
      <c r="BM46" s="110" t="n"/>
      <c r="BN46" s="109" t="n"/>
      <c r="BO46" s="110" t="n"/>
      <c r="BP46" s="109" t="n"/>
      <c r="BQ46" s="110" t="n"/>
      <c r="BR46" s="109" t="n"/>
      <c r="BS46" s="110" t="n"/>
      <c r="BT46" s="109" t="n"/>
      <c r="BU46" s="110" t="n"/>
      <c r="BV46" s="186" t="n"/>
      <c r="BW46" s="112" t="n"/>
      <c r="BX46" s="113" t="n"/>
      <c r="BY46" s="112" t="n"/>
      <c r="BZ46" s="113" t="n"/>
      <c r="CA46" s="112" t="n"/>
      <c r="CB46" s="113" t="n"/>
      <c r="CC46" s="112" t="n"/>
      <c r="CD46" s="113" t="n"/>
      <c r="CE46" s="112" t="n"/>
      <c r="CF46" s="113" t="n"/>
      <c r="CG46" s="112" t="n"/>
      <c r="CH46" s="113" t="n"/>
      <c r="CI46" s="112" t="n"/>
      <c r="CJ46" s="113" t="n"/>
      <c r="CK46" s="112" t="n"/>
      <c r="CL46" s="113" t="n"/>
      <c r="CM46" s="187" t="n"/>
      <c r="CN46" s="115" t="n"/>
      <c r="CO46" s="116" t="n"/>
      <c r="CP46" s="115" t="n"/>
      <c r="CQ46" s="116" t="n"/>
      <c r="CR46" s="115" t="n"/>
      <c r="CS46" s="116" t="n"/>
      <c r="CT46" s="115" t="n"/>
      <c r="CU46" s="116" t="n"/>
      <c r="CV46" s="115" t="n"/>
      <c r="CW46" s="116" t="n"/>
      <c r="CX46" s="115" t="n"/>
      <c r="CY46" s="116" t="n"/>
      <c r="CZ46" s="115" t="n"/>
      <c r="DA46" s="116" t="n"/>
      <c r="DB46" s="115" t="n"/>
      <c r="DC46" s="116" t="n"/>
      <c r="DD46" s="188" t="n"/>
      <c r="DE46" s="118" t="n"/>
      <c r="DF46" s="119" t="n"/>
      <c r="DG46" s="118" t="n"/>
      <c r="DH46" s="119" t="n"/>
      <c r="DI46" s="118" t="n"/>
      <c r="DJ46" s="119" t="n"/>
      <c r="DK46" s="118" t="n"/>
      <c r="DL46" s="119" t="n"/>
      <c r="DM46" s="118" t="n"/>
      <c r="DN46" s="119" t="n"/>
      <c r="DO46" s="118" t="n"/>
      <c r="DP46" s="119" t="n"/>
      <c r="DQ46" s="118" t="n"/>
      <c r="DR46" s="119" t="n"/>
      <c r="DS46" s="118" t="n"/>
      <c r="DT46" s="119" t="n"/>
      <c r="DU46" s="189" t="n"/>
      <c r="DV46" s="121" t="n"/>
      <c r="DW46" s="122" t="n"/>
      <c r="DX46" s="121" t="n"/>
      <c r="DY46" s="122" t="n"/>
      <c r="DZ46" s="121" t="n"/>
      <c r="EA46" s="122" t="n"/>
      <c r="EB46" s="121" t="n"/>
      <c r="EC46" s="122" t="n"/>
      <c r="ED46" s="121" t="n"/>
      <c r="EE46" s="122" t="n"/>
      <c r="EF46" s="121" t="n"/>
      <c r="EG46" s="122" t="n"/>
      <c r="EH46" s="121" t="n"/>
      <c r="EI46" s="122" t="n"/>
      <c r="EJ46" s="121" t="n"/>
      <c r="EK46" s="122" t="n"/>
      <c r="EL46" s="190" t="n"/>
      <c r="EM46" s="124" t="n"/>
      <c r="EN46" s="125" t="n"/>
      <c r="EO46" s="124" t="n"/>
      <c r="EP46" s="125" t="n"/>
      <c r="EQ46" s="124" t="n"/>
      <c r="ER46" s="125" t="n"/>
      <c r="ES46" s="124" t="n"/>
      <c r="ET46" s="125" t="n"/>
      <c r="EU46" s="124" t="n"/>
      <c r="EV46" s="125" t="n"/>
      <c r="EW46" s="124" t="n"/>
      <c r="EX46" s="125" t="n"/>
      <c r="EY46" s="124" t="n"/>
      <c r="EZ46" s="125" t="n"/>
      <c r="FA46" s="124" t="n"/>
      <c r="FB46" s="125" t="n"/>
      <c r="FC46" s="191" t="n"/>
      <c r="FD46" s="127" t="n"/>
      <c r="FE46" s="128" t="n"/>
      <c r="FF46" s="127" t="n"/>
      <c r="FG46" s="128" t="n"/>
      <c r="FH46" s="127" t="n"/>
      <c r="FI46" s="128" t="n"/>
      <c r="FJ46" s="127" t="n"/>
      <c r="FK46" s="128" t="n"/>
      <c r="FL46" s="127" t="n"/>
      <c r="FM46" s="128" t="n"/>
      <c r="FN46" s="127" t="n"/>
      <c r="FO46" s="128" t="n"/>
      <c r="FP46" s="127" t="n"/>
      <c r="FQ46" s="128" t="n"/>
      <c r="FR46" s="127" t="n"/>
      <c r="FS46" s="128" t="n"/>
      <c r="FT46" s="192" t="n"/>
      <c r="FU46" s="130" t="n"/>
      <c r="FV46" s="131" t="n"/>
      <c r="FW46" s="130" t="n"/>
      <c r="FX46" s="131" t="n"/>
      <c r="FY46" s="130" t="n"/>
      <c r="FZ46" s="131" t="n"/>
      <c r="GA46" s="130" t="n"/>
      <c r="GB46" s="131" t="n"/>
      <c r="GC46" s="130" t="n"/>
      <c r="GD46" s="131" t="n"/>
      <c r="GE46" s="130" t="n"/>
      <c r="GF46" s="131" t="n"/>
      <c r="GG46" s="130" t="n"/>
      <c r="GH46" s="131" t="n"/>
      <c r="GI46" s="130" t="n"/>
      <c r="GJ46" s="131" t="n"/>
      <c r="GK46" s="193" t="n"/>
      <c r="GL46" s="133" t="n"/>
      <c r="GM46" s="134" t="n"/>
      <c r="GN46" s="133" t="n"/>
      <c r="GO46" s="134" t="n"/>
      <c r="GP46" s="133" t="n"/>
      <c r="GQ46" s="134" t="n"/>
      <c r="GR46" s="133" t="n"/>
      <c r="GS46" s="134" t="n"/>
      <c r="GT46" s="133" t="n"/>
      <c r="GU46" s="134" t="n"/>
      <c r="GV46" s="133" t="n"/>
      <c r="GW46" s="134" t="n"/>
      <c r="GX46" s="133" t="n"/>
      <c r="GY46" s="134" t="n"/>
      <c r="GZ46" s="133" t="n"/>
      <c r="HA46" s="134" t="n"/>
      <c r="HB46" s="194" t="n"/>
      <c r="HC46">
        <f>SUMIFS($G46:$HA46,$G$36:$HA$36,"درجة",$H46:$HB46,"&gt;0")</f>
        <v>0</v>
      </c>
      <c r="HD46">
        <f>SUMIFS($H46:$HB46,$G$36:$HA$36,"درجة",$G46:$HA46,"&gt;=0")</f>
        <v>0</v>
      </c>
    </row>
    <row r="47" ht="22.5" customHeight="1">
      <c r="A47" s="36" t="n">
        <v>11</v>
      </c>
      <c r="B47" s="181" t="str">
        <f>IF($B14="","",$B14)</f>
        <v/>
      </c>
      <c r="C47" s="136" t="str">
        <f>IF(OR($B47="",$HD47=0),"",ROUND($HC47,2)&amp;" / "&amp;$HD47)</f>
        <v/>
      </c>
      <c r="D47" s="182" t="str">
        <f>IF(OR($B47="",$HD47=0),"",$HC47/$HD47)</f>
        <v/>
      </c>
      <c r="E47" s="136" t="n"/>
      <c r="F47" s="99" t="str">
        <f>IF($D47="","",IF($D47&gt;=0.85,"ممتاز",IF($D47&gt;=0.75,"جيد جداً",IF($D47&gt;=0.65,"جيد",IF($D47&gt;=0.5,"مقبول","ضعيف")))))</f>
        <v/>
      </c>
      <c r="G47" s="100" t="n"/>
      <c r="H47" s="101" t="n"/>
      <c r="I47" s="100" t="n"/>
      <c r="J47" s="101" t="n"/>
      <c r="K47" s="100" t="n"/>
      <c r="L47" s="101" t="n"/>
      <c r="M47" s="100" t="n"/>
      <c r="N47" s="101" t="n"/>
      <c r="O47" s="100" t="n"/>
      <c r="P47" s="101" t="n"/>
      <c r="Q47" s="100" t="n"/>
      <c r="R47" s="101" t="n"/>
      <c r="S47" s="100" t="n"/>
      <c r="T47" s="101" t="n"/>
      <c r="U47" s="100" t="n"/>
      <c r="V47" s="101" t="n"/>
      <c r="W47" s="183" t="n"/>
      <c r="X47" s="103" t="n"/>
      <c r="Y47" s="104" t="n"/>
      <c r="Z47" s="103" t="n"/>
      <c r="AA47" s="104" t="n"/>
      <c r="AB47" s="103" t="n"/>
      <c r="AC47" s="104" t="n"/>
      <c r="AD47" s="103" t="n"/>
      <c r="AE47" s="104" t="n"/>
      <c r="AF47" s="103" t="n"/>
      <c r="AG47" s="104" t="n"/>
      <c r="AH47" s="103" t="n"/>
      <c r="AI47" s="104" t="n"/>
      <c r="AJ47" s="103" t="n"/>
      <c r="AK47" s="104" t="n"/>
      <c r="AL47" s="103" t="n"/>
      <c r="AM47" s="104" t="n"/>
      <c r="AN47" s="184" t="n"/>
      <c r="AO47" s="106" t="n"/>
      <c r="AP47" s="107" t="n"/>
      <c r="AQ47" s="106" t="n"/>
      <c r="AR47" s="107" t="n"/>
      <c r="AS47" s="106" t="n"/>
      <c r="AT47" s="107" t="n"/>
      <c r="AU47" s="106" t="n"/>
      <c r="AV47" s="107" t="n"/>
      <c r="AW47" s="106" t="n"/>
      <c r="AX47" s="107" t="n"/>
      <c r="AY47" s="106" t="n"/>
      <c r="AZ47" s="107" t="n"/>
      <c r="BA47" s="106" t="n"/>
      <c r="BB47" s="107" t="n"/>
      <c r="BC47" s="106" t="n"/>
      <c r="BD47" s="107" t="n"/>
      <c r="BE47" s="185" t="n"/>
      <c r="BF47" s="109" t="n"/>
      <c r="BG47" s="110" t="n"/>
      <c r="BH47" s="109" t="n"/>
      <c r="BI47" s="110" t="n"/>
      <c r="BJ47" s="109" t="n"/>
      <c r="BK47" s="110" t="n"/>
      <c r="BL47" s="109" t="n"/>
      <c r="BM47" s="110" t="n"/>
      <c r="BN47" s="109" t="n"/>
      <c r="BO47" s="110" t="n"/>
      <c r="BP47" s="109" t="n"/>
      <c r="BQ47" s="110" t="n"/>
      <c r="BR47" s="109" t="n"/>
      <c r="BS47" s="110" t="n"/>
      <c r="BT47" s="109" t="n"/>
      <c r="BU47" s="110" t="n"/>
      <c r="BV47" s="186" t="n"/>
      <c r="BW47" s="112" t="n"/>
      <c r="BX47" s="113" t="n"/>
      <c r="BY47" s="112" t="n"/>
      <c r="BZ47" s="113" t="n"/>
      <c r="CA47" s="112" t="n"/>
      <c r="CB47" s="113" t="n"/>
      <c r="CC47" s="112" t="n"/>
      <c r="CD47" s="113" t="n"/>
      <c r="CE47" s="112" t="n"/>
      <c r="CF47" s="113" t="n"/>
      <c r="CG47" s="112" t="n"/>
      <c r="CH47" s="113" t="n"/>
      <c r="CI47" s="112" t="n"/>
      <c r="CJ47" s="113" t="n"/>
      <c r="CK47" s="112" t="n"/>
      <c r="CL47" s="113" t="n"/>
      <c r="CM47" s="187" t="n"/>
      <c r="CN47" s="115" t="n"/>
      <c r="CO47" s="116" t="n"/>
      <c r="CP47" s="115" t="n"/>
      <c r="CQ47" s="116" t="n"/>
      <c r="CR47" s="115" t="n"/>
      <c r="CS47" s="116" t="n"/>
      <c r="CT47" s="115" t="n"/>
      <c r="CU47" s="116" t="n"/>
      <c r="CV47" s="115" t="n"/>
      <c r="CW47" s="116" t="n"/>
      <c r="CX47" s="115" t="n"/>
      <c r="CY47" s="116" t="n"/>
      <c r="CZ47" s="115" t="n"/>
      <c r="DA47" s="116" t="n"/>
      <c r="DB47" s="115" t="n"/>
      <c r="DC47" s="116" t="n"/>
      <c r="DD47" s="188" t="n"/>
      <c r="DE47" s="118" t="n"/>
      <c r="DF47" s="119" t="n"/>
      <c r="DG47" s="118" t="n"/>
      <c r="DH47" s="119" t="n"/>
      <c r="DI47" s="118" t="n"/>
      <c r="DJ47" s="119" t="n"/>
      <c r="DK47" s="118" t="n"/>
      <c r="DL47" s="119" t="n"/>
      <c r="DM47" s="118" t="n"/>
      <c r="DN47" s="119" t="n"/>
      <c r="DO47" s="118" t="n"/>
      <c r="DP47" s="119" t="n"/>
      <c r="DQ47" s="118" t="n"/>
      <c r="DR47" s="119" t="n"/>
      <c r="DS47" s="118" t="n"/>
      <c r="DT47" s="119" t="n"/>
      <c r="DU47" s="189" t="n"/>
      <c r="DV47" s="121" t="n"/>
      <c r="DW47" s="122" t="n"/>
      <c r="DX47" s="121" t="n"/>
      <c r="DY47" s="122" t="n"/>
      <c r="DZ47" s="121" t="n"/>
      <c r="EA47" s="122" t="n"/>
      <c r="EB47" s="121" t="n"/>
      <c r="EC47" s="122" t="n"/>
      <c r="ED47" s="121" t="n"/>
      <c r="EE47" s="122" t="n"/>
      <c r="EF47" s="121" t="n"/>
      <c r="EG47" s="122" t="n"/>
      <c r="EH47" s="121" t="n"/>
      <c r="EI47" s="122" t="n"/>
      <c r="EJ47" s="121" t="n"/>
      <c r="EK47" s="122" t="n"/>
      <c r="EL47" s="190" t="n"/>
      <c r="EM47" s="124" t="n"/>
      <c r="EN47" s="125" t="n"/>
      <c r="EO47" s="124" t="n"/>
      <c r="EP47" s="125" t="n"/>
      <c r="EQ47" s="124" t="n"/>
      <c r="ER47" s="125" t="n"/>
      <c r="ES47" s="124" t="n"/>
      <c r="ET47" s="125" t="n"/>
      <c r="EU47" s="124" t="n"/>
      <c r="EV47" s="125" t="n"/>
      <c r="EW47" s="124" t="n"/>
      <c r="EX47" s="125" t="n"/>
      <c r="EY47" s="124" t="n"/>
      <c r="EZ47" s="125" t="n"/>
      <c r="FA47" s="124" t="n"/>
      <c r="FB47" s="125" t="n"/>
      <c r="FC47" s="191" t="n"/>
      <c r="FD47" s="127" t="n"/>
      <c r="FE47" s="128" t="n"/>
      <c r="FF47" s="127" t="n"/>
      <c r="FG47" s="128" t="n"/>
      <c r="FH47" s="127" t="n"/>
      <c r="FI47" s="128" t="n"/>
      <c r="FJ47" s="127" t="n"/>
      <c r="FK47" s="128" t="n"/>
      <c r="FL47" s="127" t="n"/>
      <c r="FM47" s="128" t="n"/>
      <c r="FN47" s="127" t="n"/>
      <c r="FO47" s="128" t="n"/>
      <c r="FP47" s="127" t="n"/>
      <c r="FQ47" s="128" t="n"/>
      <c r="FR47" s="127" t="n"/>
      <c r="FS47" s="128" t="n"/>
      <c r="FT47" s="192" t="n"/>
      <c r="FU47" s="130" t="n"/>
      <c r="FV47" s="131" t="n"/>
      <c r="FW47" s="130" t="n"/>
      <c r="FX47" s="131" t="n"/>
      <c r="FY47" s="130" t="n"/>
      <c r="FZ47" s="131" t="n"/>
      <c r="GA47" s="130" t="n"/>
      <c r="GB47" s="131" t="n"/>
      <c r="GC47" s="130" t="n"/>
      <c r="GD47" s="131" t="n"/>
      <c r="GE47" s="130" t="n"/>
      <c r="GF47" s="131" t="n"/>
      <c r="GG47" s="130" t="n"/>
      <c r="GH47" s="131" t="n"/>
      <c r="GI47" s="130" t="n"/>
      <c r="GJ47" s="131" t="n"/>
      <c r="GK47" s="193" t="n"/>
      <c r="GL47" s="133" t="n"/>
      <c r="GM47" s="134" t="n"/>
      <c r="GN47" s="133" t="n"/>
      <c r="GO47" s="134" t="n"/>
      <c r="GP47" s="133" t="n"/>
      <c r="GQ47" s="134" t="n"/>
      <c r="GR47" s="133" t="n"/>
      <c r="GS47" s="134" t="n"/>
      <c r="GT47" s="133" t="n"/>
      <c r="GU47" s="134" t="n"/>
      <c r="GV47" s="133" t="n"/>
      <c r="GW47" s="134" t="n"/>
      <c r="GX47" s="133" t="n"/>
      <c r="GY47" s="134" t="n"/>
      <c r="GZ47" s="133" t="n"/>
      <c r="HA47" s="134" t="n"/>
      <c r="HB47" s="194" t="n"/>
      <c r="HC47">
        <f>SUMIFS($G47:$HA47,$G$36:$HA$36,"درجة",$H47:$HB47,"&gt;0")</f>
        <v>0</v>
      </c>
      <c r="HD47">
        <f>SUMIFS($H47:$HB47,$G$36:$HA$36,"درجة",$G47:$HA47,"&gt;=0")</f>
        <v>0</v>
      </c>
    </row>
    <row r="48" ht="22.5" customHeight="1">
      <c r="A48" s="36" t="n">
        <v>12</v>
      </c>
      <c r="B48" s="181" t="str">
        <f>IF($B15="","",$B15)</f>
        <v/>
      </c>
      <c r="C48" s="136" t="str">
        <f>IF(OR($B48="",$HD48=0),"",ROUND($HC48,2)&amp;" / "&amp;$HD48)</f>
        <v/>
      </c>
      <c r="D48" s="182" t="str">
        <f>IF(OR($B48="",$HD48=0),"",$HC48/$HD48)</f>
        <v/>
      </c>
      <c r="E48" s="136" t="n"/>
      <c r="F48" s="99" t="str">
        <f>IF($D48="","",IF($D48&gt;=0.85,"ممتاز",IF($D48&gt;=0.75,"جيد جداً",IF($D48&gt;=0.65,"جيد",IF($D48&gt;=0.5,"مقبول","ضعيف")))))</f>
        <v/>
      </c>
      <c r="G48" s="100" t="n"/>
      <c r="H48" s="101" t="n"/>
      <c r="I48" s="100" t="n"/>
      <c r="J48" s="101" t="n"/>
      <c r="K48" s="100" t="n"/>
      <c r="L48" s="101" t="n"/>
      <c r="M48" s="100" t="n"/>
      <c r="N48" s="101" t="n"/>
      <c r="O48" s="100" t="n"/>
      <c r="P48" s="101" t="n"/>
      <c r="Q48" s="100" t="n"/>
      <c r="R48" s="101" t="n"/>
      <c r="S48" s="100" t="n"/>
      <c r="T48" s="101" t="n"/>
      <c r="U48" s="100" t="n"/>
      <c r="V48" s="101" t="n"/>
      <c r="W48" s="183" t="n"/>
      <c r="X48" s="103" t="n"/>
      <c r="Y48" s="104" t="n"/>
      <c r="Z48" s="103" t="n"/>
      <c r="AA48" s="104" t="n"/>
      <c r="AB48" s="103" t="n"/>
      <c r="AC48" s="104" t="n"/>
      <c r="AD48" s="103" t="n"/>
      <c r="AE48" s="104" t="n"/>
      <c r="AF48" s="103" t="n"/>
      <c r="AG48" s="104" t="n"/>
      <c r="AH48" s="103" t="n"/>
      <c r="AI48" s="104" t="n"/>
      <c r="AJ48" s="103" t="n"/>
      <c r="AK48" s="104" t="n"/>
      <c r="AL48" s="103" t="n"/>
      <c r="AM48" s="104" t="n"/>
      <c r="AN48" s="184" t="n"/>
      <c r="AO48" s="106" t="n"/>
      <c r="AP48" s="107" t="n"/>
      <c r="AQ48" s="106" t="n"/>
      <c r="AR48" s="107" t="n"/>
      <c r="AS48" s="106" t="n"/>
      <c r="AT48" s="107" t="n"/>
      <c r="AU48" s="106" t="n"/>
      <c r="AV48" s="107" t="n"/>
      <c r="AW48" s="106" t="n"/>
      <c r="AX48" s="107" t="n"/>
      <c r="AY48" s="106" t="n"/>
      <c r="AZ48" s="107" t="n"/>
      <c r="BA48" s="106" t="n"/>
      <c r="BB48" s="107" t="n"/>
      <c r="BC48" s="106" t="n"/>
      <c r="BD48" s="107" t="n"/>
      <c r="BE48" s="185" t="n"/>
      <c r="BF48" s="109" t="n"/>
      <c r="BG48" s="110" t="n"/>
      <c r="BH48" s="109" t="n"/>
      <c r="BI48" s="110" t="n"/>
      <c r="BJ48" s="109" t="n"/>
      <c r="BK48" s="110" t="n"/>
      <c r="BL48" s="109" t="n"/>
      <c r="BM48" s="110" t="n"/>
      <c r="BN48" s="109" t="n"/>
      <c r="BO48" s="110" t="n"/>
      <c r="BP48" s="109" t="n"/>
      <c r="BQ48" s="110" t="n"/>
      <c r="BR48" s="109" t="n"/>
      <c r="BS48" s="110" t="n"/>
      <c r="BT48" s="109" t="n"/>
      <c r="BU48" s="110" t="n"/>
      <c r="BV48" s="186" t="n"/>
      <c r="BW48" s="112" t="n"/>
      <c r="BX48" s="113" t="n"/>
      <c r="BY48" s="112" t="n"/>
      <c r="BZ48" s="113" t="n"/>
      <c r="CA48" s="112" t="n"/>
      <c r="CB48" s="113" t="n"/>
      <c r="CC48" s="112" t="n"/>
      <c r="CD48" s="113" t="n"/>
      <c r="CE48" s="112" t="n"/>
      <c r="CF48" s="113" t="n"/>
      <c r="CG48" s="112" t="n"/>
      <c r="CH48" s="113" t="n"/>
      <c r="CI48" s="112" t="n"/>
      <c r="CJ48" s="113" t="n"/>
      <c r="CK48" s="112" t="n"/>
      <c r="CL48" s="113" t="n"/>
      <c r="CM48" s="187" t="n"/>
      <c r="CN48" s="115" t="n"/>
      <c r="CO48" s="116" t="n"/>
      <c r="CP48" s="115" t="n"/>
      <c r="CQ48" s="116" t="n"/>
      <c r="CR48" s="115" t="n"/>
      <c r="CS48" s="116" t="n"/>
      <c r="CT48" s="115" t="n"/>
      <c r="CU48" s="116" t="n"/>
      <c r="CV48" s="115" t="n"/>
      <c r="CW48" s="116" t="n"/>
      <c r="CX48" s="115" t="n"/>
      <c r="CY48" s="116" t="n"/>
      <c r="CZ48" s="115" t="n"/>
      <c r="DA48" s="116" t="n"/>
      <c r="DB48" s="115" t="n"/>
      <c r="DC48" s="116" t="n"/>
      <c r="DD48" s="188" t="n"/>
      <c r="DE48" s="118" t="n"/>
      <c r="DF48" s="119" t="n"/>
      <c r="DG48" s="118" t="n"/>
      <c r="DH48" s="119" t="n"/>
      <c r="DI48" s="118" t="n"/>
      <c r="DJ48" s="119" t="n"/>
      <c r="DK48" s="118" t="n"/>
      <c r="DL48" s="119" t="n"/>
      <c r="DM48" s="118" t="n"/>
      <c r="DN48" s="119" t="n"/>
      <c r="DO48" s="118" t="n"/>
      <c r="DP48" s="119" t="n"/>
      <c r="DQ48" s="118" t="n"/>
      <c r="DR48" s="119" t="n"/>
      <c r="DS48" s="118" t="n"/>
      <c r="DT48" s="119" t="n"/>
      <c r="DU48" s="189" t="n"/>
      <c r="DV48" s="121" t="n"/>
      <c r="DW48" s="122" t="n"/>
      <c r="DX48" s="121" t="n"/>
      <c r="DY48" s="122" t="n"/>
      <c r="DZ48" s="121" t="n"/>
      <c r="EA48" s="122" t="n"/>
      <c r="EB48" s="121" t="n"/>
      <c r="EC48" s="122" t="n"/>
      <c r="ED48" s="121" t="n"/>
      <c r="EE48" s="122" t="n"/>
      <c r="EF48" s="121" t="n"/>
      <c r="EG48" s="122" t="n"/>
      <c r="EH48" s="121" t="n"/>
      <c r="EI48" s="122" t="n"/>
      <c r="EJ48" s="121" t="n"/>
      <c r="EK48" s="122" t="n"/>
      <c r="EL48" s="190" t="n"/>
      <c r="EM48" s="124" t="n"/>
      <c r="EN48" s="125" t="n"/>
      <c r="EO48" s="124" t="n"/>
      <c r="EP48" s="125" t="n"/>
      <c r="EQ48" s="124" t="n"/>
      <c r="ER48" s="125" t="n"/>
      <c r="ES48" s="124" t="n"/>
      <c r="ET48" s="125" t="n"/>
      <c r="EU48" s="124" t="n"/>
      <c r="EV48" s="125" t="n"/>
      <c r="EW48" s="124" t="n"/>
      <c r="EX48" s="125" t="n"/>
      <c r="EY48" s="124" t="n"/>
      <c r="EZ48" s="125" t="n"/>
      <c r="FA48" s="124" t="n"/>
      <c r="FB48" s="125" t="n"/>
      <c r="FC48" s="191" t="n"/>
      <c r="FD48" s="127" t="n"/>
      <c r="FE48" s="128" t="n"/>
      <c r="FF48" s="127" t="n"/>
      <c r="FG48" s="128" t="n"/>
      <c r="FH48" s="127" t="n"/>
      <c r="FI48" s="128" t="n"/>
      <c r="FJ48" s="127" t="n"/>
      <c r="FK48" s="128" t="n"/>
      <c r="FL48" s="127" t="n"/>
      <c r="FM48" s="128" t="n"/>
      <c r="FN48" s="127" t="n"/>
      <c r="FO48" s="128" t="n"/>
      <c r="FP48" s="127" t="n"/>
      <c r="FQ48" s="128" t="n"/>
      <c r="FR48" s="127" t="n"/>
      <c r="FS48" s="128" t="n"/>
      <c r="FT48" s="192" t="n"/>
      <c r="FU48" s="130" t="n"/>
      <c r="FV48" s="131" t="n"/>
      <c r="FW48" s="130" t="n"/>
      <c r="FX48" s="131" t="n"/>
      <c r="FY48" s="130" t="n"/>
      <c r="FZ48" s="131" t="n"/>
      <c r="GA48" s="130" t="n"/>
      <c r="GB48" s="131" t="n"/>
      <c r="GC48" s="130" t="n"/>
      <c r="GD48" s="131" t="n"/>
      <c r="GE48" s="130" t="n"/>
      <c r="GF48" s="131" t="n"/>
      <c r="GG48" s="130" t="n"/>
      <c r="GH48" s="131" t="n"/>
      <c r="GI48" s="130" t="n"/>
      <c r="GJ48" s="131" t="n"/>
      <c r="GK48" s="193" t="n"/>
      <c r="GL48" s="133" t="n"/>
      <c r="GM48" s="134" t="n"/>
      <c r="GN48" s="133" t="n"/>
      <c r="GO48" s="134" t="n"/>
      <c r="GP48" s="133" t="n"/>
      <c r="GQ48" s="134" t="n"/>
      <c r="GR48" s="133" t="n"/>
      <c r="GS48" s="134" t="n"/>
      <c r="GT48" s="133" t="n"/>
      <c r="GU48" s="134" t="n"/>
      <c r="GV48" s="133" t="n"/>
      <c r="GW48" s="134" t="n"/>
      <c r="GX48" s="133" t="n"/>
      <c r="GY48" s="134" t="n"/>
      <c r="GZ48" s="133" t="n"/>
      <c r="HA48" s="134" t="n"/>
      <c r="HB48" s="194" t="n"/>
      <c r="HC48">
        <f>SUMIFS($G48:$HA48,$G$36:$HA$36,"درجة",$H48:$HB48,"&gt;0")</f>
        <v>0</v>
      </c>
      <c r="HD48">
        <f>SUMIFS($H48:$HB48,$G$36:$HA$36,"درجة",$G48:$HA48,"&gt;=0")</f>
        <v>0</v>
      </c>
    </row>
    <row r="49" ht="22.5" customHeight="1">
      <c r="A49" s="36" t="n">
        <v>13</v>
      </c>
      <c r="B49" s="181" t="str">
        <f>IF($B16="","",$B16)</f>
        <v/>
      </c>
      <c r="C49" s="136" t="str">
        <f>IF(OR($B49="",$HD49=0),"",ROUND($HC49,2)&amp;" / "&amp;$HD49)</f>
        <v/>
      </c>
      <c r="D49" s="182" t="str">
        <f>IF(OR($B49="",$HD49=0),"",$HC49/$HD49)</f>
        <v/>
      </c>
      <c r="E49" s="136" t="n"/>
      <c r="F49" s="99" t="str">
        <f>IF($D49="","",IF($D49&gt;=0.85,"ممتاز",IF($D49&gt;=0.75,"جيد جداً",IF($D49&gt;=0.65,"جيد",IF($D49&gt;=0.5,"مقبول","ضعيف")))))</f>
        <v/>
      </c>
      <c r="G49" s="100" t="n"/>
      <c r="H49" s="101" t="n"/>
      <c r="I49" s="100" t="n"/>
      <c r="J49" s="101" t="n"/>
      <c r="K49" s="100" t="n"/>
      <c r="L49" s="101" t="n"/>
      <c r="M49" s="100" t="n"/>
      <c r="N49" s="101" t="n"/>
      <c r="O49" s="100" t="n"/>
      <c r="P49" s="101" t="n"/>
      <c r="Q49" s="100" t="n"/>
      <c r="R49" s="101" t="n"/>
      <c r="S49" s="100" t="n"/>
      <c r="T49" s="101" t="n"/>
      <c r="U49" s="100" t="n"/>
      <c r="V49" s="101" t="n"/>
      <c r="W49" s="183" t="n"/>
      <c r="X49" s="103" t="n"/>
      <c r="Y49" s="104" t="n"/>
      <c r="Z49" s="103" t="n"/>
      <c r="AA49" s="104" t="n"/>
      <c r="AB49" s="103" t="n"/>
      <c r="AC49" s="104" t="n"/>
      <c r="AD49" s="103" t="n"/>
      <c r="AE49" s="104" t="n"/>
      <c r="AF49" s="103" t="n"/>
      <c r="AG49" s="104" t="n"/>
      <c r="AH49" s="103" t="n"/>
      <c r="AI49" s="104" t="n"/>
      <c r="AJ49" s="103" t="n"/>
      <c r="AK49" s="104" t="n"/>
      <c r="AL49" s="103" t="n"/>
      <c r="AM49" s="104" t="n"/>
      <c r="AN49" s="184" t="n"/>
      <c r="AO49" s="106" t="n"/>
      <c r="AP49" s="107" t="n"/>
      <c r="AQ49" s="106" t="n"/>
      <c r="AR49" s="107" t="n"/>
      <c r="AS49" s="106" t="n"/>
      <c r="AT49" s="107" t="n"/>
      <c r="AU49" s="106" t="n"/>
      <c r="AV49" s="107" t="n"/>
      <c r="AW49" s="106" t="n"/>
      <c r="AX49" s="107" t="n"/>
      <c r="AY49" s="106" t="n"/>
      <c r="AZ49" s="107" t="n"/>
      <c r="BA49" s="106" t="n"/>
      <c r="BB49" s="107" t="n"/>
      <c r="BC49" s="106" t="n"/>
      <c r="BD49" s="107" t="n"/>
      <c r="BE49" s="185" t="n"/>
      <c r="BF49" s="109" t="n"/>
      <c r="BG49" s="110" t="n"/>
      <c r="BH49" s="109" t="n"/>
      <c r="BI49" s="110" t="n"/>
      <c r="BJ49" s="109" t="n"/>
      <c r="BK49" s="110" t="n"/>
      <c r="BL49" s="109" t="n"/>
      <c r="BM49" s="110" t="n"/>
      <c r="BN49" s="109" t="n"/>
      <c r="BO49" s="110" t="n"/>
      <c r="BP49" s="109" t="n"/>
      <c r="BQ49" s="110" t="n"/>
      <c r="BR49" s="109" t="n"/>
      <c r="BS49" s="110" t="n"/>
      <c r="BT49" s="109" t="n"/>
      <c r="BU49" s="110" t="n"/>
      <c r="BV49" s="186" t="n"/>
      <c r="BW49" s="112" t="n"/>
      <c r="BX49" s="113" t="n"/>
      <c r="BY49" s="112" t="n"/>
      <c r="BZ49" s="113" t="n"/>
      <c r="CA49" s="112" t="n"/>
      <c r="CB49" s="113" t="n"/>
      <c r="CC49" s="112" t="n"/>
      <c r="CD49" s="113" t="n"/>
      <c r="CE49" s="112" t="n"/>
      <c r="CF49" s="113" t="n"/>
      <c r="CG49" s="112" t="n"/>
      <c r="CH49" s="113" t="n"/>
      <c r="CI49" s="112" t="n"/>
      <c r="CJ49" s="113" t="n"/>
      <c r="CK49" s="112" t="n"/>
      <c r="CL49" s="113" t="n"/>
      <c r="CM49" s="187" t="n"/>
      <c r="CN49" s="115" t="n"/>
      <c r="CO49" s="116" t="n"/>
      <c r="CP49" s="115" t="n"/>
      <c r="CQ49" s="116" t="n"/>
      <c r="CR49" s="115" t="n"/>
      <c r="CS49" s="116" t="n"/>
      <c r="CT49" s="115" t="n"/>
      <c r="CU49" s="116" t="n"/>
      <c r="CV49" s="115" t="n"/>
      <c r="CW49" s="116" t="n"/>
      <c r="CX49" s="115" t="n"/>
      <c r="CY49" s="116" t="n"/>
      <c r="CZ49" s="115" t="n"/>
      <c r="DA49" s="116" t="n"/>
      <c r="DB49" s="115" t="n"/>
      <c r="DC49" s="116" t="n"/>
      <c r="DD49" s="188" t="n"/>
      <c r="DE49" s="118" t="n"/>
      <c r="DF49" s="119" t="n"/>
      <c r="DG49" s="118" t="n"/>
      <c r="DH49" s="119" t="n"/>
      <c r="DI49" s="118" t="n"/>
      <c r="DJ49" s="119" t="n"/>
      <c r="DK49" s="118" t="n"/>
      <c r="DL49" s="119" t="n"/>
      <c r="DM49" s="118" t="n"/>
      <c r="DN49" s="119" t="n"/>
      <c r="DO49" s="118" t="n"/>
      <c r="DP49" s="119" t="n"/>
      <c r="DQ49" s="118" t="n"/>
      <c r="DR49" s="119" t="n"/>
      <c r="DS49" s="118" t="n"/>
      <c r="DT49" s="119" t="n"/>
      <c r="DU49" s="189" t="n"/>
      <c r="DV49" s="121" t="n"/>
      <c r="DW49" s="122" t="n"/>
      <c r="DX49" s="121" t="n"/>
      <c r="DY49" s="122" t="n"/>
      <c r="DZ49" s="121" t="n"/>
      <c r="EA49" s="122" t="n"/>
      <c r="EB49" s="121" t="n"/>
      <c r="EC49" s="122" t="n"/>
      <c r="ED49" s="121" t="n"/>
      <c r="EE49" s="122" t="n"/>
      <c r="EF49" s="121" t="n"/>
      <c r="EG49" s="122" t="n"/>
      <c r="EH49" s="121" t="n"/>
      <c r="EI49" s="122" t="n"/>
      <c r="EJ49" s="121" t="n"/>
      <c r="EK49" s="122" t="n"/>
      <c r="EL49" s="190" t="n"/>
      <c r="EM49" s="124" t="n"/>
      <c r="EN49" s="125" t="n"/>
      <c r="EO49" s="124" t="n"/>
      <c r="EP49" s="125" t="n"/>
      <c r="EQ49" s="124" t="n"/>
      <c r="ER49" s="125" t="n"/>
      <c r="ES49" s="124" t="n"/>
      <c r="ET49" s="125" t="n"/>
      <c r="EU49" s="124" t="n"/>
      <c r="EV49" s="125" t="n"/>
      <c r="EW49" s="124" t="n"/>
      <c r="EX49" s="125" t="n"/>
      <c r="EY49" s="124" t="n"/>
      <c r="EZ49" s="125" t="n"/>
      <c r="FA49" s="124" t="n"/>
      <c r="FB49" s="125" t="n"/>
      <c r="FC49" s="191" t="n"/>
      <c r="FD49" s="127" t="n"/>
      <c r="FE49" s="128" t="n"/>
      <c r="FF49" s="127" t="n"/>
      <c r="FG49" s="128" t="n"/>
      <c r="FH49" s="127" t="n"/>
      <c r="FI49" s="128" t="n"/>
      <c r="FJ49" s="127" t="n"/>
      <c r="FK49" s="128" t="n"/>
      <c r="FL49" s="127" t="n"/>
      <c r="FM49" s="128" t="n"/>
      <c r="FN49" s="127" t="n"/>
      <c r="FO49" s="128" t="n"/>
      <c r="FP49" s="127" t="n"/>
      <c r="FQ49" s="128" t="n"/>
      <c r="FR49" s="127" t="n"/>
      <c r="FS49" s="128" t="n"/>
      <c r="FT49" s="192" t="n"/>
      <c r="FU49" s="130" t="n"/>
      <c r="FV49" s="131" t="n"/>
      <c r="FW49" s="130" t="n"/>
      <c r="FX49" s="131" t="n"/>
      <c r="FY49" s="130" t="n"/>
      <c r="FZ49" s="131" t="n"/>
      <c r="GA49" s="130" t="n"/>
      <c r="GB49" s="131" t="n"/>
      <c r="GC49" s="130" t="n"/>
      <c r="GD49" s="131" t="n"/>
      <c r="GE49" s="130" t="n"/>
      <c r="GF49" s="131" t="n"/>
      <c r="GG49" s="130" t="n"/>
      <c r="GH49" s="131" t="n"/>
      <c r="GI49" s="130" t="n"/>
      <c r="GJ49" s="131" t="n"/>
      <c r="GK49" s="193" t="n"/>
      <c r="GL49" s="133" t="n"/>
      <c r="GM49" s="134" t="n"/>
      <c r="GN49" s="133" t="n"/>
      <c r="GO49" s="134" t="n"/>
      <c r="GP49" s="133" t="n"/>
      <c r="GQ49" s="134" t="n"/>
      <c r="GR49" s="133" t="n"/>
      <c r="GS49" s="134" t="n"/>
      <c r="GT49" s="133" t="n"/>
      <c r="GU49" s="134" t="n"/>
      <c r="GV49" s="133" t="n"/>
      <c r="GW49" s="134" t="n"/>
      <c r="GX49" s="133" t="n"/>
      <c r="GY49" s="134" t="n"/>
      <c r="GZ49" s="133" t="n"/>
      <c r="HA49" s="134" t="n"/>
      <c r="HB49" s="194" t="n"/>
      <c r="HC49">
        <f>SUMIFS($G49:$HA49,$G$36:$HA$36,"درجة",$H49:$HB49,"&gt;0")</f>
        <v>0</v>
      </c>
      <c r="HD49">
        <f>SUMIFS($H49:$HB49,$G$36:$HA$36,"درجة",$G49:$HA49,"&gt;=0")</f>
        <v>0</v>
      </c>
    </row>
    <row r="50" ht="22.5" customHeight="1">
      <c r="A50" s="36" t="n">
        <v>14</v>
      </c>
      <c r="B50" s="181" t="str">
        <f>IF($B17="","",$B17)</f>
        <v/>
      </c>
      <c r="C50" s="136" t="str">
        <f>IF(OR($B50="",$HD50=0),"",ROUND($HC50,2)&amp;" / "&amp;$HD50)</f>
        <v/>
      </c>
      <c r="D50" s="182" t="str">
        <f>IF(OR($B50="",$HD50=0),"",$HC50/$HD50)</f>
        <v/>
      </c>
      <c r="E50" s="136" t="n"/>
      <c r="F50" s="99" t="str">
        <f>IF($D50="","",IF($D50&gt;=0.85,"ممتاز",IF($D50&gt;=0.75,"جيد جداً",IF($D50&gt;=0.65,"جيد",IF($D50&gt;=0.5,"مقبول","ضعيف")))))</f>
        <v/>
      </c>
      <c r="G50" s="100" t="n"/>
      <c r="H50" s="101" t="n"/>
      <c r="I50" s="100" t="n"/>
      <c r="J50" s="101" t="n"/>
      <c r="K50" s="100" t="n"/>
      <c r="L50" s="101" t="n"/>
      <c r="M50" s="100" t="n"/>
      <c r="N50" s="101" t="n"/>
      <c r="O50" s="100" t="n"/>
      <c r="P50" s="101" t="n"/>
      <c r="Q50" s="100" t="n"/>
      <c r="R50" s="101" t="n"/>
      <c r="S50" s="100" t="n"/>
      <c r="T50" s="101" t="n"/>
      <c r="U50" s="100" t="n"/>
      <c r="V50" s="101" t="n"/>
      <c r="W50" s="183" t="n"/>
      <c r="X50" s="103" t="n"/>
      <c r="Y50" s="104" t="n"/>
      <c r="Z50" s="103" t="n"/>
      <c r="AA50" s="104" t="n"/>
      <c r="AB50" s="103" t="n"/>
      <c r="AC50" s="104" t="n"/>
      <c r="AD50" s="103" t="n"/>
      <c r="AE50" s="104" t="n"/>
      <c r="AF50" s="103" t="n"/>
      <c r="AG50" s="104" t="n"/>
      <c r="AH50" s="103" t="n"/>
      <c r="AI50" s="104" t="n"/>
      <c r="AJ50" s="103" t="n"/>
      <c r="AK50" s="104" t="n"/>
      <c r="AL50" s="103" t="n"/>
      <c r="AM50" s="104" t="n"/>
      <c r="AN50" s="184" t="n"/>
      <c r="AO50" s="106" t="n"/>
      <c r="AP50" s="107" t="n"/>
      <c r="AQ50" s="106" t="n"/>
      <c r="AR50" s="107" t="n"/>
      <c r="AS50" s="106" t="n"/>
      <c r="AT50" s="107" t="n"/>
      <c r="AU50" s="106" t="n"/>
      <c r="AV50" s="107" t="n"/>
      <c r="AW50" s="106" t="n"/>
      <c r="AX50" s="107" t="n"/>
      <c r="AY50" s="106" t="n"/>
      <c r="AZ50" s="107" t="n"/>
      <c r="BA50" s="106" t="n"/>
      <c r="BB50" s="107" t="n"/>
      <c r="BC50" s="106" t="n"/>
      <c r="BD50" s="107" t="n"/>
      <c r="BE50" s="185" t="n"/>
      <c r="BF50" s="109" t="n"/>
      <c r="BG50" s="110" t="n"/>
      <c r="BH50" s="109" t="n"/>
      <c r="BI50" s="110" t="n"/>
      <c r="BJ50" s="109" t="n"/>
      <c r="BK50" s="110" t="n"/>
      <c r="BL50" s="109" t="n"/>
      <c r="BM50" s="110" t="n"/>
      <c r="BN50" s="109" t="n"/>
      <c r="BO50" s="110" t="n"/>
      <c r="BP50" s="109" t="n"/>
      <c r="BQ50" s="110" t="n"/>
      <c r="BR50" s="109" t="n"/>
      <c r="BS50" s="110" t="n"/>
      <c r="BT50" s="109" t="n"/>
      <c r="BU50" s="110" t="n"/>
      <c r="BV50" s="186" t="n"/>
      <c r="BW50" s="112" t="n"/>
      <c r="BX50" s="113" t="n"/>
      <c r="BY50" s="112" t="n"/>
      <c r="BZ50" s="113" t="n"/>
      <c r="CA50" s="112" t="n"/>
      <c r="CB50" s="113" t="n"/>
      <c r="CC50" s="112" t="n"/>
      <c r="CD50" s="113" t="n"/>
      <c r="CE50" s="112" t="n"/>
      <c r="CF50" s="113" t="n"/>
      <c r="CG50" s="112" t="n"/>
      <c r="CH50" s="113" t="n"/>
      <c r="CI50" s="112" t="n"/>
      <c r="CJ50" s="113" t="n"/>
      <c r="CK50" s="112" t="n"/>
      <c r="CL50" s="113" t="n"/>
      <c r="CM50" s="187" t="n"/>
      <c r="CN50" s="115" t="n"/>
      <c r="CO50" s="116" t="n"/>
      <c r="CP50" s="115" t="n"/>
      <c r="CQ50" s="116" t="n"/>
      <c r="CR50" s="115" t="n"/>
      <c r="CS50" s="116" t="n"/>
      <c r="CT50" s="115" t="n"/>
      <c r="CU50" s="116" t="n"/>
      <c r="CV50" s="115" t="n"/>
      <c r="CW50" s="116" t="n"/>
      <c r="CX50" s="115" t="n"/>
      <c r="CY50" s="116" t="n"/>
      <c r="CZ50" s="115" t="n"/>
      <c r="DA50" s="116" t="n"/>
      <c r="DB50" s="115" t="n"/>
      <c r="DC50" s="116" t="n"/>
      <c r="DD50" s="188" t="n"/>
      <c r="DE50" s="118" t="n"/>
      <c r="DF50" s="119" t="n"/>
      <c r="DG50" s="118" t="n"/>
      <c r="DH50" s="119" t="n"/>
      <c r="DI50" s="118" t="n"/>
      <c r="DJ50" s="119" t="n"/>
      <c r="DK50" s="118" t="n"/>
      <c r="DL50" s="119" t="n"/>
      <c r="DM50" s="118" t="n"/>
      <c r="DN50" s="119" t="n"/>
      <c r="DO50" s="118" t="n"/>
      <c r="DP50" s="119" t="n"/>
      <c r="DQ50" s="118" t="n"/>
      <c r="DR50" s="119" t="n"/>
      <c r="DS50" s="118" t="n"/>
      <c r="DT50" s="119" t="n"/>
      <c r="DU50" s="189" t="n"/>
      <c r="DV50" s="121" t="n"/>
      <c r="DW50" s="122" t="n"/>
      <c r="DX50" s="121" t="n"/>
      <c r="DY50" s="122" t="n"/>
      <c r="DZ50" s="121" t="n"/>
      <c r="EA50" s="122" t="n"/>
      <c r="EB50" s="121" t="n"/>
      <c r="EC50" s="122" t="n"/>
      <c r="ED50" s="121" t="n"/>
      <c r="EE50" s="122" t="n"/>
      <c r="EF50" s="121" t="n"/>
      <c r="EG50" s="122" t="n"/>
      <c r="EH50" s="121" t="n"/>
      <c r="EI50" s="122" t="n"/>
      <c r="EJ50" s="121" t="n"/>
      <c r="EK50" s="122" t="n"/>
      <c r="EL50" s="190" t="n"/>
      <c r="EM50" s="124" t="n"/>
      <c r="EN50" s="125" t="n"/>
      <c r="EO50" s="124" t="n"/>
      <c r="EP50" s="125" t="n"/>
      <c r="EQ50" s="124" t="n"/>
      <c r="ER50" s="125" t="n"/>
      <c r="ES50" s="124" t="n"/>
      <c r="ET50" s="125" t="n"/>
      <c r="EU50" s="124" t="n"/>
      <c r="EV50" s="125" t="n"/>
      <c r="EW50" s="124" t="n"/>
      <c r="EX50" s="125" t="n"/>
      <c r="EY50" s="124" t="n"/>
      <c r="EZ50" s="125" t="n"/>
      <c r="FA50" s="124" t="n"/>
      <c r="FB50" s="125" t="n"/>
      <c r="FC50" s="191" t="n"/>
      <c r="FD50" s="127" t="n"/>
      <c r="FE50" s="128" t="n"/>
      <c r="FF50" s="127" t="n"/>
      <c r="FG50" s="128" t="n"/>
      <c r="FH50" s="127" t="n"/>
      <c r="FI50" s="128" t="n"/>
      <c r="FJ50" s="127" t="n"/>
      <c r="FK50" s="128" t="n"/>
      <c r="FL50" s="127" t="n"/>
      <c r="FM50" s="128" t="n"/>
      <c r="FN50" s="127" t="n"/>
      <c r="FO50" s="128" t="n"/>
      <c r="FP50" s="127" t="n"/>
      <c r="FQ50" s="128" t="n"/>
      <c r="FR50" s="127" t="n"/>
      <c r="FS50" s="128" t="n"/>
      <c r="FT50" s="192" t="n"/>
      <c r="FU50" s="130" t="n"/>
      <c r="FV50" s="131" t="n"/>
      <c r="FW50" s="130" t="n"/>
      <c r="FX50" s="131" t="n"/>
      <c r="FY50" s="130" t="n"/>
      <c r="FZ50" s="131" t="n"/>
      <c r="GA50" s="130" t="n"/>
      <c r="GB50" s="131" t="n"/>
      <c r="GC50" s="130" t="n"/>
      <c r="GD50" s="131" t="n"/>
      <c r="GE50" s="130" t="n"/>
      <c r="GF50" s="131" t="n"/>
      <c r="GG50" s="130" t="n"/>
      <c r="GH50" s="131" t="n"/>
      <c r="GI50" s="130" t="n"/>
      <c r="GJ50" s="131" t="n"/>
      <c r="GK50" s="193" t="n"/>
      <c r="GL50" s="133" t="n"/>
      <c r="GM50" s="134" t="n"/>
      <c r="GN50" s="133" t="n"/>
      <c r="GO50" s="134" t="n"/>
      <c r="GP50" s="133" t="n"/>
      <c r="GQ50" s="134" t="n"/>
      <c r="GR50" s="133" t="n"/>
      <c r="GS50" s="134" t="n"/>
      <c r="GT50" s="133" t="n"/>
      <c r="GU50" s="134" t="n"/>
      <c r="GV50" s="133" t="n"/>
      <c r="GW50" s="134" t="n"/>
      <c r="GX50" s="133" t="n"/>
      <c r="GY50" s="134" t="n"/>
      <c r="GZ50" s="133" t="n"/>
      <c r="HA50" s="134" t="n"/>
      <c r="HB50" s="194" t="n"/>
      <c r="HC50">
        <f>SUMIFS($G50:$HA50,$G$36:$HA$36,"درجة",$H50:$HB50,"&gt;0")</f>
        <v>0</v>
      </c>
      <c r="HD50">
        <f>SUMIFS($H50:$HB50,$G$36:$HA$36,"درجة",$G50:$HA50,"&gt;=0")</f>
        <v>0</v>
      </c>
    </row>
    <row r="51" ht="22.5" customHeight="1">
      <c r="A51" s="36" t="n">
        <v>15</v>
      </c>
      <c r="B51" s="181" t="str">
        <f>IF($B18="","",$B18)</f>
        <v/>
      </c>
      <c r="C51" s="136" t="str">
        <f>IF(OR($B51="",$HD51=0),"",ROUND($HC51,2)&amp;" / "&amp;$HD51)</f>
        <v/>
      </c>
      <c r="D51" s="182" t="str">
        <f>IF(OR($B51="",$HD51=0),"",$HC51/$HD51)</f>
        <v/>
      </c>
      <c r="E51" s="136" t="n"/>
      <c r="F51" s="99" t="str">
        <f>IF($D51="","",IF($D51&gt;=0.85,"ممتاز",IF($D51&gt;=0.75,"جيد جداً",IF($D51&gt;=0.65,"جيد",IF($D51&gt;=0.5,"مقبول","ضعيف")))))</f>
        <v/>
      </c>
      <c r="G51" s="100" t="n"/>
      <c r="H51" s="101" t="n"/>
      <c r="I51" s="100" t="n"/>
      <c r="J51" s="101" t="n"/>
      <c r="K51" s="100" t="n"/>
      <c r="L51" s="101" t="n"/>
      <c r="M51" s="100" t="n"/>
      <c r="N51" s="101" t="n"/>
      <c r="O51" s="100" t="n"/>
      <c r="P51" s="101" t="n"/>
      <c r="Q51" s="100" t="n"/>
      <c r="R51" s="101" t="n"/>
      <c r="S51" s="100" t="n"/>
      <c r="T51" s="101" t="n"/>
      <c r="U51" s="100" t="n"/>
      <c r="V51" s="101" t="n"/>
      <c r="W51" s="183" t="n"/>
      <c r="X51" s="103" t="n"/>
      <c r="Y51" s="104" t="n"/>
      <c r="Z51" s="103" t="n"/>
      <c r="AA51" s="104" t="n"/>
      <c r="AB51" s="103" t="n"/>
      <c r="AC51" s="104" t="n"/>
      <c r="AD51" s="103" t="n"/>
      <c r="AE51" s="104" t="n"/>
      <c r="AF51" s="103" t="n"/>
      <c r="AG51" s="104" t="n"/>
      <c r="AH51" s="103" t="n"/>
      <c r="AI51" s="104" t="n"/>
      <c r="AJ51" s="103" t="n"/>
      <c r="AK51" s="104" t="n"/>
      <c r="AL51" s="103" t="n"/>
      <c r="AM51" s="104" t="n"/>
      <c r="AN51" s="184" t="n"/>
      <c r="AO51" s="106" t="n"/>
      <c r="AP51" s="107" t="n"/>
      <c r="AQ51" s="106" t="n"/>
      <c r="AR51" s="107" t="n"/>
      <c r="AS51" s="106" t="n"/>
      <c r="AT51" s="107" t="n"/>
      <c r="AU51" s="106" t="n"/>
      <c r="AV51" s="107" t="n"/>
      <c r="AW51" s="106" t="n"/>
      <c r="AX51" s="107" t="n"/>
      <c r="AY51" s="106" t="n"/>
      <c r="AZ51" s="107" t="n"/>
      <c r="BA51" s="106" t="n"/>
      <c r="BB51" s="107" t="n"/>
      <c r="BC51" s="106" t="n"/>
      <c r="BD51" s="107" t="n"/>
      <c r="BE51" s="185" t="n"/>
      <c r="BF51" s="109" t="n"/>
      <c r="BG51" s="110" t="n"/>
      <c r="BH51" s="109" t="n"/>
      <c r="BI51" s="110" t="n"/>
      <c r="BJ51" s="109" t="n"/>
      <c r="BK51" s="110" t="n"/>
      <c r="BL51" s="109" t="n"/>
      <c r="BM51" s="110" t="n"/>
      <c r="BN51" s="109" t="n"/>
      <c r="BO51" s="110" t="n"/>
      <c r="BP51" s="109" t="n"/>
      <c r="BQ51" s="110" t="n"/>
      <c r="BR51" s="109" t="n"/>
      <c r="BS51" s="110" t="n"/>
      <c r="BT51" s="109" t="n"/>
      <c r="BU51" s="110" t="n"/>
      <c r="BV51" s="186" t="n"/>
      <c r="BW51" s="112" t="n"/>
      <c r="BX51" s="113" t="n"/>
      <c r="BY51" s="112" t="n"/>
      <c r="BZ51" s="113" t="n"/>
      <c r="CA51" s="112" t="n"/>
      <c r="CB51" s="113" t="n"/>
      <c r="CC51" s="112" t="n"/>
      <c r="CD51" s="113" t="n"/>
      <c r="CE51" s="112" t="n"/>
      <c r="CF51" s="113" t="n"/>
      <c r="CG51" s="112" t="n"/>
      <c r="CH51" s="113" t="n"/>
      <c r="CI51" s="112" t="n"/>
      <c r="CJ51" s="113" t="n"/>
      <c r="CK51" s="112" t="n"/>
      <c r="CL51" s="113" t="n"/>
      <c r="CM51" s="187" t="n"/>
      <c r="CN51" s="115" t="n"/>
      <c r="CO51" s="116" t="n"/>
      <c r="CP51" s="115" t="n"/>
      <c r="CQ51" s="116" t="n"/>
      <c r="CR51" s="115" t="n"/>
      <c r="CS51" s="116" t="n"/>
      <c r="CT51" s="115" t="n"/>
      <c r="CU51" s="116" t="n"/>
      <c r="CV51" s="115" t="n"/>
      <c r="CW51" s="116" t="n"/>
      <c r="CX51" s="115" t="n"/>
      <c r="CY51" s="116" t="n"/>
      <c r="CZ51" s="115" t="n"/>
      <c r="DA51" s="116" t="n"/>
      <c r="DB51" s="115" t="n"/>
      <c r="DC51" s="116" t="n"/>
      <c r="DD51" s="188" t="n"/>
      <c r="DE51" s="118" t="n"/>
      <c r="DF51" s="119" t="n"/>
      <c r="DG51" s="118" t="n"/>
      <c r="DH51" s="119" t="n"/>
      <c r="DI51" s="118" t="n"/>
      <c r="DJ51" s="119" t="n"/>
      <c r="DK51" s="118" t="n"/>
      <c r="DL51" s="119" t="n"/>
      <c r="DM51" s="118" t="n"/>
      <c r="DN51" s="119" t="n"/>
      <c r="DO51" s="118" t="n"/>
      <c r="DP51" s="119" t="n"/>
      <c r="DQ51" s="118" t="n"/>
      <c r="DR51" s="119" t="n"/>
      <c r="DS51" s="118" t="n"/>
      <c r="DT51" s="119" t="n"/>
      <c r="DU51" s="189" t="n"/>
      <c r="DV51" s="121" t="n"/>
      <c r="DW51" s="122" t="n"/>
      <c r="DX51" s="121" t="n"/>
      <c r="DY51" s="122" t="n"/>
      <c r="DZ51" s="121" t="n"/>
      <c r="EA51" s="122" t="n"/>
      <c r="EB51" s="121" t="n"/>
      <c r="EC51" s="122" t="n"/>
      <c r="ED51" s="121" t="n"/>
      <c r="EE51" s="122" t="n"/>
      <c r="EF51" s="121" t="n"/>
      <c r="EG51" s="122" t="n"/>
      <c r="EH51" s="121" t="n"/>
      <c r="EI51" s="122" t="n"/>
      <c r="EJ51" s="121" t="n"/>
      <c r="EK51" s="122" t="n"/>
      <c r="EL51" s="190" t="n"/>
      <c r="EM51" s="124" t="n"/>
      <c r="EN51" s="125" t="n"/>
      <c r="EO51" s="124" t="n"/>
      <c r="EP51" s="125" t="n"/>
      <c r="EQ51" s="124" t="n"/>
      <c r="ER51" s="125" t="n"/>
      <c r="ES51" s="124" t="n"/>
      <c r="ET51" s="125" t="n"/>
      <c r="EU51" s="124" t="n"/>
      <c r="EV51" s="125" t="n"/>
      <c r="EW51" s="124" t="n"/>
      <c r="EX51" s="125" t="n"/>
      <c r="EY51" s="124" t="n"/>
      <c r="EZ51" s="125" t="n"/>
      <c r="FA51" s="124" t="n"/>
      <c r="FB51" s="125" t="n"/>
      <c r="FC51" s="191" t="n"/>
      <c r="FD51" s="127" t="n"/>
      <c r="FE51" s="128" t="n"/>
      <c r="FF51" s="127" t="n"/>
      <c r="FG51" s="128" t="n"/>
      <c r="FH51" s="127" t="n"/>
      <c r="FI51" s="128" t="n"/>
      <c r="FJ51" s="127" t="n"/>
      <c r="FK51" s="128" t="n"/>
      <c r="FL51" s="127" t="n"/>
      <c r="FM51" s="128" t="n"/>
      <c r="FN51" s="127" t="n"/>
      <c r="FO51" s="128" t="n"/>
      <c r="FP51" s="127" t="n"/>
      <c r="FQ51" s="128" t="n"/>
      <c r="FR51" s="127" t="n"/>
      <c r="FS51" s="128" t="n"/>
      <c r="FT51" s="192" t="n"/>
      <c r="FU51" s="130" t="n"/>
      <c r="FV51" s="131" t="n"/>
      <c r="FW51" s="130" t="n"/>
      <c r="FX51" s="131" t="n"/>
      <c r="FY51" s="130" t="n"/>
      <c r="FZ51" s="131" t="n"/>
      <c r="GA51" s="130" t="n"/>
      <c r="GB51" s="131" t="n"/>
      <c r="GC51" s="130" t="n"/>
      <c r="GD51" s="131" t="n"/>
      <c r="GE51" s="130" t="n"/>
      <c r="GF51" s="131" t="n"/>
      <c r="GG51" s="130" t="n"/>
      <c r="GH51" s="131" t="n"/>
      <c r="GI51" s="130" t="n"/>
      <c r="GJ51" s="131" t="n"/>
      <c r="GK51" s="193" t="n"/>
      <c r="GL51" s="133" t="n"/>
      <c r="GM51" s="134" t="n"/>
      <c r="GN51" s="133" t="n"/>
      <c r="GO51" s="134" t="n"/>
      <c r="GP51" s="133" t="n"/>
      <c r="GQ51" s="134" t="n"/>
      <c r="GR51" s="133" t="n"/>
      <c r="GS51" s="134" t="n"/>
      <c r="GT51" s="133" t="n"/>
      <c r="GU51" s="134" t="n"/>
      <c r="GV51" s="133" t="n"/>
      <c r="GW51" s="134" t="n"/>
      <c r="GX51" s="133" t="n"/>
      <c r="GY51" s="134" t="n"/>
      <c r="GZ51" s="133" t="n"/>
      <c r="HA51" s="134" t="n"/>
      <c r="HB51" s="194" t="n"/>
      <c r="HC51">
        <f>SUMIFS($G51:$HA51,$G$36:$HA$36,"درجة",$H51:$HB51,"&gt;0")</f>
        <v>0</v>
      </c>
      <c r="HD51">
        <f>SUMIFS($H51:$HB51,$G$36:$HA$36,"درجة",$G51:$HA51,"&gt;=0")</f>
        <v>0</v>
      </c>
    </row>
    <row r="52" ht="22.5" customHeight="1">
      <c r="A52" s="36" t="n">
        <v>16</v>
      </c>
      <c r="B52" s="181" t="str">
        <f>IF($B19="","",$B19)</f>
        <v/>
      </c>
      <c r="C52" s="136" t="str">
        <f>IF(OR($B52="",$HD52=0),"",ROUND($HC52,2)&amp;" / "&amp;$HD52)</f>
        <v/>
      </c>
      <c r="D52" s="182" t="str">
        <f>IF(OR($B52="",$HD52=0),"",$HC52/$HD52)</f>
        <v/>
      </c>
      <c r="E52" s="136" t="n"/>
      <c r="F52" s="99" t="str">
        <f>IF($D52="","",IF($D52&gt;=0.85,"ممتاز",IF($D52&gt;=0.75,"جيد جداً",IF($D52&gt;=0.65,"جيد",IF($D52&gt;=0.5,"مقبول","ضعيف")))))</f>
        <v/>
      </c>
      <c r="G52" s="100" t="n"/>
      <c r="H52" s="101" t="n"/>
      <c r="I52" s="100" t="n"/>
      <c r="J52" s="101" t="n"/>
      <c r="K52" s="100" t="n"/>
      <c r="L52" s="101" t="n"/>
      <c r="M52" s="100" t="n"/>
      <c r="N52" s="101" t="n"/>
      <c r="O52" s="100" t="n"/>
      <c r="P52" s="101" t="n"/>
      <c r="Q52" s="100" t="n"/>
      <c r="R52" s="101" t="n"/>
      <c r="S52" s="100" t="n"/>
      <c r="T52" s="101" t="n"/>
      <c r="U52" s="100" t="n"/>
      <c r="V52" s="101" t="n"/>
      <c r="W52" s="183" t="n"/>
      <c r="X52" s="103" t="n"/>
      <c r="Y52" s="104" t="n"/>
      <c r="Z52" s="103" t="n"/>
      <c r="AA52" s="104" t="n"/>
      <c r="AB52" s="103" t="n"/>
      <c r="AC52" s="104" t="n"/>
      <c r="AD52" s="103" t="n"/>
      <c r="AE52" s="104" t="n"/>
      <c r="AF52" s="103" t="n"/>
      <c r="AG52" s="104" t="n"/>
      <c r="AH52" s="103" t="n"/>
      <c r="AI52" s="104" t="n"/>
      <c r="AJ52" s="103" t="n"/>
      <c r="AK52" s="104" t="n"/>
      <c r="AL52" s="103" t="n"/>
      <c r="AM52" s="104" t="n"/>
      <c r="AN52" s="184" t="n"/>
      <c r="AO52" s="106" t="n"/>
      <c r="AP52" s="107" t="n"/>
      <c r="AQ52" s="106" t="n"/>
      <c r="AR52" s="107" t="n"/>
      <c r="AS52" s="106" t="n"/>
      <c r="AT52" s="107" t="n"/>
      <c r="AU52" s="106" t="n"/>
      <c r="AV52" s="107" t="n"/>
      <c r="AW52" s="106" t="n"/>
      <c r="AX52" s="107" t="n"/>
      <c r="AY52" s="106" t="n"/>
      <c r="AZ52" s="107" t="n"/>
      <c r="BA52" s="106" t="n"/>
      <c r="BB52" s="107" t="n"/>
      <c r="BC52" s="106" t="n"/>
      <c r="BD52" s="107" t="n"/>
      <c r="BE52" s="185" t="n"/>
      <c r="BF52" s="109" t="n"/>
      <c r="BG52" s="110" t="n"/>
      <c r="BH52" s="109" t="n"/>
      <c r="BI52" s="110" t="n"/>
      <c r="BJ52" s="109" t="n"/>
      <c r="BK52" s="110" t="n"/>
      <c r="BL52" s="109" t="n"/>
      <c r="BM52" s="110" t="n"/>
      <c r="BN52" s="109" t="n"/>
      <c r="BO52" s="110" t="n"/>
      <c r="BP52" s="109" t="n"/>
      <c r="BQ52" s="110" t="n"/>
      <c r="BR52" s="109" t="n"/>
      <c r="BS52" s="110" t="n"/>
      <c r="BT52" s="109" t="n"/>
      <c r="BU52" s="110" t="n"/>
      <c r="BV52" s="186" t="n"/>
      <c r="BW52" s="112" t="n"/>
      <c r="BX52" s="113" t="n"/>
      <c r="BY52" s="112" t="n"/>
      <c r="BZ52" s="113" t="n"/>
      <c r="CA52" s="112" t="n"/>
      <c r="CB52" s="113" t="n"/>
      <c r="CC52" s="112" t="n"/>
      <c r="CD52" s="113" t="n"/>
      <c r="CE52" s="112" t="n"/>
      <c r="CF52" s="113" t="n"/>
      <c r="CG52" s="112" t="n"/>
      <c r="CH52" s="113" t="n"/>
      <c r="CI52" s="112" t="n"/>
      <c r="CJ52" s="113" t="n"/>
      <c r="CK52" s="112" t="n"/>
      <c r="CL52" s="113" t="n"/>
      <c r="CM52" s="187" t="n"/>
      <c r="CN52" s="115" t="n"/>
      <c r="CO52" s="116" t="n"/>
      <c r="CP52" s="115" t="n"/>
      <c r="CQ52" s="116" t="n"/>
      <c r="CR52" s="115" t="n"/>
      <c r="CS52" s="116" t="n"/>
      <c r="CT52" s="115" t="n"/>
      <c r="CU52" s="116" t="n"/>
      <c r="CV52" s="115" t="n"/>
      <c r="CW52" s="116" t="n"/>
      <c r="CX52" s="115" t="n"/>
      <c r="CY52" s="116" t="n"/>
      <c r="CZ52" s="115" t="n"/>
      <c r="DA52" s="116" t="n"/>
      <c r="DB52" s="115" t="n"/>
      <c r="DC52" s="116" t="n"/>
      <c r="DD52" s="188" t="n"/>
      <c r="DE52" s="118" t="n"/>
      <c r="DF52" s="119" t="n"/>
      <c r="DG52" s="118" t="n"/>
      <c r="DH52" s="119" t="n"/>
      <c r="DI52" s="118" t="n"/>
      <c r="DJ52" s="119" t="n"/>
      <c r="DK52" s="118" t="n"/>
      <c r="DL52" s="119" t="n"/>
      <c r="DM52" s="118" t="n"/>
      <c r="DN52" s="119" t="n"/>
      <c r="DO52" s="118" t="n"/>
      <c r="DP52" s="119" t="n"/>
      <c r="DQ52" s="118" t="n"/>
      <c r="DR52" s="119" t="n"/>
      <c r="DS52" s="118" t="n"/>
      <c r="DT52" s="119" t="n"/>
      <c r="DU52" s="189" t="n"/>
      <c r="DV52" s="121" t="n"/>
      <c r="DW52" s="122" t="n"/>
      <c r="DX52" s="121" t="n"/>
      <c r="DY52" s="122" t="n"/>
      <c r="DZ52" s="121" t="n"/>
      <c r="EA52" s="122" t="n"/>
      <c r="EB52" s="121" t="n"/>
      <c r="EC52" s="122" t="n"/>
      <c r="ED52" s="121" t="n"/>
      <c r="EE52" s="122" t="n"/>
      <c r="EF52" s="121" t="n"/>
      <c r="EG52" s="122" t="n"/>
      <c r="EH52" s="121" t="n"/>
      <c r="EI52" s="122" t="n"/>
      <c r="EJ52" s="121" t="n"/>
      <c r="EK52" s="122" t="n"/>
      <c r="EL52" s="190" t="n"/>
      <c r="EM52" s="124" t="n"/>
      <c r="EN52" s="125" t="n"/>
      <c r="EO52" s="124" t="n"/>
      <c r="EP52" s="125" t="n"/>
      <c r="EQ52" s="124" t="n"/>
      <c r="ER52" s="125" t="n"/>
      <c r="ES52" s="124" t="n"/>
      <c r="ET52" s="125" t="n"/>
      <c r="EU52" s="124" t="n"/>
      <c r="EV52" s="125" t="n"/>
      <c r="EW52" s="124" t="n"/>
      <c r="EX52" s="125" t="n"/>
      <c r="EY52" s="124" t="n"/>
      <c r="EZ52" s="125" t="n"/>
      <c r="FA52" s="124" t="n"/>
      <c r="FB52" s="125" t="n"/>
      <c r="FC52" s="191" t="n"/>
      <c r="FD52" s="127" t="n"/>
      <c r="FE52" s="128" t="n"/>
      <c r="FF52" s="127" t="n"/>
      <c r="FG52" s="128" t="n"/>
      <c r="FH52" s="127" t="n"/>
      <c r="FI52" s="128" t="n"/>
      <c r="FJ52" s="127" t="n"/>
      <c r="FK52" s="128" t="n"/>
      <c r="FL52" s="127" t="n"/>
      <c r="FM52" s="128" t="n"/>
      <c r="FN52" s="127" t="n"/>
      <c r="FO52" s="128" t="n"/>
      <c r="FP52" s="127" t="n"/>
      <c r="FQ52" s="128" t="n"/>
      <c r="FR52" s="127" t="n"/>
      <c r="FS52" s="128" t="n"/>
      <c r="FT52" s="192" t="n"/>
      <c r="FU52" s="130" t="n"/>
      <c r="FV52" s="131" t="n"/>
      <c r="FW52" s="130" t="n"/>
      <c r="FX52" s="131" t="n"/>
      <c r="FY52" s="130" t="n"/>
      <c r="FZ52" s="131" t="n"/>
      <c r="GA52" s="130" t="n"/>
      <c r="GB52" s="131" t="n"/>
      <c r="GC52" s="130" t="n"/>
      <c r="GD52" s="131" t="n"/>
      <c r="GE52" s="130" t="n"/>
      <c r="GF52" s="131" t="n"/>
      <c r="GG52" s="130" t="n"/>
      <c r="GH52" s="131" t="n"/>
      <c r="GI52" s="130" t="n"/>
      <c r="GJ52" s="131" t="n"/>
      <c r="GK52" s="193" t="n"/>
      <c r="GL52" s="133" t="n"/>
      <c r="GM52" s="134" t="n"/>
      <c r="GN52" s="133" t="n"/>
      <c r="GO52" s="134" t="n"/>
      <c r="GP52" s="133" t="n"/>
      <c r="GQ52" s="134" t="n"/>
      <c r="GR52" s="133" t="n"/>
      <c r="GS52" s="134" t="n"/>
      <c r="GT52" s="133" t="n"/>
      <c r="GU52" s="134" t="n"/>
      <c r="GV52" s="133" t="n"/>
      <c r="GW52" s="134" t="n"/>
      <c r="GX52" s="133" t="n"/>
      <c r="GY52" s="134" t="n"/>
      <c r="GZ52" s="133" t="n"/>
      <c r="HA52" s="134" t="n"/>
      <c r="HB52" s="194" t="n"/>
      <c r="HC52">
        <f>SUMIFS($G52:$HA52,$G$36:$HA$36,"درجة",$H52:$HB52,"&gt;0")</f>
        <v>0</v>
      </c>
      <c r="HD52">
        <f>SUMIFS($H52:$HB52,$G$36:$HA$36,"درجة",$G52:$HA52,"&gt;=0")</f>
        <v>0</v>
      </c>
    </row>
    <row r="53" ht="22.5" customHeight="1">
      <c r="A53" s="36" t="n">
        <v>17</v>
      </c>
      <c r="B53" s="181" t="str">
        <f>IF($B20="","",$B20)</f>
        <v/>
      </c>
      <c r="C53" s="136" t="str">
        <f>IF(OR($B53="",$HD53=0),"",ROUND($HC53,2)&amp;" / "&amp;$HD53)</f>
        <v/>
      </c>
      <c r="D53" s="182" t="str">
        <f>IF(OR($B53="",$HD53=0),"",$HC53/$HD53)</f>
        <v/>
      </c>
      <c r="E53" s="136" t="n"/>
      <c r="F53" s="99" t="str">
        <f>IF($D53="","",IF($D53&gt;=0.85,"ممتاز",IF($D53&gt;=0.75,"جيد جداً",IF($D53&gt;=0.65,"جيد",IF($D53&gt;=0.5,"مقبول","ضعيف")))))</f>
        <v/>
      </c>
      <c r="G53" s="100" t="n"/>
      <c r="H53" s="101" t="n"/>
      <c r="I53" s="100" t="n"/>
      <c r="J53" s="101" t="n"/>
      <c r="K53" s="100" t="n"/>
      <c r="L53" s="101" t="n"/>
      <c r="M53" s="100" t="n"/>
      <c r="N53" s="101" t="n"/>
      <c r="O53" s="100" t="n"/>
      <c r="P53" s="101" t="n"/>
      <c r="Q53" s="100" t="n"/>
      <c r="R53" s="101" t="n"/>
      <c r="S53" s="100" t="n"/>
      <c r="T53" s="101" t="n"/>
      <c r="U53" s="100" t="n"/>
      <c r="V53" s="101" t="n"/>
      <c r="W53" s="183" t="n"/>
      <c r="X53" s="103" t="n"/>
      <c r="Y53" s="104" t="n"/>
      <c r="Z53" s="103" t="n"/>
      <c r="AA53" s="104" t="n"/>
      <c r="AB53" s="103" t="n"/>
      <c r="AC53" s="104" t="n"/>
      <c r="AD53" s="103" t="n"/>
      <c r="AE53" s="104" t="n"/>
      <c r="AF53" s="103" t="n"/>
      <c r="AG53" s="104" t="n"/>
      <c r="AH53" s="103" t="n"/>
      <c r="AI53" s="104" t="n"/>
      <c r="AJ53" s="103" t="n"/>
      <c r="AK53" s="104" t="n"/>
      <c r="AL53" s="103" t="n"/>
      <c r="AM53" s="104" t="n"/>
      <c r="AN53" s="184" t="n"/>
      <c r="AO53" s="106" t="n"/>
      <c r="AP53" s="107" t="n"/>
      <c r="AQ53" s="106" t="n"/>
      <c r="AR53" s="107" t="n"/>
      <c r="AS53" s="106" t="n"/>
      <c r="AT53" s="107" t="n"/>
      <c r="AU53" s="106" t="n"/>
      <c r="AV53" s="107" t="n"/>
      <c r="AW53" s="106" t="n"/>
      <c r="AX53" s="107" t="n"/>
      <c r="AY53" s="106" t="n"/>
      <c r="AZ53" s="107" t="n"/>
      <c r="BA53" s="106" t="n"/>
      <c r="BB53" s="107" t="n"/>
      <c r="BC53" s="106" t="n"/>
      <c r="BD53" s="107" t="n"/>
      <c r="BE53" s="185" t="n"/>
      <c r="BF53" s="109" t="n"/>
      <c r="BG53" s="110" t="n"/>
      <c r="BH53" s="109" t="n"/>
      <c r="BI53" s="110" t="n"/>
      <c r="BJ53" s="109" t="n"/>
      <c r="BK53" s="110" t="n"/>
      <c r="BL53" s="109" t="n"/>
      <c r="BM53" s="110" t="n"/>
      <c r="BN53" s="109" t="n"/>
      <c r="BO53" s="110" t="n"/>
      <c r="BP53" s="109" t="n"/>
      <c r="BQ53" s="110" t="n"/>
      <c r="BR53" s="109" t="n"/>
      <c r="BS53" s="110" t="n"/>
      <c r="BT53" s="109" t="n"/>
      <c r="BU53" s="110" t="n"/>
      <c r="BV53" s="186" t="n"/>
      <c r="BW53" s="112" t="n"/>
      <c r="BX53" s="113" t="n"/>
      <c r="BY53" s="112" t="n"/>
      <c r="BZ53" s="113" t="n"/>
      <c r="CA53" s="112" t="n"/>
      <c r="CB53" s="113" t="n"/>
      <c r="CC53" s="112" t="n"/>
      <c r="CD53" s="113" t="n"/>
      <c r="CE53" s="112" t="n"/>
      <c r="CF53" s="113" t="n"/>
      <c r="CG53" s="112" t="n"/>
      <c r="CH53" s="113" t="n"/>
      <c r="CI53" s="112" t="n"/>
      <c r="CJ53" s="113" t="n"/>
      <c r="CK53" s="112" t="n"/>
      <c r="CL53" s="113" t="n"/>
      <c r="CM53" s="187" t="n"/>
      <c r="CN53" s="115" t="n"/>
      <c r="CO53" s="116" t="n"/>
      <c r="CP53" s="115" t="n"/>
      <c r="CQ53" s="116" t="n"/>
      <c r="CR53" s="115" t="n"/>
      <c r="CS53" s="116" t="n"/>
      <c r="CT53" s="115" t="n"/>
      <c r="CU53" s="116" t="n"/>
      <c r="CV53" s="115" t="n"/>
      <c r="CW53" s="116" t="n"/>
      <c r="CX53" s="115" t="n"/>
      <c r="CY53" s="116" t="n"/>
      <c r="CZ53" s="115" t="n"/>
      <c r="DA53" s="116" t="n"/>
      <c r="DB53" s="115" t="n"/>
      <c r="DC53" s="116" t="n"/>
      <c r="DD53" s="188" t="n"/>
      <c r="DE53" s="118" t="n"/>
      <c r="DF53" s="119" t="n"/>
      <c r="DG53" s="118" t="n"/>
      <c r="DH53" s="119" t="n"/>
      <c r="DI53" s="118" t="n"/>
      <c r="DJ53" s="119" t="n"/>
      <c r="DK53" s="118" t="n"/>
      <c r="DL53" s="119" t="n"/>
      <c r="DM53" s="118" t="n"/>
      <c r="DN53" s="119" t="n"/>
      <c r="DO53" s="118" t="n"/>
      <c r="DP53" s="119" t="n"/>
      <c r="DQ53" s="118" t="n"/>
      <c r="DR53" s="119" t="n"/>
      <c r="DS53" s="118" t="n"/>
      <c r="DT53" s="119" t="n"/>
      <c r="DU53" s="189" t="n"/>
      <c r="DV53" s="121" t="n"/>
      <c r="DW53" s="122" t="n"/>
      <c r="DX53" s="121" t="n"/>
      <c r="DY53" s="122" t="n"/>
      <c r="DZ53" s="121" t="n"/>
      <c r="EA53" s="122" t="n"/>
      <c r="EB53" s="121" t="n"/>
      <c r="EC53" s="122" t="n"/>
      <c r="ED53" s="121" t="n"/>
      <c r="EE53" s="122" t="n"/>
      <c r="EF53" s="121" t="n"/>
      <c r="EG53" s="122" t="n"/>
      <c r="EH53" s="121" t="n"/>
      <c r="EI53" s="122" t="n"/>
      <c r="EJ53" s="121" t="n"/>
      <c r="EK53" s="122" t="n"/>
      <c r="EL53" s="190" t="n"/>
      <c r="EM53" s="124" t="n"/>
      <c r="EN53" s="125" t="n"/>
      <c r="EO53" s="124" t="n"/>
      <c r="EP53" s="125" t="n"/>
      <c r="EQ53" s="124" t="n"/>
      <c r="ER53" s="125" t="n"/>
      <c r="ES53" s="124" t="n"/>
      <c r="ET53" s="125" t="n"/>
      <c r="EU53" s="124" t="n"/>
      <c r="EV53" s="125" t="n"/>
      <c r="EW53" s="124" t="n"/>
      <c r="EX53" s="125" t="n"/>
      <c r="EY53" s="124" t="n"/>
      <c r="EZ53" s="125" t="n"/>
      <c r="FA53" s="124" t="n"/>
      <c r="FB53" s="125" t="n"/>
      <c r="FC53" s="191" t="n"/>
      <c r="FD53" s="127" t="n"/>
      <c r="FE53" s="128" t="n"/>
      <c r="FF53" s="127" t="n"/>
      <c r="FG53" s="128" t="n"/>
      <c r="FH53" s="127" t="n"/>
      <c r="FI53" s="128" t="n"/>
      <c r="FJ53" s="127" t="n"/>
      <c r="FK53" s="128" t="n"/>
      <c r="FL53" s="127" t="n"/>
      <c r="FM53" s="128" t="n"/>
      <c r="FN53" s="127" t="n"/>
      <c r="FO53" s="128" t="n"/>
      <c r="FP53" s="127" t="n"/>
      <c r="FQ53" s="128" t="n"/>
      <c r="FR53" s="127" t="n"/>
      <c r="FS53" s="128" t="n"/>
      <c r="FT53" s="192" t="n"/>
      <c r="FU53" s="130" t="n"/>
      <c r="FV53" s="131" t="n"/>
      <c r="FW53" s="130" t="n"/>
      <c r="FX53" s="131" t="n"/>
      <c r="FY53" s="130" t="n"/>
      <c r="FZ53" s="131" t="n"/>
      <c r="GA53" s="130" t="n"/>
      <c r="GB53" s="131" t="n"/>
      <c r="GC53" s="130" t="n"/>
      <c r="GD53" s="131" t="n"/>
      <c r="GE53" s="130" t="n"/>
      <c r="GF53" s="131" t="n"/>
      <c r="GG53" s="130" t="n"/>
      <c r="GH53" s="131" t="n"/>
      <c r="GI53" s="130" t="n"/>
      <c r="GJ53" s="131" t="n"/>
      <c r="GK53" s="193" t="n"/>
      <c r="GL53" s="133" t="n"/>
      <c r="GM53" s="134" t="n"/>
      <c r="GN53" s="133" t="n"/>
      <c r="GO53" s="134" t="n"/>
      <c r="GP53" s="133" t="n"/>
      <c r="GQ53" s="134" t="n"/>
      <c r="GR53" s="133" t="n"/>
      <c r="GS53" s="134" t="n"/>
      <c r="GT53" s="133" t="n"/>
      <c r="GU53" s="134" t="n"/>
      <c r="GV53" s="133" t="n"/>
      <c r="GW53" s="134" t="n"/>
      <c r="GX53" s="133" t="n"/>
      <c r="GY53" s="134" t="n"/>
      <c r="GZ53" s="133" t="n"/>
      <c r="HA53" s="134" t="n"/>
      <c r="HB53" s="194" t="n"/>
      <c r="HC53">
        <f>SUMIFS($G53:$HA53,$G$36:$HA$36,"درجة",$H53:$HB53,"&gt;0")</f>
        <v>0</v>
      </c>
      <c r="HD53">
        <f>SUMIFS($H53:$HB53,$G$36:$HA$36,"درجة",$G53:$HA53,"&gt;=0")</f>
        <v>0</v>
      </c>
    </row>
    <row r="54" ht="22.5" customHeight="1">
      <c r="A54" s="36" t="n">
        <v>18</v>
      </c>
      <c r="B54" s="181" t="str">
        <f>IF($B21="","",$B21)</f>
        <v/>
      </c>
      <c r="C54" s="136" t="str">
        <f>IF(OR($B54="",$HD54=0),"",ROUND($HC54,2)&amp;" / "&amp;$HD54)</f>
        <v/>
      </c>
      <c r="D54" s="182" t="str">
        <f>IF(OR($B54="",$HD54=0),"",$HC54/$HD54)</f>
        <v/>
      </c>
      <c r="E54" s="136" t="n"/>
      <c r="F54" s="99" t="str">
        <f>IF($D54="","",IF($D54&gt;=0.85,"ممتاز",IF($D54&gt;=0.75,"جيد جداً",IF($D54&gt;=0.65,"جيد",IF($D54&gt;=0.5,"مقبول","ضعيف")))))</f>
        <v/>
      </c>
      <c r="G54" s="100" t="n"/>
      <c r="H54" s="101" t="n"/>
      <c r="I54" s="100" t="n"/>
      <c r="J54" s="101" t="n"/>
      <c r="K54" s="100" t="n"/>
      <c r="L54" s="101" t="n"/>
      <c r="M54" s="100" t="n"/>
      <c r="N54" s="101" t="n"/>
      <c r="O54" s="100" t="n"/>
      <c r="P54" s="101" t="n"/>
      <c r="Q54" s="100" t="n"/>
      <c r="R54" s="101" t="n"/>
      <c r="S54" s="100" t="n"/>
      <c r="T54" s="101" t="n"/>
      <c r="U54" s="100" t="n"/>
      <c r="V54" s="101" t="n"/>
      <c r="W54" s="183" t="n"/>
      <c r="X54" s="103" t="n"/>
      <c r="Y54" s="104" t="n"/>
      <c r="Z54" s="103" t="n"/>
      <c r="AA54" s="104" t="n"/>
      <c r="AB54" s="103" t="n"/>
      <c r="AC54" s="104" t="n"/>
      <c r="AD54" s="103" t="n"/>
      <c r="AE54" s="104" t="n"/>
      <c r="AF54" s="103" t="n"/>
      <c r="AG54" s="104" t="n"/>
      <c r="AH54" s="103" t="n"/>
      <c r="AI54" s="104" t="n"/>
      <c r="AJ54" s="103" t="n"/>
      <c r="AK54" s="104" t="n"/>
      <c r="AL54" s="103" t="n"/>
      <c r="AM54" s="104" t="n"/>
      <c r="AN54" s="184" t="n"/>
      <c r="AO54" s="106" t="n"/>
      <c r="AP54" s="107" t="n"/>
      <c r="AQ54" s="106" t="n"/>
      <c r="AR54" s="107" t="n"/>
      <c r="AS54" s="106" t="n"/>
      <c r="AT54" s="107" t="n"/>
      <c r="AU54" s="106" t="n"/>
      <c r="AV54" s="107" t="n"/>
      <c r="AW54" s="106" t="n"/>
      <c r="AX54" s="107" t="n"/>
      <c r="AY54" s="106" t="n"/>
      <c r="AZ54" s="107" t="n"/>
      <c r="BA54" s="106" t="n"/>
      <c r="BB54" s="107" t="n"/>
      <c r="BC54" s="106" t="n"/>
      <c r="BD54" s="107" t="n"/>
      <c r="BE54" s="185" t="n"/>
      <c r="BF54" s="109" t="n"/>
      <c r="BG54" s="110" t="n"/>
      <c r="BH54" s="109" t="n"/>
      <c r="BI54" s="110" t="n"/>
      <c r="BJ54" s="109" t="n"/>
      <c r="BK54" s="110" t="n"/>
      <c r="BL54" s="109" t="n"/>
      <c r="BM54" s="110" t="n"/>
      <c r="BN54" s="109" t="n"/>
      <c r="BO54" s="110" t="n"/>
      <c r="BP54" s="109" t="n"/>
      <c r="BQ54" s="110" t="n"/>
      <c r="BR54" s="109" t="n"/>
      <c r="BS54" s="110" t="n"/>
      <c r="BT54" s="109" t="n"/>
      <c r="BU54" s="110" t="n"/>
      <c r="BV54" s="186" t="n"/>
      <c r="BW54" s="112" t="n"/>
      <c r="BX54" s="113" t="n"/>
      <c r="BY54" s="112" t="n"/>
      <c r="BZ54" s="113" t="n"/>
      <c r="CA54" s="112" t="n"/>
      <c r="CB54" s="113" t="n"/>
      <c r="CC54" s="112" t="n"/>
      <c r="CD54" s="113" t="n"/>
      <c r="CE54" s="112" t="n"/>
      <c r="CF54" s="113" t="n"/>
      <c r="CG54" s="112" t="n"/>
      <c r="CH54" s="113" t="n"/>
      <c r="CI54" s="112" t="n"/>
      <c r="CJ54" s="113" t="n"/>
      <c r="CK54" s="112" t="n"/>
      <c r="CL54" s="113" t="n"/>
      <c r="CM54" s="187" t="n"/>
      <c r="CN54" s="115" t="n"/>
      <c r="CO54" s="116" t="n"/>
      <c r="CP54" s="115" t="n"/>
      <c r="CQ54" s="116" t="n"/>
      <c r="CR54" s="115" t="n"/>
      <c r="CS54" s="116" t="n"/>
      <c r="CT54" s="115" t="n"/>
      <c r="CU54" s="116" t="n"/>
      <c r="CV54" s="115" t="n"/>
      <c r="CW54" s="116" t="n"/>
      <c r="CX54" s="115" t="n"/>
      <c r="CY54" s="116" t="n"/>
      <c r="CZ54" s="115" t="n"/>
      <c r="DA54" s="116" t="n"/>
      <c r="DB54" s="115" t="n"/>
      <c r="DC54" s="116" t="n"/>
      <c r="DD54" s="188" t="n"/>
      <c r="DE54" s="118" t="n"/>
      <c r="DF54" s="119" t="n"/>
      <c r="DG54" s="118" t="n"/>
      <c r="DH54" s="119" t="n"/>
      <c r="DI54" s="118" t="n"/>
      <c r="DJ54" s="119" t="n"/>
      <c r="DK54" s="118" t="n"/>
      <c r="DL54" s="119" t="n"/>
      <c r="DM54" s="118" t="n"/>
      <c r="DN54" s="119" t="n"/>
      <c r="DO54" s="118" t="n"/>
      <c r="DP54" s="119" t="n"/>
      <c r="DQ54" s="118" t="n"/>
      <c r="DR54" s="119" t="n"/>
      <c r="DS54" s="118" t="n"/>
      <c r="DT54" s="119" t="n"/>
      <c r="DU54" s="189" t="n"/>
      <c r="DV54" s="121" t="n"/>
      <c r="DW54" s="122" t="n"/>
      <c r="DX54" s="121" t="n"/>
      <c r="DY54" s="122" t="n"/>
      <c r="DZ54" s="121" t="n"/>
      <c r="EA54" s="122" t="n"/>
      <c r="EB54" s="121" t="n"/>
      <c r="EC54" s="122" t="n"/>
      <c r="ED54" s="121" t="n"/>
      <c r="EE54" s="122" t="n"/>
      <c r="EF54" s="121" t="n"/>
      <c r="EG54" s="122" t="n"/>
      <c r="EH54" s="121" t="n"/>
      <c r="EI54" s="122" t="n"/>
      <c r="EJ54" s="121" t="n"/>
      <c r="EK54" s="122" t="n"/>
      <c r="EL54" s="190" t="n"/>
      <c r="EM54" s="124" t="n"/>
      <c r="EN54" s="125" t="n"/>
      <c r="EO54" s="124" t="n"/>
      <c r="EP54" s="125" t="n"/>
      <c r="EQ54" s="124" t="n"/>
      <c r="ER54" s="125" t="n"/>
      <c r="ES54" s="124" t="n"/>
      <c r="ET54" s="125" t="n"/>
      <c r="EU54" s="124" t="n"/>
      <c r="EV54" s="125" t="n"/>
      <c r="EW54" s="124" t="n"/>
      <c r="EX54" s="125" t="n"/>
      <c r="EY54" s="124" t="n"/>
      <c r="EZ54" s="125" t="n"/>
      <c r="FA54" s="124" t="n"/>
      <c r="FB54" s="125" t="n"/>
      <c r="FC54" s="191" t="n"/>
      <c r="FD54" s="127" t="n"/>
      <c r="FE54" s="128" t="n"/>
      <c r="FF54" s="127" t="n"/>
      <c r="FG54" s="128" t="n"/>
      <c r="FH54" s="127" t="n"/>
      <c r="FI54" s="128" t="n"/>
      <c r="FJ54" s="127" t="n"/>
      <c r="FK54" s="128" t="n"/>
      <c r="FL54" s="127" t="n"/>
      <c r="FM54" s="128" t="n"/>
      <c r="FN54" s="127" t="n"/>
      <c r="FO54" s="128" t="n"/>
      <c r="FP54" s="127" t="n"/>
      <c r="FQ54" s="128" t="n"/>
      <c r="FR54" s="127" t="n"/>
      <c r="FS54" s="128" t="n"/>
      <c r="FT54" s="192" t="n"/>
      <c r="FU54" s="130" t="n"/>
      <c r="FV54" s="131" t="n"/>
      <c r="FW54" s="130" t="n"/>
      <c r="FX54" s="131" t="n"/>
      <c r="FY54" s="130" t="n"/>
      <c r="FZ54" s="131" t="n"/>
      <c r="GA54" s="130" t="n"/>
      <c r="GB54" s="131" t="n"/>
      <c r="GC54" s="130" t="n"/>
      <c r="GD54" s="131" t="n"/>
      <c r="GE54" s="130" t="n"/>
      <c r="GF54" s="131" t="n"/>
      <c r="GG54" s="130" t="n"/>
      <c r="GH54" s="131" t="n"/>
      <c r="GI54" s="130" t="n"/>
      <c r="GJ54" s="131" t="n"/>
      <c r="GK54" s="193" t="n"/>
      <c r="GL54" s="133" t="n"/>
      <c r="GM54" s="134" t="n"/>
      <c r="GN54" s="133" t="n"/>
      <c r="GO54" s="134" t="n"/>
      <c r="GP54" s="133" t="n"/>
      <c r="GQ54" s="134" t="n"/>
      <c r="GR54" s="133" t="n"/>
      <c r="GS54" s="134" t="n"/>
      <c r="GT54" s="133" t="n"/>
      <c r="GU54" s="134" t="n"/>
      <c r="GV54" s="133" t="n"/>
      <c r="GW54" s="134" t="n"/>
      <c r="GX54" s="133" t="n"/>
      <c r="GY54" s="134" t="n"/>
      <c r="GZ54" s="133" t="n"/>
      <c r="HA54" s="134" t="n"/>
      <c r="HB54" s="194" t="n"/>
      <c r="HC54">
        <f>SUMIFS($G54:$HA54,$G$36:$HA$36,"درجة",$H54:$HB54,"&gt;0")</f>
        <v>0</v>
      </c>
      <c r="HD54">
        <f>SUMIFS($H54:$HB54,$G$36:$HA$36,"درجة",$G54:$HA54,"&gt;=0")</f>
        <v>0</v>
      </c>
    </row>
    <row r="55" ht="22.5" customHeight="1">
      <c r="A55" s="36" t="n">
        <v>19</v>
      </c>
      <c r="B55" s="181" t="str">
        <f>IF($B22="","",$B22)</f>
        <v/>
      </c>
      <c r="C55" s="136" t="str">
        <f>IF(OR($B55="",$HD55=0),"",ROUND($HC55,2)&amp;" / "&amp;$HD55)</f>
        <v/>
      </c>
      <c r="D55" s="182" t="str">
        <f>IF(OR($B55="",$HD55=0),"",$HC55/$HD55)</f>
        <v/>
      </c>
      <c r="E55" s="136" t="n"/>
      <c r="F55" s="99" t="str">
        <f>IF($D55="","",IF($D55&gt;=0.85,"ممتاز",IF($D55&gt;=0.75,"جيد جداً",IF($D55&gt;=0.65,"جيد",IF($D55&gt;=0.5,"مقبول","ضعيف")))))</f>
        <v/>
      </c>
      <c r="G55" s="100" t="n"/>
      <c r="H55" s="101" t="n"/>
      <c r="I55" s="100" t="n"/>
      <c r="J55" s="101" t="n"/>
      <c r="K55" s="100" t="n"/>
      <c r="L55" s="101" t="n"/>
      <c r="M55" s="100" t="n"/>
      <c r="N55" s="101" t="n"/>
      <c r="O55" s="100" t="n"/>
      <c r="P55" s="101" t="n"/>
      <c r="Q55" s="100" t="n"/>
      <c r="R55" s="101" t="n"/>
      <c r="S55" s="100" t="n"/>
      <c r="T55" s="101" t="n"/>
      <c r="U55" s="100" t="n"/>
      <c r="V55" s="101" t="n"/>
      <c r="W55" s="183" t="n"/>
      <c r="X55" s="103" t="n"/>
      <c r="Y55" s="104" t="n"/>
      <c r="Z55" s="103" t="n"/>
      <c r="AA55" s="104" t="n"/>
      <c r="AB55" s="103" t="n"/>
      <c r="AC55" s="104" t="n"/>
      <c r="AD55" s="103" t="n"/>
      <c r="AE55" s="104" t="n"/>
      <c r="AF55" s="103" t="n"/>
      <c r="AG55" s="104" t="n"/>
      <c r="AH55" s="103" t="n"/>
      <c r="AI55" s="104" t="n"/>
      <c r="AJ55" s="103" t="n"/>
      <c r="AK55" s="104" t="n"/>
      <c r="AL55" s="103" t="n"/>
      <c r="AM55" s="104" t="n"/>
      <c r="AN55" s="184" t="n"/>
      <c r="AO55" s="106" t="n"/>
      <c r="AP55" s="107" t="n"/>
      <c r="AQ55" s="106" t="n"/>
      <c r="AR55" s="107" t="n"/>
      <c r="AS55" s="106" t="n"/>
      <c r="AT55" s="107" t="n"/>
      <c r="AU55" s="106" t="n"/>
      <c r="AV55" s="107" t="n"/>
      <c r="AW55" s="106" t="n"/>
      <c r="AX55" s="107" t="n"/>
      <c r="AY55" s="106" t="n"/>
      <c r="AZ55" s="107" t="n"/>
      <c r="BA55" s="106" t="n"/>
      <c r="BB55" s="107" t="n"/>
      <c r="BC55" s="106" t="n"/>
      <c r="BD55" s="107" t="n"/>
      <c r="BE55" s="185" t="n"/>
      <c r="BF55" s="109" t="n"/>
      <c r="BG55" s="110" t="n"/>
      <c r="BH55" s="109" t="n"/>
      <c r="BI55" s="110" t="n"/>
      <c r="BJ55" s="109" t="n"/>
      <c r="BK55" s="110" t="n"/>
      <c r="BL55" s="109" t="n"/>
      <c r="BM55" s="110" t="n"/>
      <c r="BN55" s="109" t="n"/>
      <c r="BO55" s="110" t="n"/>
      <c r="BP55" s="109" t="n"/>
      <c r="BQ55" s="110" t="n"/>
      <c r="BR55" s="109" t="n"/>
      <c r="BS55" s="110" t="n"/>
      <c r="BT55" s="109" t="n"/>
      <c r="BU55" s="110" t="n"/>
      <c r="BV55" s="186" t="n"/>
      <c r="BW55" s="112" t="n"/>
      <c r="BX55" s="113" t="n"/>
      <c r="BY55" s="112" t="n"/>
      <c r="BZ55" s="113" t="n"/>
      <c r="CA55" s="112" t="n"/>
      <c r="CB55" s="113" t="n"/>
      <c r="CC55" s="112" t="n"/>
      <c r="CD55" s="113" t="n"/>
      <c r="CE55" s="112" t="n"/>
      <c r="CF55" s="113" t="n"/>
      <c r="CG55" s="112" t="n"/>
      <c r="CH55" s="113" t="n"/>
      <c r="CI55" s="112" t="n"/>
      <c r="CJ55" s="113" t="n"/>
      <c r="CK55" s="112" t="n"/>
      <c r="CL55" s="113" t="n"/>
      <c r="CM55" s="187" t="n"/>
      <c r="CN55" s="115" t="n"/>
      <c r="CO55" s="116" t="n"/>
      <c r="CP55" s="115" t="n"/>
      <c r="CQ55" s="116" t="n"/>
      <c r="CR55" s="115" t="n"/>
      <c r="CS55" s="116" t="n"/>
      <c r="CT55" s="115" t="n"/>
      <c r="CU55" s="116" t="n"/>
      <c r="CV55" s="115" t="n"/>
      <c r="CW55" s="116" t="n"/>
      <c r="CX55" s="115" t="n"/>
      <c r="CY55" s="116" t="n"/>
      <c r="CZ55" s="115" t="n"/>
      <c r="DA55" s="116" t="n"/>
      <c r="DB55" s="115" t="n"/>
      <c r="DC55" s="116" t="n"/>
      <c r="DD55" s="188" t="n"/>
      <c r="DE55" s="118" t="n"/>
      <c r="DF55" s="119" t="n"/>
      <c r="DG55" s="118" t="n"/>
      <c r="DH55" s="119" t="n"/>
      <c r="DI55" s="118" t="n"/>
      <c r="DJ55" s="119" t="n"/>
      <c r="DK55" s="118" t="n"/>
      <c r="DL55" s="119" t="n"/>
      <c r="DM55" s="118" t="n"/>
      <c r="DN55" s="119" t="n"/>
      <c r="DO55" s="118" t="n"/>
      <c r="DP55" s="119" t="n"/>
      <c r="DQ55" s="118" t="n"/>
      <c r="DR55" s="119" t="n"/>
      <c r="DS55" s="118" t="n"/>
      <c r="DT55" s="119" t="n"/>
      <c r="DU55" s="189" t="n"/>
      <c r="DV55" s="121" t="n"/>
      <c r="DW55" s="122" t="n"/>
      <c r="DX55" s="121" t="n"/>
      <c r="DY55" s="122" t="n"/>
      <c r="DZ55" s="121" t="n"/>
      <c r="EA55" s="122" t="n"/>
      <c r="EB55" s="121" t="n"/>
      <c r="EC55" s="122" t="n"/>
      <c r="ED55" s="121" t="n"/>
      <c r="EE55" s="122" t="n"/>
      <c r="EF55" s="121" t="n"/>
      <c r="EG55" s="122" t="n"/>
      <c r="EH55" s="121" t="n"/>
      <c r="EI55" s="122" t="n"/>
      <c r="EJ55" s="121" t="n"/>
      <c r="EK55" s="122" t="n"/>
      <c r="EL55" s="190" t="n"/>
      <c r="EM55" s="124" t="n"/>
      <c r="EN55" s="125" t="n"/>
      <c r="EO55" s="124" t="n"/>
      <c r="EP55" s="125" t="n"/>
      <c r="EQ55" s="124" t="n"/>
      <c r="ER55" s="125" t="n"/>
      <c r="ES55" s="124" t="n"/>
      <c r="ET55" s="125" t="n"/>
      <c r="EU55" s="124" t="n"/>
      <c r="EV55" s="125" t="n"/>
      <c r="EW55" s="124" t="n"/>
      <c r="EX55" s="125" t="n"/>
      <c r="EY55" s="124" t="n"/>
      <c r="EZ55" s="125" t="n"/>
      <c r="FA55" s="124" t="n"/>
      <c r="FB55" s="125" t="n"/>
      <c r="FC55" s="191" t="n"/>
      <c r="FD55" s="127" t="n"/>
      <c r="FE55" s="128" t="n"/>
      <c r="FF55" s="127" t="n"/>
      <c r="FG55" s="128" t="n"/>
      <c r="FH55" s="127" t="n"/>
      <c r="FI55" s="128" t="n"/>
      <c r="FJ55" s="127" t="n"/>
      <c r="FK55" s="128" t="n"/>
      <c r="FL55" s="127" t="n"/>
      <c r="FM55" s="128" t="n"/>
      <c r="FN55" s="127" t="n"/>
      <c r="FO55" s="128" t="n"/>
      <c r="FP55" s="127" t="n"/>
      <c r="FQ55" s="128" t="n"/>
      <c r="FR55" s="127" t="n"/>
      <c r="FS55" s="128" t="n"/>
      <c r="FT55" s="192" t="n"/>
      <c r="FU55" s="130" t="n"/>
      <c r="FV55" s="131" t="n"/>
      <c r="FW55" s="130" t="n"/>
      <c r="FX55" s="131" t="n"/>
      <c r="FY55" s="130" t="n"/>
      <c r="FZ55" s="131" t="n"/>
      <c r="GA55" s="130" t="n"/>
      <c r="GB55" s="131" t="n"/>
      <c r="GC55" s="130" t="n"/>
      <c r="GD55" s="131" t="n"/>
      <c r="GE55" s="130" t="n"/>
      <c r="GF55" s="131" t="n"/>
      <c r="GG55" s="130" t="n"/>
      <c r="GH55" s="131" t="n"/>
      <c r="GI55" s="130" t="n"/>
      <c r="GJ55" s="131" t="n"/>
      <c r="GK55" s="193" t="n"/>
      <c r="GL55" s="133" t="n"/>
      <c r="GM55" s="134" t="n"/>
      <c r="GN55" s="133" t="n"/>
      <c r="GO55" s="134" t="n"/>
      <c r="GP55" s="133" t="n"/>
      <c r="GQ55" s="134" t="n"/>
      <c r="GR55" s="133" t="n"/>
      <c r="GS55" s="134" t="n"/>
      <c r="GT55" s="133" t="n"/>
      <c r="GU55" s="134" t="n"/>
      <c r="GV55" s="133" t="n"/>
      <c r="GW55" s="134" t="n"/>
      <c r="GX55" s="133" t="n"/>
      <c r="GY55" s="134" t="n"/>
      <c r="GZ55" s="133" t="n"/>
      <c r="HA55" s="134" t="n"/>
      <c r="HB55" s="194" t="n"/>
      <c r="HC55">
        <f>SUMIFS($G55:$HA55,$G$36:$HA$36,"درجة",$H55:$HB55,"&gt;0")</f>
        <v>0</v>
      </c>
      <c r="HD55">
        <f>SUMIFS($H55:$HB55,$G$36:$HA$36,"درجة",$G55:$HA55,"&gt;=0")</f>
        <v>0</v>
      </c>
    </row>
    <row r="56" ht="22.5" customHeight="1">
      <c r="A56" s="36" t="n">
        <v>20</v>
      </c>
      <c r="B56" s="181" t="str">
        <f>IF($B23="","",$B23)</f>
        <v/>
      </c>
      <c r="C56" s="136" t="str">
        <f>IF(OR($B56="",$HD56=0),"",ROUND($HC56,2)&amp;" / "&amp;$HD56)</f>
        <v/>
      </c>
      <c r="D56" s="182" t="str">
        <f>IF(OR($B56="",$HD56=0),"",$HC56/$HD56)</f>
        <v/>
      </c>
      <c r="E56" s="136" t="n"/>
      <c r="F56" s="99" t="str">
        <f>IF($D56="","",IF($D56&gt;=0.85,"ممتاز",IF($D56&gt;=0.75,"جيد جداً",IF($D56&gt;=0.65,"جيد",IF($D56&gt;=0.5,"مقبول","ضعيف")))))</f>
        <v/>
      </c>
      <c r="G56" s="100" t="n"/>
      <c r="H56" s="101" t="n"/>
      <c r="I56" s="100" t="n"/>
      <c r="J56" s="101" t="n"/>
      <c r="K56" s="100" t="n"/>
      <c r="L56" s="101" t="n"/>
      <c r="M56" s="100" t="n"/>
      <c r="N56" s="101" t="n"/>
      <c r="O56" s="100" t="n"/>
      <c r="P56" s="101" t="n"/>
      <c r="Q56" s="100" t="n"/>
      <c r="R56" s="101" t="n"/>
      <c r="S56" s="100" t="n"/>
      <c r="T56" s="101" t="n"/>
      <c r="U56" s="100" t="n"/>
      <c r="V56" s="101" t="n"/>
      <c r="W56" s="183" t="n"/>
      <c r="X56" s="103" t="n"/>
      <c r="Y56" s="104" t="n"/>
      <c r="Z56" s="103" t="n"/>
      <c r="AA56" s="104" t="n"/>
      <c r="AB56" s="103" t="n"/>
      <c r="AC56" s="104" t="n"/>
      <c r="AD56" s="103" t="n"/>
      <c r="AE56" s="104" t="n"/>
      <c r="AF56" s="103" t="n"/>
      <c r="AG56" s="104" t="n"/>
      <c r="AH56" s="103" t="n"/>
      <c r="AI56" s="104" t="n"/>
      <c r="AJ56" s="103" t="n"/>
      <c r="AK56" s="104" t="n"/>
      <c r="AL56" s="103" t="n"/>
      <c r="AM56" s="104" t="n"/>
      <c r="AN56" s="184" t="n"/>
      <c r="AO56" s="106" t="n"/>
      <c r="AP56" s="107" t="n"/>
      <c r="AQ56" s="106" t="n"/>
      <c r="AR56" s="107" t="n"/>
      <c r="AS56" s="106" t="n"/>
      <c r="AT56" s="107" t="n"/>
      <c r="AU56" s="106" t="n"/>
      <c r="AV56" s="107" t="n"/>
      <c r="AW56" s="106" t="n"/>
      <c r="AX56" s="107" t="n"/>
      <c r="AY56" s="106" t="n"/>
      <c r="AZ56" s="107" t="n"/>
      <c r="BA56" s="106" t="n"/>
      <c r="BB56" s="107" t="n"/>
      <c r="BC56" s="106" t="n"/>
      <c r="BD56" s="107" t="n"/>
      <c r="BE56" s="185" t="n"/>
      <c r="BF56" s="109" t="n"/>
      <c r="BG56" s="110" t="n"/>
      <c r="BH56" s="109" t="n"/>
      <c r="BI56" s="110" t="n"/>
      <c r="BJ56" s="109" t="n"/>
      <c r="BK56" s="110" t="n"/>
      <c r="BL56" s="109" t="n"/>
      <c r="BM56" s="110" t="n"/>
      <c r="BN56" s="109" t="n"/>
      <c r="BO56" s="110" t="n"/>
      <c r="BP56" s="109" t="n"/>
      <c r="BQ56" s="110" t="n"/>
      <c r="BR56" s="109" t="n"/>
      <c r="BS56" s="110" t="n"/>
      <c r="BT56" s="109" t="n"/>
      <c r="BU56" s="110" t="n"/>
      <c r="BV56" s="186" t="n"/>
      <c r="BW56" s="112" t="n"/>
      <c r="BX56" s="113" t="n"/>
      <c r="BY56" s="112" t="n"/>
      <c r="BZ56" s="113" t="n"/>
      <c r="CA56" s="112" t="n"/>
      <c r="CB56" s="113" t="n"/>
      <c r="CC56" s="112" t="n"/>
      <c r="CD56" s="113" t="n"/>
      <c r="CE56" s="112" t="n"/>
      <c r="CF56" s="113" t="n"/>
      <c r="CG56" s="112" t="n"/>
      <c r="CH56" s="113" t="n"/>
      <c r="CI56" s="112" t="n"/>
      <c r="CJ56" s="113" t="n"/>
      <c r="CK56" s="112" t="n"/>
      <c r="CL56" s="113" t="n"/>
      <c r="CM56" s="187" t="n"/>
      <c r="CN56" s="115" t="n"/>
      <c r="CO56" s="116" t="n"/>
      <c r="CP56" s="115" t="n"/>
      <c r="CQ56" s="116" t="n"/>
      <c r="CR56" s="115" t="n"/>
      <c r="CS56" s="116" t="n"/>
      <c r="CT56" s="115" t="n"/>
      <c r="CU56" s="116" t="n"/>
      <c r="CV56" s="115" t="n"/>
      <c r="CW56" s="116" t="n"/>
      <c r="CX56" s="115" t="n"/>
      <c r="CY56" s="116" t="n"/>
      <c r="CZ56" s="115" t="n"/>
      <c r="DA56" s="116" t="n"/>
      <c r="DB56" s="115" t="n"/>
      <c r="DC56" s="116" t="n"/>
      <c r="DD56" s="188" t="n"/>
      <c r="DE56" s="118" t="n"/>
      <c r="DF56" s="119" t="n"/>
      <c r="DG56" s="118" t="n"/>
      <c r="DH56" s="119" t="n"/>
      <c r="DI56" s="118" t="n"/>
      <c r="DJ56" s="119" t="n"/>
      <c r="DK56" s="118" t="n"/>
      <c r="DL56" s="119" t="n"/>
      <c r="DM56" s="118" t="n"/>
      <c r="DN56" s="119" t="n"/>
      <c r="DO56" s="118" t="n"/>
      <c r="DP56" s="119" t="n"/>
      <c r="DQ56" s="118" t="n"/>
      <c r="DR56" s="119" t="n"/>
      <c r="DS56" s="118" t="n"/>
      <c r="DT56" s="119" t="n"/>
      <c r="DU56" s="189" t="n"/>
      <c r="DV56" s="121" t="n"/>
      <c r="DW56" s="122" t="n"/>
      <c r="DX56" s="121" t="n"/>
      <c r="DY56" s="122" t="n"/>
      <c r="DZ56" s="121" t="n"/>
      <c r="EA56" s="122" t="n"/>
      <c r="EB56" s="121" t="n"/>
      <c r="EC56" s="122" t="n"/>
      <c r="ED56" s="121" t="n"/>
      <c r="EE56" s="122" t="n"/>
      <c r="EF56" s="121" t="n"/>
      <c r="EG56" s="122" t="n"/>
      <c r="EH56" s="121" t="n"/>
      <c r="EI56" s="122" t="n"/>
      <c r="EJ56" s="121" t="n"/>
      <c r="EK56" s="122" t="n"/>
      <c r="EL56" s="190" t="n"/>
      <c r="EM56" s="124" t="n"/>
      <c r="EN56" s="125" t="n"/>
      <c r="EO56" s="124" t="n"/>
      <c r="EP56" s="125" t="n"/>
      <c r="EQ56" s="124" t="n"/>
      <c r="ER56" s="125" t="n"/>
      <c r="ES56" s="124" t="n"/>
      <c r="ET56" s="125" t="n"/>
      <c r="EU56" s="124" t="n"/>
      <c r="EV56" s="125" t="n"/>
      <c r="EW56" s="124" t="n"/>
      <c r="EX56" s="125" t="n"/>
      <c r="EY56" s="124" t="n"/>
      <c r="EZ56" s="125" t="n"/>
      <c r="FA56" s="124" t="n"/>
      <c r="FB56" s="125" t="n"/>
      <c r="FC56" s="191" t="n"/>
      <c r="FD56" s="127" t="n"/>
      <c r="FE56" s="128" t="n"/>
      <c r="FF56" s="127" t="n"/>
      <c r="FG56" s="128" t="n"/>
      <c r="FH56" s="127" t="n"/>
      <c r="FI56" s="128" t="n"/>
      <c r="FJ56" s="127" t="n"/>
      <c r="FK56" s="128" t="n"/>
      <c r="FL56" s="127" t="n"/>
      <c r="FM56" s="128" t="n"/>
      <c r="FN56" s="127" t="n"/>
      <c r="FO56" s="128" t="n"/>
      <c r="FP56" s="127" t="n"/>
      <c r="FQ56" s="128" t="n"/>
      <c r="FR56" s="127" t="n"/>
      <c r="FS56" s="128" t="n"/>
      <c r="FT56" s="192" t="n"/>
      <c r="FU56" s="130" t="n"/>
      <c r="FV56" s="131" t="n"/>
      <c r="FW56" s="130" t="n"/>
      <c r="FX56" s="131" t="n"/>
      <c r="FY56" s="130" t="n"/>
      <c r="FZ56" s="131" t="n"/>
      <c r="GA56" s="130" t="n"/>
      <c r="GB56" s="131" t="n"/>
      <c r="GC56" s="130" t="n"/>
      <c r="GD56" s="131" t="n"/>
      <c r="GE56" s="130" t="n"/>
      <c r="GF56" s="131" t="n"/>
      <c r="GG56" s="130" t="n"/>
      <c r="GH56" s="131" t="n"/>
      <c r="GI56" s="130" t="n"/>
      <c r="GJ56" s="131" t="n"/>
      <c r="GK56" s="193" t="n"/>
      <c r="GL56" s="133" t="n"/>
      <c r="GM56" s="134" t="n"/>
      <c r="GN56" s="133" t="n"/>
      <c r="GO56" s="134" t="n"/>
      <c r="GP56" s="133" t="n"/>
      <c r="GQ56" s="134" t="n"/>
      <c r="GR56" s="133" t="n"/>
      <c r="GS56" s="134" t="n"/>
      <c r="GT56" s="133" t="n"/>
      <c r="GU56" s="134" t="n"/>
      <c r="GV56" s="133" t="n"/>
      <c r="GW56" s="134" t="n"/>
      <c r="GX56" s="133" t="n"/>
      <c r="GY56" s="134" t="n"/>
      <c r="GZ56" s="133" t="n"/>
      <c r="HA56" s="134" t="n"/>
      <c r="HB56" s="194" t="n"/>
      <c r="HC56">
        <f>SUMIFS($G56:$HA56,$G$36:$HA$36,"درجة",$H56:$HB56,"&gt;0")</f>
        <v>0</v>
      </c>
      <c r="HD56">
        <f>SUMIFS($H56:$HB56,$G$36:$HA$36,"درجة",$G56:$HA56,"&gt;=0")</f>
        <v>0</v>
      </c>
    </row>
    <row r="57" ht="22.5" customHeight="1">
      <c r="A57" s="36" t="n">
        <v>21</v>
      </c>
      <c r="B57" s="181" t="str">
        <f>IF($B24="","",$B24)</f>
        <v/>
      </c>
      <c r="C57" s="136" t="str">
        <f>IF(OR($B57="",$HD57=0),"",ROUND($HC57,2)&amp;" / "&amp;$HD57)</f>
        <v/>
      </c>
      <c r="D57" s="182" t="str">
        <f>IF(OR($B57="",$HD57=0),"",$HC57/$HD57)</f>
        <v/>
      </c>
      <c r="E57" s="136" t="n"/>
      <c r="F57" s="99" t="str">
        <f>IF($D57="","",IF($D57&gt;=0.85,"ممتاز",IF($D57&gt;=0.75,"جيد جداً",IF($D57&gt;=0.65,"جيد",IF($D57&gt;=0.5,"مقبول","ضعيف")))))</f>
        <v/>
      </c>
      <c r="G57" s="100" t="n"/>
      <c r="H57" s="101" t="n"/>
      <c r="I57" s="100" t="n"/>
      <c r="J57" s="101" t="n"/>
      <c r="K57" s="100" t="n"/>
      <c r="L57" s="101" t="n"/>
      <c r="M57" s="100" t="n"/>
      <c r="N57" s="101" t="n"/>
      <c r="O57" s="100" t="n"/>
      <c r="P57" s="101" t="n"/>
      <c r="Q57" s="100" t="n"/>
      <c r="R57" s="101" t="n"/>
      <c r="S57" s="100" t="n"/>
      <c r="T57" s="101" t="n"/>
      <c r="U57" s="100" t="n"/>
      <c r="V57" s="101" t="n"/>
      <c r="W57" s="183" t="n"/>
      <c r="X57" s="103" t="n"/>
      <c r="Y57" s="104" t="n"/>
      <c r="Z57" s="103" t="n"/>
      <c r="AA57" s="104" t="n"/>
      <c r="AB57" s="103" t="n"/>
      <c r="AC57" s="104" t="n"/>
      <c r="AD57" s="103" t="n"/>
      <c r="AE57" s="104" t="n"/>
      <c r="AF57" s="103" t="n"/>
      <c r="AG57" s="104" t="n"/>
      <c r="AH57" s="103" t="n"/>
      <c r="AI57" s="104" t="n"/>
      <c r="AJ57" s="103" t="n"/>
      <c r="AK57" s="104" t="n"/>
      <c r="AL57" s="103" t="n"/>
      <c r="AM57" s="104" t="n"/>
      <c r="AN57" s="184" t="n"/>
      <c r="AO57" s="106" t="n"/>
      <c r="AP57" s="107" t="n"/>
      <c r="AQ57" s="106" t="n"/>
      <c r="AR57" s="107" t="n"/>
      <c r="AS57" s="106" t="n"/>
      <c r="AT57" s="107" t="n"/>
      <c r="AU57" s="106" t="n"/>
      <c r="AV57" s="107" t="n"/>
      <c r="AW57" s="106" t="n"/>
      <c r="AX57" s="107" t="n"/>
      <c r="AY57" s="106" t="n"/>
      <c r="AZ57" s="107" t="n"/>
      <c r="BA57" s="106" t="n"/>
      <c r="BB57" s="107" t="n"/>
      <c r="BC57" s="106" t="n"/>
      <c r="BD57" s="107" t="n"/>
      <c r="BE57" s="185" t="n"/>
      <c r="BF57" s="109" t="n"/>
      <c r="BG57" s="110" t="n"/>
      <c r="BH57" s="109" t="n"/>
      <c r="BI57" s="110" t="n"/>
      <c r="BJ57" s="109" t="n"/>
      <c r="BK57" s="110" t="n"/>
      <c r="BL57" s="109" t="n"/>
      <c r="BM57" s="110" t="n"/>
      <c r="BN57" s="109" t="n"/>
      <c r="BO57" s="110" t="n"/>
      <c r="BP57" s="109" t="n"/>
      <c r="BQ57" s="110" t="n"/>
      <c r="BR57" s="109" t="n"/>
      <c r="BS57" s="110" t="n"/>
      <c r="BT57" s="109" t="n"/>
      <c r="BU57" s="110" t="n"/>
      <c r="BV57" s="186" t="n"/>
      <c r="BW57" s="112" t="n"/>
      <c r="BX57" s="113" t="n"/>
      <c r="BY57" s="112" t="n"/>
      <c r="BZ57" s="113" t="n"/>
      <c r="CA57" s="112" t="n"/>
      <c r="CB57" s="113" t="n"/>
      <c r="CC57" s="112" t="n"/>
      <c r="CD57" s="113" t="n"/>
      <c r="CE57" s="112" t="n"/>
      <c r="CF57" s="113" t="n"/>
      <c r="CG57" s="112" t="n"/>
      <c r="CH57" s="113" t="n"/>
      <c r="CI57" s="112" t="n"/>
      <c r="CJ57" s="113" t="n"/>
      <c r="CK57" s="112" t="n"/>
      <c r="CL57" s="113" t="n"/>
      <c r="CM57" s="187" t="n"/>
      <c r="CN57" s="115" t="n"/>
      <c r="CO57" s="116" t="n"/>
      <c r="CP57" s="115" t="n"/>
      <c r="CQ57" s="116" t="n"/>
      <c r="CR57" s="115" t="n"/>
      <c r="CS57" s="116" t="n"/>
      <c r="CT57" s="115" t="n"/>
      <c r="CU57" s="116" t="n"/>
      <c r="CV57" s="115" t="n"/>
      <c r="CW57" s="116" t="n"/>
      <c r="CX57" s="115" t="n"/>
      <c r="CY57" s="116" t="n"/>
      <c r="CZ57" s="115" t="n"/>
      <c r="DA57" s="116" t="n"/>
      <c r="DB57" s="115" t="n"/>
      <c r="DC57" s="116" t="n"/>
      <c r="DD57" s="188" t="n"/>
      <c r="DE57" s="118" t="n"/>
      <c r="DF57" s="119" t="n"/>
      <c r="DG57" s="118" t="n"/>
      <c r="DH57" s="119" t="n"/>
      <c r="DI57" s="118" t="n"/>
      <c r="DJ57" s="119" t="n"/>
      <c r="DK57" s="118" t="n"/>
      <c r="DL57" s="119" t="n"/>
      <c r="DM57" s="118" t="n"/>
      <c r="DN57" s="119" t="n"/>
      <c r="DO57" s="118" t="n"/>
      <c r="DP57" s="119" t="n"/>
      <c r="DQ57" s="118" t="n"/>
      <c r="DR57" s="119" t="n"/>
      <c r="DS57" s="118" t="n"/>
      <c r="DT57" s="119" t="n"/>
      <c r="DU57" s="189" t="n"/>
      <c r="DV57" s="121" t="n"/>
      <c r="DW57" s="122" t="n"/>
      <c r="DX57" s="121" t="n"/>
      <c r="DY57" s="122" t="n"/>
      <c r="DZ57" s="121" t="n"/>
      <c r="EA57" s="122" t="n"/>
      <c r="EB57" s="121" t="n"/>
      <c r="EC57" s="122" t="n"/>
      <c r="ED57" s="121" t="n"/>
      <c r="EE57" s="122" t="n"/>
      <c r="EF57" s="121" t="n"/>
      <c r="EG57" s="122" t="n"/>
      <c r="EH57" s="121" t="n"/>
      <c r="EI57" s="122" t="n"/>
      <c r="EJ57" s="121" t="n"/>
      <c r="EK57" s="122" t="n"/>
      <c r="EL57" s="190" t="n"/>
      <c r="EM57" s="124" t="n"/>
      <c r="EN57" s="125" t="n"/>
      <c r="EO57" s="124" t="n"/>
      <c r="EP57" s="125" t="n"/>
      <c r="EQ57" s="124" t="n"/>
      <c r="ER57" s="125" t="n"/>
      <c r="ES57" s="124" t="n"/>
      <c r="ET57" s="125" t="n"/>
      <c r="EU57" s="124" t="n"/>
      <c r="EV57" s="125" t="n"/>
      <c r="EW57" s="124" t="n"/>
      <c r="EX57" s="125" t="n"/>
      <c r="EY57" s="124" t="n"/>
      <c r="EZ57" s="125" t="n"/>
      <c r="FA57" s="124" t="n"/>
      <c r="FB57" s="125" t="n"/>
      <c r="FC57" s="191" t="n"/>
      <c r="FD57" s="127" t="n"/>
      <c r="FE57" s="128" t="n"/>
      <c r="FF57" s="127" t="n"/>
      <c r="FG57" s="128" t="n"/>
      <c r="FH57" s="127" t="n"/>
      <c r="FI57" s="128" t="n"/>
      <c r="FJ57" s="127" t="n"/>
      <c r="FK57" s="128" t="n"/>
      <c r="FL57" s="127" t="n"/>
      <c r="FM57" s="128" t="n"/>
      <c r="FN57" s="127" t="n"/>
      <c r="FO57" s="128" t="n"/>
      <c r="FP57" s="127" t="n"/>
      <c r="FQ57" s="128" t="n"/>
      <c r="FR57" s="127" t="n"/>
      <c r="FS57" s="128" t="n"/>
      <c r="FT57" s="192" t="n"/>
      <c r="FU57" s="130" t="n"/>
      <c r="FV57" s="131" t="n"/>
      <c r="FW57" s="130" t="n"/>
      <c r="FX57" s="131" t="n"/>
      <c r="FY57" s="130" t="n"/>
      <c r="FZ57" s="131" t="n"/>
      <c r="GA57" s="130" t="n"/>
      <c r="GB57" s="131" t="n"/>
      <c r="GC57" s="130" t="n"/>
      <c r="GD57" s="131" t="n"/>
      <c r="GE57" s="130" t="n"/>
      <c r="GF57" s="131" t="n"/>
      <c r="GG57" s="130" t="n"/>
      <c r="GH57" s="131" t="n"/>
      <c r="GI57" s="130" t="n"/>
      <c r="GJ57" s="131" t="n"/>
      <c r="GK57" s="193" t="n"/>
      <c r="GL57" s="133" t="n"/>
      <c r="GM57" s="134" t="n"/>
      <c r="GN57" s="133" t="n"/>
      <c r="GO57" s="134" t="n"/>
      <c r="GP57" s="133" t="n"/>
      <c r="GQ57" s="134" t="n"/>
      <c r="GR57" s="133" t="n"/>
      <c r="GS57" s="134" t="n"/>
      <c r="GT57" s="133" t="n"/>
      <c r="GU57" s="134" t="n"/>
      <c r="GV57" s="133" t="n"/>
      <c r="GW57" s="134" t="n"/>
      <c r="GX57" s="133" t="n"/>
      <c r="GY57" s="134" t="n"/>
      <c r="GZ57" s="133" t="n"/>
      <c r="HA57" s="134" t="n"/>
      <c r="HB57" s="194" t="n"/>
      <c r="HC57">
        <f>SUMIFS($G57:$HA57,$G$36:$HA$36,"درجة",$H57:$HB57,"&gt;0")</f>
        <v>0</v>
      </c>
      <c r="HD57">
        <f>SUMIFS($H57:$HB57,$G$36:$HA$36,"درجة",$G57:$HA57,"&gt;=0")</f>
        <v>0</v>
      </c>
    </row>
    <row r="58" ht="22.5" customHeight="1">
      <c r="A58" s="36" t="n">
        <v>22</v>
      </c>
      <c r="B58" s="181" t="str">
        <f>IF($B25="","",$B25)</f>
        <v/>
      </c>
      <c r="C58" s="136" t="str">
        <f>IF(OR($B58="",$HD58=0),"",ROUND($HC58,2)&amp;" / "&amp;$HD58)</f>
        <v/>
      </c>
      <c r="D58" s="182" t="str">
        <f>IF(OR($B58="",$HD58=0),"",$HC58/$HD58)</f>
        <v/>
      </c>
      <c r="E58" s="136" t="n"/>
      <c r="F58" s="99" t="str">
        <f>IF($D58="","",IF($D58&gt;=0.85,"ممتاز",IF($D58&gt;=0.75,"جيد جداً",IF($D58&gt;=0.65,"جيد",IF($D58&gt;=0.5,"مقبول","ضعيف")))))</f>
        <v/>
      </c>
      <c r="G58" s="100" t="n"/>
      <c r="H58" s="101" t="n"/>
      <c r="I58" s="100" t="n"/>
      <c r="J58" s="101" t="n"/>
      <c r="K58" s="100" t="n"/>
      <c r="L58" s="101" t="n"/>
      <c r="M58" s="100" t="n"/>
      <c r="N58" s="101" t="n"/>
      <c r="O58" s="100" t="n"/>
      <c r="P58" s="101" t="n"/>
      <c r="Q58" s="100" t="n"/>
      <c r="R58" s="101" t="n"/>
      <c r="S58" s="100" t="n"/>
      <c r="T58" s="101" t="n"/>
      <c r="U58" s="100" t="n"/>
      <c r="V58" s="101" t="n"/>
      <c r="W58" s="183" t="n"/>
      <c r="X58" s="103" t="n"/>
      <c r="Y58" s="104" t="n"/>
      <c r="Z58" s="103" t="n"/>
      <c r="AA58" s="104" t="n"/>
      <c r="AB58" s="103" t="n"/>
      <c r="AC58" s="104" t="n"/>
      <c r="AD58" s="103" t="n"/>
      <c r="AE58" s="104" t="n"/>
      <c r="AF58" s="103" t="n"/>
      <c r="AG58" s="104" t="n"/>
      <c r="AH58" s="103" t="n"/>
      <c r="AI58" s="104" t="n"/>
      <c r="AJ58" s="103" t="n"/>
      <c r="AK58" s="104" t="n"/>
      <c r="AL58" s="103" t="n"/>
      <c r="AM58" s="104" t="n"/>
      <c r="AN58" s="184" t="n"/>
      <c r="AO58" s="106" t="n"/>
      <c r="AP58" s="107" t="n"/>
      <c r="AQ58" s="106" t="n"/>
      <c r="AR58" s="107" t="n"/>
      <c r="AS58" s="106" t="n"/>
      <c r="AT58" s="107" t="n"/>
      <c r="AU58" s="106" t="n"/>
      <c r="AV58" s="107" t="n"/>
      <c r="AW58" s="106" t="n"/>
      <c r="AX58" s="107" t="n"/>
      <c r="AY58" s="106" t="n"/>
      <c r="AZ58" s="107" t="n"/>
      <c r="BA58" s="106" t="n"/>
      <c r="BB58" s="107" t="n"/>
      <c r="BC58" s="106" t="n"/>
      <c r="BD58" s="107" t="n"/>
      <c r="BE58" s="185" t="n"/>
      <c r="BF58" s="109" t="n"/>
      <c r="BG58" s="110" t="n"/>
      <c r="BH58" s="109" t="n"/>
      <c r="BI58" s="110" t="n"/>
      <c r="BJ58" s="109" t="n"/>
      <c r="BK58" s="110" t="n"/>
      <c r="BL58" s="109" t="n"/>
      <c r="BM58" s="110" t="n"/>
      <c r="BN58" s="109" t="n"/>
      <c r="BO58" s="110" t="n"/>
      <c r="BP58" s="109" t="n"/>
      <c r="BQ58" s="110" t="n"/>
      <c r="BR58" s="109" t="n"/>
      <c r="BS58" s="110" t="n"/>
      <c r="BT58" s="109" t="n"/>
      <c r="BU58" s="110" t="n"/>
      <c r="BV58" s="186" t="n"/>
      <c r="BW58" s="112" t="n"/>
      <c r="BX58" s="113" t="n"/>
      <c r="BY58" s="112" t="n"/>
      <c r="BZ58" s="113" t="n"/>
      <c r="CA58" s="112" t="n"/>
      <c r="CB58" s="113" t="n"/>
      <c r="CC58" s="112" t="n"/>
      <c r="CD58" s="113" t="n"/>
      <c r="CE58" s="112" t="n"/>
      <c r="CF58" s="113" t="n"/>
      <c r="CG58" s="112" t="n"/>
      <c r="CH58" s="113" t="n"/>
      <c r="CI58" s="112" t="n"/>
      <c r="CJ58" s="113" t="n"/>
      <c r="CK58" s="112" t="n"/>
      <c r="CL58" s="113" t="n"/>
      <c r="CM58" s="187" t="n"/>
      <c r="CN58" s="115" t="n"/>
      <c r="CO58" s="116" t="n"/>
      <c r="CP58" s="115" t="n"/>
      <c r="CQ58" s="116" t="n"/>
      <c r="CR58" s="115" t="n"/>
      <c r="CS58" s="116" t="n"/>
      <c r="CT58" s="115" t="n"/>
      <c r="CU58" s="116" t="n"/>
      <c r="CV58" s="115" t="n"/>
      <c r="CW58" s="116" t="n"/>
      <c r="CX58" s="115" t="n"/>
      <c r="CY58" s="116" t="n"/>
      <c r="CZ58" s="115" t="n"/>
      <c r="DA58" s="116" t="n"/>
      <c r="DB58" s="115" t="n"/>
      <c r="DC58" s="116" t="n"/>
      <c r="DD58" s="188" t="n"/>
      <c r="DE58" s="118" t="n"/>
      <c r="DF58" s="119" t="n"/>
      <c r="DG58" s="118" t="n"/>
      <c r="DH58" s="119" t="n"/>
      <c r="DI58" s="118" t="n"/>
      <c r="DJ58" s="119" t="n"/>
      <c r="DK58" s="118" t="n"/>
      <c r="DL58" s="119" t="n"/>
      <c r="DM58" s="118" t="n"/>
      <c r="DN58" s="119" t="n"/>
      <c r="DO58" s="118" t="n"/>
      <c r="DP58" s="119" t="n"/>
      <c r="DQ58" s="118" t="n"/>
      <c r="DR58" s="119" t="n"/>
      <c r="DS58" s="118" t="n"/>
      <c r="DT58" s="119" t="n"/>
      <c r="DU58" s="189" t="n"/>
      <c r="DV58" s="121" t="n"/>
      <c r="DW58" s="122" t="n"/>
      <c r="DX58" s="121" t="n"/>
      <c r="DY58" s="122" t="n"/>
      <c r="DZ58" s="121" t="n"/>
      <c r="EA58" s="122" t="n"/>
      <c r="EB58" s="121" t="n"/>
      <c r="EC58" s="122" t="n"/>
      <c r="ED58" s="121" t="n"/>
      <c r="EE58" s="122" t="n"/>
      <c r="EF58" s="121" t="n"/>
      <c r="EG58" s="122" t="n"/>
      <c r="EH58" s="121" t="n"/>
      <c r="EI58" s="122" t="n"/>
      <c r="EJ58" s="121" t="n"/>
      <c r="EK58" s="122" t="n"/>
      <c r="EL58" s="190" t="n"/>
      <c r="EM58" s="124" t="n"/>
      <c r="EN58" s="125" t="n"/>
      <c r="EO58" s="124" t="n"/>
      <c r="EP58" s="125" t="n"/>
      <c r="EQ58" s="124" t="n"/>
      <c r="ER58" s="125" t="n"/>
      <c r="ES58" s="124" t="n"/>
      <c r="ET58" s="125" t="n"/>
      <c r="EU58" s="124" t="n"/>
      <c r="EV58" s="125" t="n"/>
      <c r="EW58" s="124" t="n"/>
      <c r="EX58" s="125" t="n"/>
      <c r="EY58" s="124" t="n"/>
      <c r="EZ58" s="125" t="n"/>
      <c r="FA58" s="124" t="n"/>
      <c r="FB58" s="125" t="n"/>
      <c r="FC58" s="191" t="n"/>
      <c r="FD58" s="127" t="n"/>
      <c r="FE58" s="128" t="n"/>
      <c r="FF58" s="127" t="n"/>
      <c r="FG58" s="128" t="n"/>
      <c r="FH58" s="127" t="n"/>
      <c r="FI58" s="128" t="n"/>
      <c r="FJ58" s="127" t="n"/>
      <c r="FK58" s="128" t="n"/>
      <c r="FL58" s="127" t="n"/>
      <c r="FM58" s="128" t="n"/>
      <c r="FN58" s="127" t="n"/>
      <c r="FO58" s="128" t="n"/>
      <c r="FP58" s="127" t="n"/>
      <c r="FQ58" s="128" t="n"/>
      <c r="FR58" s="127" t="n"/>
      <c r="FS58" s="128" t="n"/>
      <c r="FT58" s="192" t="n"/>
      <c r="FU58" s="130" t="n"/>
      <c r="FV58" s="131" t="n"/>
      <c r="FW58" s="130" t="n"/>
      <c r="FX58" s="131" t="n"/>
      <c r="FY58" s="130" t="n"/>
      <c r="FZ58" s="131" t="n"/>
      <c r="GA58" s="130" t="n"/>
      <c r="GB58" s="131" t="n"/>
      <c r="GC58" s="130" t="n"/>
      <c r="GD58" s="131" t="n"/>
      <c r="GE58" s="130" t="n"/>
      <c r="GF58" s="131" t="n"/>
      <c r="GG58" s="130" t="n"/>
      <c r="GH58" s="131" t="n"/>
      <c r="GI58" s="130" t="n"/>
      <c r="GJ58" s="131" t="n"/>
      <c r="GK58" s="193" t="n"/>
      <c r="GL58" s="133" t="n"/>
      <c r="GM58" s="134" t="n"/>
      <c r="GN58" s="133" t="n"/>
      <c r="GO58" s="134" t="n"/>
      <c r="GP58" s="133" t="n"/>
      <c r="GQ58" s="134" t="n"/>
      <c r="GR58" s="133" t="n"/>
      <c r="GS58" s="134" t="n"/>
      <c r="GT58" s="133" t="n"/>
      <c r="GU58" s="134" t="n"/>
      <c r="GV58" s="133" t="n"/>
      <c r="GW58" s="134" t="n"/>
      <c r="GX58" s="133" t="n"/>
      <c r="GY58" s="134" t="n"/>
      <c r="GZ58" s="133" t="n"/>
      <c r="HA58" s="134" t="n"/>
      <c r="HB58" s="194" t="n"/>
      <c r="HC58">
        <f>SUMIFS($G58:$HA58,$G$36:$HA$36,"درجة",$H58:$HB58,"&gt;0")</f>
        <v>0</v>
      </c>
      <c r="HD58">
        <f>SUMIFS($H58:$HB58,$G$36:$HA$36,"درجة",$G58:$HA58,"&gt;=0")</f>
        <v>0</v>
      </c>
    </row>
    <row r="59" ht="22.5" customHeight="1">
      <c r="A59" s="36" t="n">
        <v>23</v>
      </c>
      <c r="B59" s="181" t="str">
        <f>IF($B26="","",$B26)</f>
        <v/>
      </c>
      <c r="C59" s="136" t="str">
        <f>IF(OR($B59="",$HD59=0),"",ROUND($HC59,2)&amp;" / "&amp;$HD59)</f>
        <v/>
      </c>
      <c r="D59" s="182" t="str">
        <f>IF(OR($B59="",$HD59=0),"",$HC59/$HD59)</f>
        <v/>
      </c>
      <c r="E59" s="136" t="n"/>
      <c r="F59" s="99" t="str">
        <f>IF($D59="","",IF($D59&gt;=0.85,"ممتاز",IF($D59&gt;=0.75,"جيد جداً",IF($D59&gt;=0.65,"جيد",IF($D59&gt;=0.5,"مقبول","ضعيف")))))</f>
        <v/>
      </c>
      <c r="G59" s="100" t="n"/>
      <c r="H59" s="101" t="n"/>
      <c r="I59" s="100" t="n"/>
      <c r="J59" s="101" t="n"/>
      <c r="K59" s="100" t="n"/>
      <c r="L59" s="101" t="n"/>
      <c r="M59" s="100" t="n"/>
      <c r="N59" s="101" t="n"/>
      <c r="O59" s="100" t="n"/>
      <c r="P59" s="101" t="n"/>
      <c r="Q59" s="100" t="n"/>
      <c r="R59" s="101" t="n"/>
      <c r="S59" s="100" t="n"/>
      <c r="T59" s="101" t="n"/>
      <c r="U59" s="100" t="n"/>
      <c r="V59" s="101" t="n"/>
      <c r="W59" s="183" t="n"/>
      <c r="X59" s="103" t="n"/>
      <c r="Y59" s="104" t="n"/>
      <c r="Z59" s="103" t="n"/>
      <c r="AA59" s="104" t="n"/>
      <c r="AB59" s="103" t="n"/>
      <c r="AC59" s="104" t="n"/>
      <c r="AD59" s="103" t="n"/>
      <c r="AE59" s="104" t="n"/>
      <c r="AF59" s="103" t="n"/>
      <c r="AG59" s="104" t="n"/>
      <c r="AH59" s="103" t="n"/>
      <c r="AI59" s="104" t="n"/>
      <c r="AJ59" s="103" t="n"/>
      <c r="AK59" s="104" t="n"/>
      <c r="AL59" s="103" t="n"/>
      <c r="AM59" s="104" t="n"/>
      <c r="AN59" s="184" t="n"/>
      <c r="AO59" s="106" t="n"/>
      <c r="AP59" s="107" t="n"/>
      <c r="AQ59" s="106" t="n"/>
      <c r="AR59" s="107" t="n"/>
      <c r="AS59" s="106" t="n"/>
      <c r="AT59" s="107" t="n"/>
      <c r="AU59" s="106" t="n"/>
      <c r="AV59" s="107" t="n"/>
      <c r="AW59" s="106" t="n"/>
      <c r="AX59" s="107" t="n"/>
      <c r="AY59" s="106" t="n"/>
      <c r="AZ59" s="107" t="n"/>
      <c r="BA59" s="106" t="n"/>
      <c r="BB59" s="107" t="n"/>
      <c r="BC59" s="106" t="n"/>
      <c r="BD59" s="107" t="n"/>
      <c r="BE59" s="185" t="n"/>
      <c r="BF59" s="109" t="n"/>
      <c r="BG59" s="110" t="n"/>
      <c r="BH59" s="109" t="n"/>
      <c r="BI59" s="110" t="n"/>
      <c r="BJ59" s="109" t="n"/>
      <c r="BK59" s="110" t="n"/>
      <c r="BL59" s="109" t="n"/>
      <c r="BM59" s="110" t="n"/>
      <c r="BN59" s="109" t="n"/>
      <c r="BO59" s="110" t="n"/>
      <c r="BP59" s="109" t="n"/>
      <c r="BQ59" s="110" t="n"/>
      <c r="BR59" s="109" t="n"/>
      <c r="BS59" s="110" t="n"/>
      <c r="BT59" s="109" t="n"/>
      <c r="BU59" s="110" t="n"/>
      <c r="BV59" s="186" t="n"/>
      <c r="BW59" s="112" t="n"/>
      <c r="BX59" s="113" t="n"/>
      <c r="BY59" s="112" t="n"/>
      <c r="BZ59" s="113" t="n"/>
      <c r="CA59" s="112" t="n"/>
      <c r="CB59" s="113" t="n"/>
      <c r="CC59" s="112" t="n"/>
      <c r="CD59" s="113" t="n"/>
      <c r="CE59" s="112" t="n"/>
      <c r="CF59" s="113" t="n"/>
      <c r="CG59" s="112" t="n"/>
      <c r="CH59" s="113" t="n"/>
      <c r="CI59" s="112" t="n"/>
      <c r="CJ59" s="113" t="n"/>
      <c r="CK59" s="112" t="n"/>
      <c r="CL59" s="113" t="n"/>
      <c r="CM59" s="187" t="n"/>
      <c r="CN59" s="115" t="n"/>
      <c r="CO59" s="116" t="n"/>
      <c r="CP59" s="115" t="n"/>
      <c r="CQ59" s="116" t="n"/>
      <c r="CR59" s="115" t="n"/>
      <c r="CS59" s="116" t="n"/>
      <c r="CT59" s="115" t="n"/>
      <c r="CU59" s="116" t="n"/>
      <c r="CV59" s="115" t="n"/>
      <c r="CW59" s="116" t="n"/>
      <c r="CX59" s="115" t="n"/>
      <c r="CY59" s="116" t="n"/>
      <c r="CZ59" s="115" t="n"/>
      <c r="DA59" s="116" t="n"/>
      <c r="DB59" s="115" t="n"/>
      <c r="DC59" s="116" t="n"/>
      <c r="DD59" s="188" t="n"/>
      <c r="DE59" s="118" t="n"/>
      <c r="DF59" s="119" t="n"/>
      <c r="DG59" s="118" t="n"/>
      <c r="DH59" s="119" t="n"/>
      <c r="DI59" s="118" t="n"/>
      <c r="DJ59" s="119" t="n"/>
      <c r="DK59" s="118" t="n"/>
      <c r="DL59" s="119" t="n"/>
      <c r="DM59" s="118" t="n"/>
      <c r="DN59" s="119" t="n"/>
      <c r="DO59" s="118" t="n"/>
      <c r="DP59" s="119" t="n"/>
      <c r="DQ59" s="118" t="n"/>
      <c r="DR59" s="119" t="n"/>
      <c r="DS59" s="118" t="n"/>
      <c r="DT59" s="119" t="n"/>
      <c r="DU59" s="189" t="n"/>
      <c r="DV59" s="121" t="n"/>
      <c r="DW59" s="122" t="n"/>
      <c r="DX59" s="121" t="n"/>
      <c r="DY59" s="122" t="n"/>
      <c r="DZ59" s="121" t="n"/>
      <c r="EA59" s="122" t="n"/>
      <c r="EB59" s="121" t="n"/>
      <c r="EC59" s="122" t="n"/>
      <c r="ED59" s="121" t="n"/>
      <c r="EE59" s="122" t="n"/>
      <c r="EF59" s="121" t="n"/>
      <c r="EG59" s="122" t="n"/>
      <c r="EH59" s="121" t="n"/>
      <c r="EI59" s="122" t="n"/>
      <c r="EJ59" s="121" t="n"/>
      <c r="EK59" s="122" t="n"/>
      <c r="EL59" s="190" t="n"/>
      <c r="EM59" s="124" t="n"/>
      <c r="EN59" s="125" t="n"/>
      <c r="EO59" s="124" t="n"/>
      <c r="EP59" s="125" t="n"/>
      <c r="EQ59" s="124" t="n"/>
      <c r="ER59" s="125" t="n"/>
      <c r="ES59" s="124" t="n"/>
      <c r="ET59" s="125" t="n"/>
      <c r="EU59" s="124" t="n"/>
      <c r="EV59" s="125" t="n"/>
      <c r="EW59" s="124" t="n"/>
      <c r="EX59" s="125" t="n"/>
      <c r="EY59" s="124" t="n"/>
      <c r="EZ59" s="125" t="n"/>
      <c r="FA59" s="124" t="n"/>
      <c r="FB59" s="125" t="n"/>
      <c r="FC59" s="191" t="n"/>
      <c r="FD59" s="127" t="n"/>
      <c r="FE59" s="128" t="n"/>
      <c r="FF59" s="127" t="n"/>
      <c r="FG59" s="128" t="n"/>
      <c r="FH59" s="127" t="n"/>
      <c r="FI59" s="128" t="n"/>
      <c r="FJ59" s="127" t="n"/>
      <c r="FK59" s="128" t="n"/>
      <c r="FL59" s="127" t="n"/>
      <c r="FM59" s="128" t="n"/>
      <c r="FN59" s="127" t="n"/>
      <c r="FO59" s="128" t="n"/>
      <c r="FP59" s="127" t="n"/>
      <c r="FQ59" s="128" t="n"/>
      <c r="FR59" s="127" t="n"/>
      <c r="FS59" s="128" t="n"/>
      <c r="FT59" s="192" t="n"/>
      <c r="FU59" s="130" t="n"/>
      <c r="FV59" s="131" t="n"/>
      <c r="FW59" s="130" t="n"/>
      <c r="FX59" s="131" t="n"/>
      <c r="FY59" s="130" t="n"/>
      <c r="FZ59" s="131" t="n"/>
      <c r="GA59" s="130" t="n"/>
      <c r="GB59" s="131" t="n"/>
      <c r="GC59" s="130" t="n"/>
      <c r="GD59" s="131" t="n"/>
      <c r="GE59" s="130" t="n"/>
      <c r="GF59" s="131" t="n"/>
      <c r="GG59" s="130" t="n"/>
      <c r="GH59" s="131" t="n"/>
      <c r="GI59" s="130" t="n"/>
      <c r="GJ59" s="131" t="n"/>
      <c r="GK59" s="193" t="n"/>
      <c r="GL59" s="133" t="n"/>
      <c r="GM59" s="134" t="n"/>
      <c r="GN59" s="133" t="n"/>
      <c r="GO59" s="134" t="n"/>
      <c r="GP59" s="133" t="n"/>
      <c r="GQ59" s="134" t="n"/>
      <c r="GR59" s="133" t="n"/>
      <c r="GS59" s="134" t="n"/>
      <c r="GT59" s="133" t="n"/>
      <c r="GU59" s="134" t="n"/>
      <c r="GV59" s="133" t="n"/>
      <c r="GW59" s="134" t="n"/>
      <c r="GX59" s="133" t="n"/>
      <c r="GY59" s="134" t="n"/>
      <c r="GZ59" s="133" t="n"/>
      <c r="HA59" s="134" t="n"/>
      <c r="HB59" s="194" t="n"/>
      <c r="HC59">
        <f>SUMIFS($G59:$HA59,$G$36:$HA$36,"درجة",$H59:$HB59,"&gt;0")</f>
        <v>0</v>
      </c>
      <c r="HD59">
        <f>SUMIFS($H59:$HB59,$G$36:$HA$36,"درجة",$G59:$HA59,"&gt;=0")</f>
        <v>0</v>
      </c>
    </row>
    <row r="60" ht="22.5" customHeight="1">
      <c r="A60" s="36" t="n">
        <v>24</v>
      </c>
      <c r="B60" s="181" t="str">
        <f>IF($B27="","",$B27)</f>
        <v/>
      </c>
      <c r="C60" s="136" t="str">
        <f>IF(OR($B60="",$HD60=0),"",ROUND($HC60,2)&amp;" / "&amp;$HD60)</f>
        <v/>
      </c>
      <c r="D60" s="182" t="str">
        <f>IF(OR($B60="",$HD60=0),"",$HC60/$HD60)</f>
        <v/>
      </c>
      <c r="E60" s="136" t="n"/>
      <c r="F60" s="99" t="str">
        <f>IF($D60="","",IF($D60&gt;=0.85,"ممتاز",IF($D60&gt;=0.75,"جيد جداً",IF($D60&gt;=0.65,"جيد",IF($D60&gt;=0.5,"مقبول","ضعيف")))))</f>
        <v/>
      </c>
      <c r="G60" s="100" t="n"/>
      <c r="H60" s="101" t="n"/>
      <c r="I60" s="100" t="n"/>
      <c r="J60" s="101" t="n"/>
      <c r="K60" s="100" t="n"/>
      <c r="L60" s="101" t="n"/>
      <c r="M60" s="100" t="n"/>
      <c r="N60" s="101" t="n"/>
      <c r="O60" s="100" t="n"/>
      <c r="P60" s="101" t="n"/>
      <c r="Q60" s="100" t="n"/>
      <c r="R60" s="101" t="n"/>
      <c r="S60" s="100" t="n"/>
      <c r="T60" s="101" t="n"/>
      <c r="U60" s="100" t="n"/>
      <c r="V60" s="101" t="n"/>
      <c r="W60" s="183" t="n"/>
      <c r="X60" s="103" t="n"/>
      <c r="Y60" s="104" t="n"/>
      <c r="Z60" s="103" t="n"/>
      <c r="AA60" s="104" t="n"/>
      <c r="AB60" s="103" t="n"/>
      <c r="AC60" s="104" t="n"/>
      <c r="AD60" s="103" t="n"/>
      <c r="AE60" s="104" t="n"/>
      <c r="AF60" s="103" t="n"/>
      <c r="AG60" s="104" t="n"/>
      <c r="AH60" s="103" t="n"/>
      <c r="AI60" s="104" t="n"/>
      <c r="AJ60" s="103" t="n"/>
      <c r="AK60" s="104" t="n"/>
      <c r="AL60" s="103" t="n"/>
      <c r="AM60" s="104" t="n"/>
      <c r="AN60" s="184" t="n"/>
      <c r="AO60" s="106" t="n"/>
      <c r="AP60" s="107" t="n"/>
      <c r="AQ60" s="106" t="n"/>
      <c r="AR60" s="107" t="n"/>
      <c r="AS60" s="106" t="n"/>
      <c r="AT60" s="107" t="n"/>
      <c r="AU60" s="106" t="n"/>
      <c r="AV60" s="107" t="n"/>
      <c r="AW60" s="106" t="n"/>
      <c r="AX60" s="107" t="n"/>
      <c r="AY60" s="106" t="n"/>
      <c r="AZ60" s="107" t="n"/>
      <c r="BA60" s="106" t="n"/>
      <c r="BB60" s="107" t="n"/>
      <c r="BC60" s="106" t="n"/>
      <c r="BD60" s="107" t="n"/>
      <c r="BE60" s="185" t="n"/>
      <c r="BF60" s="109" t="n"/>
      <c r="BG60" s="110" t="n"/>
      <c r="BH60" s="109" t="n"/>
      <c r="BI60" s="110" t="n"/>
      <c r="BJ60" s="109" t="n"/>
      <c r="BK60" s="110" t="n"/>
      <c r="BL60" s="109" t="n"/>
      <c r="BM60" s="110" t="n"/>
      <c r="BN60" s="109" t="n"/>
      <c r="BO60" s="110" t="n"/>
      <c r="BP60" s="109" t="n"/>
      <c r="BQ60" s="110" t="n"/>
      <c r="BR60" s="109" t="n"/>
      <c r="BS60" s="110" t="n"/>
      <c r="BT60" s="109" t="n"/>
      <c r="BU60" s="110" t="n"/>
      <c r="BV60" s="186" t="n"/>
      <c r="BW60" s="112" t="n"/>
      <c r="BX60" s="113" t="n"/>
      <c r="BY60" s="112" t="n"/>
      <c r="BZ60" s="113" t="n"/>
      <c r="CA60" s="112" t="n"/>
      <c r="CB60" s="113" t="n"/>
      <c r="CC60" s="112" t="n"/>
      <c r="CD60" s="113" t="n"/>
      <c r="CE60" s="112" t="n"/>
      <c r="CF60" s="113" t="n"/>
      <c r="CG60" s="112" t="n"/>
      <c r="CH60" s="113" t="n"/>
      <c r="CI60" s="112" t="n"/>
      <c r="CJ60" s="113" t="n"/>
      <c r="CK60" s="112" t="n"/>
      <c r="CL60" s="113" t="n"/>
      <c r="CM60" s="187" t="n"/>
      <c r="CN60" s="115" t="n"/>
      <c r="CO60" s="116" t="n"/>
      <c r="CP60" s="115" t="n"/>
      <c r="CQ60" s="116" t="n"/>
      <c r="CR60" s="115" t="n"/>
      <c r="CS60" s="116" t="n"/>
      <c r="CT60" s="115" t="n"/>
      <c r="CU60" s="116" t="n"/>
      <c r="CV60" s="115" t="n"/>
      <c r="CW60" s="116" t="n"/>
      <c r="CX60" s="115" t="n"/>
      <c r="CY60" s="116" t="n"/>
      <c r="CZ60" s="115" t="n"/>
      <c r="DA60" s="116" t="n"/>
      <c r="DB60" s="115" t="n"/>
      <c r="DC60" s="116" t="n"/>
      <c r="DD60" s="188" t="n"/>
      <c r="DE60" s="118" t="n"/>
      <c r="DF60" s="119" t="n"/>
      <c r="DG60" s="118" t="n"/>
      <c r="DH60" s="119" t="n"/>
      <c r="DI60" s="118" t="n"/>
      <c r="DJ60" s="119" t="n"/>
      <c r="DK60" s="118" t="n"/>
      <c r="DL60" s="119" t="n"/>
      <c r="DM60" s="118" t="n"/>
      <c r="DN60" s="119" t="n"/>
      <c r="DO60" s="118" t="n"/>
      <c r="DP60" s="119" t="n"/>
      <c r="DQ60" s="118" t="n"/>
      <c r="DR60" s="119" t="n"/>
      <c r="DS60" s="118" t="n"/>
      <c r="DT60" s="119" t="n"/>
      <c r="DU60" s="189" t="n"/>
      <c r="DV60" s="121" t="n"/>
      <c r="DW60" s="122" t="n"/>
      <c r="DX60" s="121" t="n"/>
      <c r="DY60" s="122" t="n"/>
      <c r="DZ60" s="121" t="n"/>
      <c r="EA60" s="122" t="n"/>
      <c r="EB60" s="121" t="n"/>
      <c r="EC60" s="122" t="n"/>
      <c r="ED60" s="121" t="n"/>
      <c r="EE60" s="122" t="n"/>
      <c r="EF60" s="121" t="n"/>
      <c r="EG60" s="122" t="n"/>
      <c r="EH60" s="121" t="n"/>
      <c r="EI60" s="122" t="n"/>
      <c r="EJ60" s="121" t="n"/>
      <c r="EK60" s="122" t="n"/>
      <c r="EL60" s="190" t="n"/>
      <c r="EM60" s="124" t="n"/>
      <c r="EN60" s="125" t="n"/>
      <c r="EO60" s="124" t="n"/>
      <c r="EP60" s="125" t="n"/>
      <c r="EQ60" s="124" t="n"/>
      <c r="ER60" s="125" t="n"/>
      <c r="ES60" s="124" t="n"/>
      <c r="ET60" s="125" t="n"/>
      <c r="EU60" s="124" t="n"/>
      <c r="EV60" s="125" t="n"/>
      <c r="EW60" s="124" t="n"/>
      <c r="EX60" s="125" t="n"/>
      <c r="EY60" s="124" t="n"/>
      <c r="EZ60" s="125" t="n"/>
      <c r="FA60" s="124" t="n"/>
      <c r="FB60" s="125" t="n"/>
      <c r="FC60" s="191" t="n"/>
      <c r="FD60" s="127" t="n"/>
      <c r="FE60" s="128" t="n"/>
      <c r="FF60" s="127" t="n"/>
      <c r="FG60" s="128" t="n"/>
      <c r="FH60" s="127" t="n"/>
      <c r="FI60" s="128" t="n"/>
      <c r="FJ60" s="127" t="n"/>
      <c r="FK60" s="128" t="n"/>
      <c r="FL60" s="127" t="n"/>
      <c r="FM60" s="128" t="n"/>
      <c r="FN60" s="127" t="n"/>
      <c r="FO60" s="128" t="n"/>
      <c r="FP60" s="127" t="n"/>
      <c r="FQ60" s="128" t="n"/>
      <c r="FR60" s="127" t="n"/>
      <c r="FS60" s="128" t="n"/>
      <c r="FT60" s="192" t="n"/>
      <c r="FU60" s="130" t="n"/>
      <c r="FV60" s="131" t="n"/>
      <c r="FW60" s="130" t="n"/>
      <c r="FX60" s="131" t="n"/>
      <c r="FY60" s="130" t="n"/>
      <c r="FZ60" s="131" t="n"/>
      <c r="GA60" s="130" t="n"/>
      <c r="GB60" s="131" t="n"/>
      <c r="GC60" s="130" t="n"/>
      <c r="GD60" s="131" t="n"/>
      <c r="GE60" s="130" t="n"/>
      <c r="GF60" s="131" t="n"/>
      <c r="GG60" s="130" t="n"/>
      <c r="GH60" s="131" t="n"/>
      <c r="GI60" s="130" t="n"/>
      <c r="GJ60" s="131" t="n"/>
      <c r="GK60" s="193" t="n"/>
      <c r="GL60" s="133" t="n"/>
      <c r="GM60" s="134" t="n"/>
      <c r="GN60" s="133" t="n"/>
      <c r="GO60" s="134" t="n"/>
      <c r="GP60" s="133" t="n"/>
      <c r="GQ60" s="134" t="n"/>
      <c r="GR60" s="133" t="n"/>
      <c r="GS60" s="134" t="n"/>
      <c r="GT60" s="133" t="n"/>
      <c r="GU60" s="134" t="n"/>
      <c r="GV60" s="133" t="n"/>
      <c r="GW60" s="134" t="n"/>
      <c r="GX60" s="133" t="n"/>
      <c r="GY60" s="134" t="n"/>
      <c r="GZ60" s="133" t="n"/>
      <c r="HA60" s="134" t="n"/>
      <c r="HB60" s="194" t="n"/>
      <c r="HC60">
        <f>SUMIFS($G60:$HA60,$G$36:$HA$36,"درجة",$H60:$HB60,"&gt;0")</f>
        <v>0</v>
      </c>
      <c r="HD60">
        <f>SUMIFS($H60:$HB60,$G$36:$HA$36,"درجة",$G60:$HA60,"&gt;=0")</f>
        <v>0</v>
      </c>
    </row>
    <row r="61" ht="22.5" customHeight="1">
      <c r="A61" s="36" t="n">
        <v>25</v>
      </c>
      <c r="B61" s="181" t="str">
        <f>IF($B28="","",$B28)</f>
        <v/>
      </c>
      <c r="C61" s="136" t="str">
        <f>IF(OR($B61="",$HD61=0),"",ROUND($HC61,2)&amp;" / "&amp;$HD61)</f>
        <v/>
      </c>
      <c r="D61" s="182" t="str">
        <f>IF(OR($B61="",$HD61=0),"",$HC61/$HD61)</f>
        <v/>
      </c>
      <c r="E61" s="136" t="n"/>
      <c r="F61" s="99" t="str">
        <f>IF($D61="","",IF($D61&gt;=0.85,"ممتاز",IF($D61&gt;=0.75,"جيد جداً",IF($D61&gt;=0.65,"جيد",IF($D61&gt;=0.5,"مقبول","ضعيف")))))</f>
        <v/>
      </c>
      <c r="G61" s="100" t="n"/>
      <c r="H61" s="101" t="n"/>
      <c r="I61" s="100" t="n"/>
      <c r="J61" s="101" t="n"/>
      <c r="K61" s="100" t="n"/>
      <c r="L61" s="101" t="n"/>
      <c r="M61" s="100" t="n"/>
      <c r="N61" s="101" t="n"/>
      <c r="O61" s="100" t="n"/>
      <c r="P61" s="101" t="n"/>
      <c r="Q61" s="100" t="n"/>
      <c r="R61" s="101" t="n"/>
      <c r="S61" s="100" t="n"/>
      <c r="T61" s="101" t="n"/>
      <c r="U61" s="100" t="n"/>
      <c r="V61" s="101" t="n"/>
      <c r="W61" s="183" t="n"/>
      <c r="X61" s="103" t="n"/>
      <c r="Y61" s="104" t="n"/>
      <c r="Z61" s="103" t="n"/>
      <c r="AA61" s="104" t="n"/>
      <c r="AB61" s="103" t="n"/>
      <c r="AC61" s="104" t="n"/>
      <c r="AD61" s="103" t="n"/>
      <c r="AE61" s="104" t="n"/>
      <c r="AF61" s="103" t="n"/>
      <c r="AG61" s="104" t="n"/>
      <c r="AH61" s="103" t="n"/>
      <c r="AI61" s="104" t="n"/>
      <c r="AJ61" s="103" t="n"/>
      <c r="AK61" s="104" t="n"/>
      <c r="AL61" s="103" t="n"/>
      <c r="AM61" s="104" t="n"/>
      <c r="AN61" s="184" t="n"/>
      <c r="AO61" s="106" t="n"/>
      <c r="AP61" s="107" t="n"/>
      <c r="AQ61" s="106" t="n"/>
      <c r="AR61" s="107" t="n"/>
      <c r="AS61" s="106" t="n"/>
      <c r="AT61" s="107" t="n"/>
      <c r="AU61" s="106" t="n"/>
      <c r="AV61" s="107" t="n"/>
      <c r="AW61" s="106" t="n"/>
      <c r="AX61" s="107" t="n"/>
      <c r="AY61" s="106" t="n"/>
      <c r="AZ61" s="107" t="n"/>
      <c r="BA61" s="106" t="n"/>
      <c r="BB61" s="107" t="n"/>
      <c r="BC61" s="106" t="n"/>
      <c r="BD61" s="107" t="n"/>
      <c r="BE61" s="185" t="n"/>
      <c r="BF61" s="109" t="n"/>
      <c r="BG61" s="110" t="n"/>
      <c r="BH61" s="109" t="n"/>
      <c r="BI61" s="110" t="n"/>
      <c r="BJ61" s="109" t="n"/>
      <c r="BK61" s="110" t="n"/>
      <c r="BL61" s="109" t="n"/>
      <c r="BM61" s="110" t="n"/>
      <c r="BN61" s="109" t="n"/>
      <c r="BO61" s="110" t="n"/>
      <c r="BP61" s="109" t="n"/>
      <c r="BQ61" s="110" t="n"/>
      <c r="BR61" s="109" t="n"/>
      <c r="BS61" s="110" t="n"/>
      <c r="BT61" s="109" t="n"/>
      <c r="BU61" s="110" t="n"/>
      <c r="BV61" s="186" t="n"/>
      <c r="BW61" s="112" t="n"/>
      <c r="BX61" s="113" t="n"/>
      <c r="BY61" s="112" t="n"/>
      <c r="BZ61" s="113" t="n"/>
      <c r="CA61" s="112" t="n"/>
      <c r="CB61" s="113" t="n"/>
      <c r="CC61" s="112" t="n"/>
      <c r="CD61" s="113" t="n"/>
      <c r="CE61" s="112" t="n"/>
      <c r="CF61" s="113" t="n"/>
      <c r="CG61" s="112" t="n"/>
      <c r="CH61" s="113" t="n"/>
      <c r="CI61" s="112" t="n"/>
      <c r="CJ61" s="113" t="n"/>
      <c r="CK61" s="112" t="n"/>
      <c r="CL61" s="113" t="n"/>
      <c r="CM61" s="187" t="n"/>
      <c r="CN61" s="115" t="n"/>
      <c r="CO61" s="116" t="n"/>
      <c r="CP61" s="115" t="n"/>
      <c r="CQ61" s="116" t="n"/>
      <c r="CR61" s="115" t="n"/>
      <c r="CS61" s="116" t="n"/>
      <c r="CT61" s="115" t="n"/>
      <c r="CU61" s="116" t="n"/>
      <c r="CV61" s="115" t="n"/>
      <c r="CW61" s="116" t="n"/>
      <c r="CX61" s="115" t="n"/>
      <c r="CY61" s="116" t="n"/>
      <c r="CZ61" s="115" t="n"/>
      <c r="DA61" s="116" t="n"/>
      <c r="DB61" s="115" t="n"/>
      <c r="DC61" s="116" t="n"/>
      <c r="DD61" s="188" t="n"/>
      <c r="DE61" s="118" t="n"/>
      <c r="DF61" s="119" t="n"/>
      <c r="DG61" s="118" t="n"/>
      <c r="DH61" s="119" t="n"/>
      <c r="DI61" s="118" t="n"/>
      <c r="DJ61" s="119" t="n"/>
      <c r="DK61" s="118" t="n"/>
      <c r="DL61" s="119" t="n"/>
      <c r="DM61" s="118" t="n"/>
      <c r="DN61" s="119" t="n"/>
      <c r="DO61" s="118" t="n"/>
      <c r="DP61" s="119" t="n"/>
      <c r="DQ61" s="118" t="n"/>
      <c r="DR61" s="119" t="n"/>
      <c r="DS61" s="118" t="n"/>
      <c r="DT61" s="119" t="n"/>
      <c r="DU61" s="189" t="n"/>
      <c r="DV61" s="121" t="n"/>
      <c r="DW61" s="122" t="n"/>
      <c r="DX61" s="121" t="n"/>
      <c r="DY61" s="122" t="n"/>
      <c r="DZ61" s="121" t="n"/>
      <c r="EA61" s="122" t="n"/>
      <c r="EB61" s="121" t="n"/>
      <c r="EC61" s="122" t="n"/>
      <c r="ED61" s="121" t="n"/>
      <c r="EE61" s="122" t="n"/>
      <c r="EF61" s="121" t="n"/>
      <c r="EG61" s="122" t="n"/>
      <c r="EH61" s="121" t="n"/>
      <c r="EI61" s="122" t="n"/>
      <c r="EJ61" s="121" t="n"/>
      <c r="EK61" s="122" t="n"/>
      <c r="EL61" s="190" t="n"/>
      <c r="EM61" s="124" t="n"/>
      <c r="EN61" s="125" t="n"/>
      <c r="EO61" s="124" t="n"/>
      <c r="EP61" s="125" t="n"/>
      <c r="EQ61" s="124" t="n"/>
      <c r="ER61" s="125" t="n"/>
      <c r="ES61" s="124" t="n"/>
      <c r="ET61" s="125" t="n"/>
      <c r="EU61" s="124" t="n"/>
      <c r="EV61" s="125" t="n"/>
      <c r="EW61" s="124" t="n"/>
      <c r="EX61" s="125" t="n"/>
      <c r="EY61" s="124" t="n"/>
      <c r="EZ61" s="125" t="n"/>
      <c r="FA61" s="124" t="n"/>
      <c r="FB61" s="125" t="n"/>
      <c r="FC61" s="191" t="n"/>
      <c r="FD61" s="127" t="n"/>
      <c r="FE61" s="128" t="n"/>
      <c r="FF61" s="127" t="n"/>
      <c r="FG61" s="128" t="n"/>
      <c r="FH61" s="127" t="n"/>
      <c r="FI61" s="128" t="n"/>
      <c r="FJ61" s="127" t="n"/>
      <c r="FK61" s="128" t="n"/>
      <c r="FL61" s="127" t="n"/>
      <c r="FM61" s="128" t="n"/>
      <c r="FN61" s="127" t="n"/>
      <c r="FO61" s="128" t="n"/>
      <c r="FP61" s="127" t="n"/>
      <c r="FQ61" s="128" t="n"/>
      <c r="FR61" s="127" t="n"/>
      <c r="FS61" s="128" t="n"/>
      <c r="FT61" s="192" t="n"/>
      <c r="FU61" s="130" t="n"/>
      <c r="FV61" s="131" t="n"/>
      <c r="FW61" s="130" t="n"/>
      <c r="FX61" s="131" t="n"/>
      <c r="FY61" s="130" t="n"/>
      <c r="FZ61" s="131" t="n"/>
      <c r="GA61" s="130" t="n"/>
      <c r="GB61" s="131" t="n"/>
      <c r="GC61" s="130" t="n"/>
      <c r="GD61" s="131" t="n"/>
      <c r="GE61" s="130" t="n"/>
      <c r="GF61" s="131" t="n"/>
      <c r="GG61" s="130" t="n"/>
      <c r="GH61" s="131" t="n"/>
      <c r="GI61" s="130" t="n"/>
      <c r="GJ61" s="131" t="n"/>
      <c r="GK61" s="193" t="n"/>
      <c r="GL61" s="133" t="n"/>
      <c r="GM61" s="134" t="n"/>
      <c r="GN61" s="133" t="n"/>
      <c r="GO61" s="134" t="n"/>
      <c r="GP61" s="133" t="n"/>
      <c r="GQ61" s="134" t="n"/>
      <c r="GR61" s="133" t="n"/>
      <c r="GS61" s="134" t="n"/>
      <c r="GT61" s="133" t="n"/>
      <c r="GU61" s="134" t="n"/>
      <c r="GV61" s="133" t="n"/>
      <c r="GW61" s="134" t="n"/>
      <c r="GX61" s="133" t="n"/>
      <c r="GY61" s="134" t="n"/>
      <c r="GZ61" s="133" t="n"/>
      <c r="HA61" s="134" t="n"/>
      <c r="HB61" s="194" t="n"/>
      <c r="HC61">
        <f>SUMIFS($G61:$HA61,$G$36:$HA$36,"درجة",$H61:$HB61,"&gt;0")</f>
        <v>0</v>
      </c>
      <c r="HD61">
        <f>SUMIFS($H61:$HB61,$G$36:$HA$36,"درجة",$G61:$HA61,"&gt;=0")</f>
        <v>0</v>
      </c>
    </row>
    <row r="62" ht="22.5" customHeight="1">
      <c r="A62" s="36" t="n">
        <v>26</v>
      </c>
      <c r="B62" s="181" t="str">
        <f>IF($B29="","",$B29)</f>
        <v/>
      </c>
      <c r="C62" s="136" t="str">
        <f>IF(OR($B62="",$HD62=0),"",ROUND($HC62,2)&amp;" / "&amp;$HD62)</f>
        <v/>
      </c>
      <c r="D62" s="182" t="str">
        <f>IF(OR($B62="",$HD62=0),"",$HC62/$HD62)</f>
        <v/>
      </c>
      <c r="E62" s="136" t="n"/>
      <c r="F62" s="99" t="str">
        <f>IF($D62="","",IF($D62&gt;=0.85,"ممتاز",IF($D62&gt;=0.75,"جيد جداً",IF($D62&gt;=0.65,"جيد",IF($D62&gt;=0.5,"مقبول","ضعيف")))))</f>
        <v/>
      </c>
      <c r="G62" s="100" t="n"/>
      <c r="H62" s="101" t="n"/>
      <c r="I62" s="100" t="n"/>
      <c r="J62" s="101" t="n"/>
      <c r="K62" s="100" t="n"/>
      <c r="L62" s="101" t="n"/>
      <c r="M62" s="100" t="n"/>
      <c r="N62" s="101" t="n"/>
      <c r="O62" s="100" t="n"/>
      <c r="P62" s="101" t="n"/>
      <c r="Q62" s="100" t="n"/>
      <c r="R62" s="101" t="n"/>
      <c r="S62" s="100" t="n"/>
      <c r="T62" s="101" t="n"/>
      <c r="U62" s="100" t="n"/>
      <c r="V62" s="101" t="n"/>
      <c r="W62" s="183" t="n"/>
      <c r="X62" s="103" t="n"/>
      <c r="Y62" s="104" t="n"/>
      <c r="Z62" s="103" t="n"/>
      <c r="AA62" s="104" t="n"/>
      <c r="AB62" s="103" t="n"/>
      <c r="AC62" s="104" t="n"/>
      <c r="AD62" s="103" t="n"/>
      <c r="AE62" s="104" t="n"/>
      <c r="AF62" s="103" t="n"/>
      <c r="AG62" s="104" t="n"/>
      <c r="AH62" s="103" t="n"/>
      <c r="AI62" s="104" t="n"/>
      <c r="AJ62" s="103" t="n"/>
      <c r="AK62" s="104" t="n"/>
      <c r="AL62" s="103" t="n"/>
      <c r="AM62" s="104" t="n"/>
      <c r="AN62" s="184" t="n"/>
      <c r="AO62" s="106" t="n"/>
      <c r="AP62" s="107" t="n"/>
      <c r="AQ62" s="106" t="n"/>
      <c r="AR62" s="107" t="n"/>
      <c r="AS62" s="106" t="n"/>
      <c r="AT62" s="107" t="n"/>
      <c r="AU62" s="106" t="n"/>
      <c r="AV62" s="107" t="n"/>
      <c r="AW62" s="106" t="n"/>
      <c r="AX62" s="107" t="n"/>
      <c r="AY62" s="106" t="n"/>
      <c r="AZ62" s="107" t="n"/>
      <c r="BA62" s="106" t="n"/>
      <c r="BB62" s="107" t="n"/>
      <c r="BC62" s="106" t="n"/>
      <c r="BD62" s="107" t="n"/>
      <c r="BE62" s="185" t="n"/>
      <c r="BF62" s="109" t="n"/>
      <c r="BG62" s="110" t="n"/>
      <c r="BH62" s="109" t="n"/>
      <c r="BI62" s="110" t="n"/>
      <c r="BJ62" s="109" t="n"/>
      <c r="BK62" s="110" t="n"/>
      <c r="BL62" s="109" t="n"/>
      <c r="BM62" s="110" t="n"/>
      <c r="BN62" s="109" t="n"/>
      <c r="BO62" s="110" t="n"/>
      <c r="BP62" s="109" t="n"/>
      <c r="BQ62" s="110" t="n"/>
      <c r="BR62" s="109" t="n"/>
      <c r="BS62" s="110" t="n"/>
      <c r="BT62" s="109" t="n"/>
      <c r="BU62" s="110" t="n"/>
      <c r="BV62" s="186" t="n"/>
      <c r="BW62" s="112" t="n"/>
      <c r="BX62" s="113" t="n"/>
      <c r="BY62" s="112" t="n"/>
      <c r="BZ62" s="113" t="n"/>
      <c r="CA62" s="112" t="n"/>
      <c r="CB62" s="113" t="n"/>
      <c r="CC62" s="112" t="n"/>
      <c r="CD62" s="113" t="n"/>
      <c r="CE62" s="112" t="n"/>
      <c r="CF62" s="113" t="n"/>
      <c r="CG62" s="112" t="n"/>
      <c r="CH62" s="113" t="n"/>
      <c r="CI62" s="112" t="n"/>
      <c r="CJ62" s="113" t="n"/>
      <c r="CK62" s="112" t="n"/>
      <c r="CL62" s="113" t="n"/>
      <c r="CM62" s="187" t="n"/>
      <c r="CN62" s="115" t="n"/>
      <c r="CO62" s="116" t="n"/>
      <c r="CP62" s="115" t="n"/>
      <c r="CQ62" s="116" t="n"/>
      <c r="CR62" s="115" t="n"/>
      <c r="CS62" s="116" t="n"/>
      <c r="CT62" s="115" t="n"/>
      <c r="CU62" s="116" t="n"/>
      <c r="CV62" s="115" t="n"/>
      <c r="CW62" s="116" t="n"/>
      <c r="CX62" s="115" t="n"/>
      <c r="CY62" s="116" t="n"/>
      <c r="CZ62" s="115" t="n"/>
      <c r="DA62" s="116" t="n"/>
      <c r="DB62" s="115" t="n"/>
      <c r="DC62" s="116" t="n"/>
      <c r="DD62" s="188" t="n"/>
      <c r="DE62" s="118" t="n"/>
      <c r="DF62" s="119" t="n"/>
      <c r="DG62" s="118" t="n"/>
      <c r="DH62" s="119" t="n"/>
      <c r="DI62" s="118" t="n"/>
      <c r="DJ62" s="119" t="n"/>
      <c r="DK62" s="118" t="n"/>
      <c r="DL62" s="119" t="n"/>
      <c r="DM62" s="118" t="n"/>
      <c r="DN62" s="119" t="n"/>
      <c r="DO62" s="118" t="n"/>
      <c r="DP62" s="119" t="n"/>
      <c r="DQ62" s="118" t="n"/>
      <c r="DR62" s="119" t="n"/>
      <c r="DS62" s="118" t="n"/>
      <c r="DT62" s="119" t="n"/>
      <c r="DU62" s="189" t="n"/>
      <c r="DV62" s="121" t="n"/>
      <c r="DW62" s="122" t="n"/>
      <c r="DX62" s="121" t="n"/>
      <c r="DY62" s="122" t="n"/>
      <c r="DZ62" s="121" t="n"/>
      <c r="EA62" s="122" t="n"/>
      <c r="EB62" s="121" t="n"/>
      <c r="EC62" s="122" t="n"/>
      <c r="ED62" s="121" t="n"/>
      <c r="EE62" s="122" t="n"/>
      <c r="EF62" s="121" t="n"/>
      <c r="EG62" s="122" t="n"/>
      <c r="EH62" s="121" t="n"/>
      <c r="EI62" s="122" t="n"/>
      <c r="EJ62" s="121" t="n"/>
      <c r="EK62" s="122" t="n"/>
      <c r="EL62" s="190" t="n"/>
      <c r="EM62" s="124" t="n"/>
      <c r="EN62" s="125" t="n"/>
      <c r="EO62" s="124" t="n"/>
      <c r="EP62" s="125" t="n"/>
      <c r="EQ62" s="124" t="n"/>
      <c r="ER62" s="125" t="n"/>
      <c r="ES62" s="124" t="n"/>
      <c r="ET62" s="125" t="n"/>
      <c r="EU62" s="124" t="n"/>
      <c r="EV62" s="125" t="n"/>
      <c r="EW62" s="124" t="n"/>
      <c r="EX62" s="125" t="n"/>
      <c r="EY62" s="124" t="n"/>
      <c r="EZ62" s="125" t="n"/>
      <c r="FA62" s="124" t="n"/>
      <c r="FB62" s="125" t="n"/>
      <c r="FC62" s="191" t="n"/>
      <c r="FD62" s="127" t="n"/>
      <c r="FE62" s="128" t="n"/>
      <c r="FF62" s="127" t="n"/>
      <c r="FG62" s="128" t="n"/>
      <c r="FH62" s="127" t="n"/>
      <c r="FI62" s="128" t="n"/>
      <c r="FJ62" s="127" t="n"/>
      <c r="FK62" s="128" t="n"/>
      <c r="FL62" s="127" t="n"/>
      <c r="FM62" s="128" t="n"/>
      <c r="FN62" s="127" t="n"/>
      <c r="FO62" s="128" t="n"/>
      <c r="FP62" s="127" t="n"/>
      <c r="FQ62" s="128" t="n"/>
      <c r="FR62" s="127" t="n"/>
      <c r="FS62" s="128" t="n"/>
      <c r="FT62" s="192" t="n"/>
      <c r="FU62" s="130" t="n"/>
      <c r="FV62" s="131" t="n"/>
      <c r="FW62" s="130" t="n"/>
      <c r="FX62" s="131" t="n"/>
      <c r="FY62" s="130" t="n"/>
      <c r="FZ62" s="131" t="n"/>
      <c r="GA62" s="130" t="n"/>
      <c r="GB62" s="131" t="n"/>
      <c r="GC62" s="130" t="n"/>
      <c r="GD62" s="131" t="n"/>
      <c r="GE62" s="130" t="n"/>
      <c r="GF62" s="131" t="n"/>
      <c r="GG62" s="130" t="n"/>
      <c r="GH62" s="131" t="n"/>
      <c r="GI62" s="130" t="n"/>
      <c r="GJ62" s="131" t="n"/>
      <c r="GK62" s="193" t="n"/>
      <c r="GL62" s="133" t="n"/>
      <c r="GM62" s="134" t="n"/>
      <c r="GN62" s="133" t="n"/>
      <c r="GO62" s="134" t="n"/>
      <c r="GP62" s="133" t="n"/>
      <c r="GQ62" s="134" t="n"/>
      <c r="GR62" s="133" t="n"/>
      <c r="GS62" s="134" t="n"/>
      <c r="GT62" s="133" t="n"/>
      <c r="GU62" s="134" t="n"/>
      <c r="GV62" s="133" t="n"/>
      <c r="GW62" s="134" t="n"/>
      <c r="GX62" s="133" t="n"/>
      <c r="GY62" s="134" t="n"/>
      <c r="GZ62" s="133" t="n"/>
      <c r="HA62" s="134" t="n"/>
      <c r="HB62" s="194" t="n"/>
      <c r="HC62">
        <f>SUMIFS($G62:$HA62,$G$36:$HA$36,"درجة",$H62:$HB62,"&gt;0")</f>
        <v>0</v>
      </c>
      <c r="HD62">
        <f>SUMIFS($H62:$HB62,$G$36:$HA$36,"درجة",$G62:$HA62,"&gt;=0")</f>
        <v>0</v>
      </c>
    </row>
    <row r="63" ht="22.5" customHeight="1">
      <c r="A63" s="36" t="n">
        <v>27</v>
      </c>
      <c r="B63" s="181" t="str">
        <f>IF($B30="","",$B30)</f>
        <v/>
      </c>
      <c r="C63" s="136" t="str">
        <f>IF(OR($B63="",$HD63=0),"",ROUND($HC63,2)&amp;" / "&amp;$HD63)</f>
        <v/>
      </c>
      <c r="D63" s="182" t="str">
        <f>IF(OR($B63="",$HD63=0),"",$HC63/$HD63)</f>
        <v/>
      </c>
      <c r="E63" s="136" t="n"/>
      <c r="F63" s="99" t="str">
        <f>IF($D63="","",IF($D63&gt;=0.85,"ممتاز",IF($D63&gt;=0.75,"جيد جداً",IF($D63&gt;=0.65,"جيد",IF($D63&gt;=0.5,"مقبول","ضعيف")))))</f>
        <v/>
      </c>
      <c r="G63" s="100" t="n"/>
      <c r="H63" s="101" t="n"/>
      <c r="I63" s="100" t="n"/>
      <c r="J63" s="101" t="n"/>
      <c r="K63" s="100" t="n"/>
      <c r="L63" s="101" t="n"/>
      <c r="M63" s="100" t="n"/>
      <c r="N63" s="101" t="n"/>
      <c r="O63" s="100" t="n"/>
      <c r="P63" s="101" t="n"/>
      <c r="Q63" s="100" t="n"/>
      <c r="R63" s="101" t="n"/>
      <c r="S63" s="100" t="n"/>
      <c r="T63" s="101" t="n"/>
      <c r="U63" s="100" t="n"/>
      <c r="V63" s="101" t="n"/>
      <c r="W63" s="183" t="n"/>
      <c r="X63" s="103" t="n"/>
      <c r="Y63" s="104" t="n"/>
      <c r="Z63" s="103" t="n"/>
      <c r="AA63" s="104" t="n"/>
      <c r="AB63" s="103" t="n"/>
      <c r="AC63" s="104" t="n"/>
      <c r="AD63" s="103" t="n"/>
      <c r="AE63" s="104" t="n"/>
      <c r="AF63" s="103" t="n"/>
      <c r="AG63" s="104" t="n"/>
      <c r="AH63" s="103" t="n"/>
      <c r="AI63" s="104" t="n"/>
      <c r="AJ63" s="103" t="n"/>
      <c r="AK63" s="104" t="n"/>
      <c r="AL63" s="103" t="n"/>
      <c r="AM63" s="104" t="n"/>
      <c r="AN63" s="184" t="n"/>
      <c r="AO63" s="106" t="n"/>
      <c r="AP63" s="107" t="n"/>
      <c r="AQ63" s="106" t="n"/>
      <c r="AR63" s="107" t="n"/>
      <c r="AS63" s="106" t="n"/>
      <c r="AT63" s="107" t="n"/>
      <c r="AU63" s="106" t="n"/>
      <c r="AV63" s="107" t="n"/>
      <c r="AW63" s="106" t="n"/>
      <c r="AX63" s="107" t="n"/>
      <c r="AY63" s="106" t="n"/>
      <c r="AZ63" s="107" t="n"/>
      <c r="BA63" s="106" t="n"/>
      <c r="BB63" s="107" t="n"/>
      <c r="BC63" s="106" t="n"/>
      <c r="BD63" s="107" t="n"/>
      <c r="BE63" s="185" t="n"/>
      <c r="BF63" s="109" t="n"/>
      <c r="BG63" s="110" t="n"/>
      <c r="BH63" s="109" t="n"/>
      <c r="BI63" s="110" t="n"/>
      <c r="BJ63" s="109" t="n"/>
      <c r="BK63" s="110" t="n"/>
      <c r="BL63" s="109" t="n"/>
      <c r="BM63" s="110" t="n"/>
      <c r="BN63" s="109" t="n"/>
      <c r="BO63" s="110" t="n"/>
      <c r="BP63" s="109" t="n"/>
      <c r="BQ63" s="110" t="n"/>
      <c r="BR63" s="109" t="n"/>
      <c r="BS63" s="110" t="n"/>
      <c r="BT63" s="109" t="n"/>
      <c r="BU63" s="110" t="n"/>
      <c r="BV63" s="186" t="n"/>
      <c r="BW63" s="112" t="n"/>
      <c r="BX63" s="113" t="n"/>
      <c r="BY63" s="112" t="n"/>
      <c r="BZ63" s="113" t="n"/>
      <c r="CA63" s="112" t="n"/>
      <c r="CB63" s="113" t="n"/>
      <c r="CC63" s="112" t="n"/>
      <c r="CD63" s="113" t="n"/>
      <c r="CE63" s="112" t="n"/>
      <c r="CF63" s="113" t="n"/>
      <c r="CG63" s="112" t="n"/>
      <c r="CH63" s="113" t="n"/>
      <c r="CI63" s="112" t="n"/>
      <c r="CJ63" s="113" t="n"/>
      <c r="CK63" s="112" t="n"/>
      <c r="CL63" s="113" t="n"/>
      <c r="CM63" s="187" t="n"/>
      <c r="CN63" s="115" t="n"/>
      <c r="CO63" s="116" t="n"/>
      <c r="CP63" s="115" t="n"/>
      <c r="CQ63" s="116" t="n"/>
      <c r="CR63" s="115" t="n"/>
      <c r="CS63" s="116" t="n"/>
      <c r="CT63" s="115" t="n"/>
      <c r="CU63" s="116" t="n"/>
      <c r="CV63" s="115" t="n"/>
      <c r="CW63" s="116" t="n"/>
      <c r="CX63" s="115" t="n"/>
      <c r="CY63" s="116" t="n"/>
      <c r="CZ63" s="115" t="n"/>
      <c r="DA63" s="116" t="n"/>
      <c r="DB63" s="115" t="n"/>
      <c r="DC63" s="116" t="n"/>
      <c r="DD63" s="188" t="n"/>
      <c r="DE63" s="118" t="n"/>
      <c r="DF63" s="119" t="n"/>
      <c r="DG63" s="118" t="n"/>
      <c r="DH63" s="119" t="n"/>
      <c r="DI63" s="118" t="n"/>
      <c r="DJ63" s="119" t="n"/>
      <c r="DK63" s="118" t="n"/>
      <c r="DL63" s="119" t="n"/>
      <c r="DM63" s="118" t="n"/>
      <c r="DN63" s="119" t="n"/>
      <c r="DO63" s="118" t="n"/>
      <c r="DP63" s="119" t="n"/>
      <c r="DQ63" s="118" t="n"/>
      <c r="DR63" s="119" t="n"/>
      <c r="DS63" s="118" t="n"/>
      <c r="DT63" s="119" t="n"/>
      <c r="DU63" s="189" t="n"/>
      <c r="DV63" s="121" t="n"/>
      <c r="DW63" s="122" t="n"/>
      <c r="DX63" s="121" t="n"/>
      <c r="DY63" s="122" t="n"/>
      <c r="DZ63" s="121" t="n"/>
      <c r="EA63" s="122" t="n"/>
      <c r="EB63" s="121" t="n"/>
      <c r="EC63" s="122" t="n"/>
      <c r="ED63" s="121" t="n"/>
      <c r="EE63" s="122" t="n"/>
      <c r="EF63" s="121" t="n"/>
      <c r="EG63" s="122" t="n"/>
      <c r="EH63" s="121" t="n"/>
      <c r="EI63" s="122" t="n"/>
      <c r="EJ63" s="121" t="n"/>
      <c r="EK63" s="122" t="n"/>
      <c r="EL63" s="190" t="n"/>
      <c r="EM63" s="124" t="n"/>
      <c r="EN63" s="125" t="n"/>
      <c r="EO63" s="124" t="n"/>
      <c r="EP63" s="125" t="n"/>
      <c r="EQ63" s="124" t="n"/>
      <c r="ER63" s="125" t="n"/>
      <c r="ES63" s="124" t="n"/>
      <c r="ET63" s="125" t="n"/>
      <c r="EU63" s="124" t="n"/>
      <c r="EV63" s="125" t="n"/>
      <c r="EW63" s="124" t="n"/>
      <c r="EX63" s="125" t="n"/>
      <c r="EY63" s="124" t="n"/>
      <c r="EZ63" s="125" t="n"/>
      <c r="FA63" s="124" t="n"/>
      <c r="FB63" s="125" t="n"/>
      <c r="FC63" s="191" t="n"/>
      <c r="FD63" s="127" t="n"/>
      <c r="FE63" s="128" t="n"/>
      <c r="FF63" s="127" t="n"/>
      <c r="FG63" s="128" t="n"/>
      <c r="FH63" s="127" t="n"/>
      <c r="FI63" s="128" t="n"/>
      <c r="FJ63" s="127" t="n"/>
      <c r="FK63" s="128" t="n"/>
      <c r="FL63" s="127" t="n"/>
      <c r="FM63" s="128" t="n"/>
      <c r="FN63" s="127" t="n"/>
      <c r="FO63" s="128" t="n"/>
      <c r="FP63" s="127" t="n"/>
      <c r="FQ63" s="128" t="n"/>
      <c r="FR63" s="127" t="n"/>
      <c r="FS63" s="128" t="n"/>
      <c r="FT63" s="192" t="n"/>
      <c r="FU63" s="130" t="n"/>
      <c r="FV63" s="131" t="n"/>
      <c r="FW63" s="130" t="n"/>
      <c r="FX63" s="131" t="n"/>
      <c r="FY63" s="130" t="n"/>
      <c r="FZ63" s="131" t="n"/>
      <c r="GA63" s="130" t="n"/>
      <c r="GB63" s="131" t="n"/>
      <c r="GC63" s="130" t="n"/>
      <c r="GD63" s="131" t="n"/>
      <c r="GE63" s="130" t="n"/>
      <c r="GF63" s="131" t="n"/>
      <c r="GG63" s="130" t="n"/>
      <c r="GH63" s="131" t="n"/>
      <c r="GI63" s="130" t="n"/>
      <c r="GJ63" s="131" t="n"/>
      <c r="GK63" s="193" t="n"/>
      <c r="GL63" s="133" t="n"/>
      <c r="GM63" s="134" t="n"/>
      <c r="GN63" s="133" t="n"/>
      <c r="GO63" s="134" t="n"/>
      <c r="GP63" s="133" t="n"/>
      <c r="GQ63" s="134" t="n"/>
      <c r="GR63" s="133" t="n"/>
      <c r="GS63" s="134" t="n"/>
      <c r="GT63" s="133" t="n"/>
      <c r="GU63" s="134" t="n"/>
      <c r="GV63" s="133" t="n"/>
      <c r="GW63" s="134" t="n"/>
      <c r="GX63" s="133" t="n"/>
      <c r="GY63" s="134" t="n"/>
      <c r="GZ63" s="133" t="n"/>
      <c r="HA63" s="134" t="n"/>
      <c r="HB63" s="194" t="n"/>
      <c r="HC63">
        <f>SUMIFS($G63:$HA63,$G$36:$HA$36,"درجة",$H63:$HB63,"&gt;0")</f>
        <v>0</v>
      </c>
      <c r="HD63">
        <f>SUMIFS($H63:$HB63,$G$36:$HA$36,"درجة",$G63:$HA63,"&gt;=0")</f>
        <v>0</v>
      </c>
    </row>
    <row r="64" ht="22.5" customHeight="1">
      <c r="A64" s="36" t="n">
        <v>28</v>
      </c>
      <c r="B64" s="181" t="str">
        <f>IF($B31="","",$B31)</f>
        <v/>
      </c>
      <c r="C64" s="136" t="str">
        <f>IF(OR($B64="",$HD64=0),"",ROUND($HC64,2)&amp;" / "&amp;$HD64)</f>
        <v/>
      </c>
      <c r="D64" s="182" t="str">
        <f>IF(OR($B64="",$HD64=0),"",$HC64/$HD64)</f>
        <v/>
      </c>
      <c r="E64" s="136" t="n"/>
      <c r="F64" s="99" t="str">
        <f>IF($D64="","",IF($D64&gt;=0.85,"ممتاز",IF($D64&gt;=0.75,"جيد جداً",IF($D64&gt;=0.65,"جيد",IF($D64&gt;=0.5,"مقبول","ضعيف")))))</f>
        <v/>
      </c>
      <c r="G64" s="100" t="n"/>
      <c r="H64" s="101" t="n"/>
      <c r="I64" s="100" t="n"/>
      <c r="J64" s="101" t="n"/>
      <c r="K64" s="100" t="n"/>
      <c r="L64" s="101" t="n"/>
      <c r="M64" s="100" t="n"/>
      <c r="N64" s="101" t="n"/>
      <c r="O64" s="100" t="n"/>
      <c r="P64" s="101" t="n"/>
      <c r="Q64" s="100" t="n"/>
      <c r="R64" s="101" t="n"/>
      <c r="S64" s="100" t="n"/>
      <c r="T64" s="101" t="n"/>
      <c r="U64" s="100" t="n"/>
      <c r="V64" s="101" t="n"/>
      <c r="W64" s="183" t="n"/>
      <c r="X64" s="103" t="n"/>
      <c r="Y64" s="104" t="n"/>
      <c r="Z64" s="103" t="n"/>
      <c r="AA64" s="104" t="n"/>
      <c r="AB64" s="103" t="n"/>
      <c r="AC64" s="104" t="n"/>
      <c r="AD64" s="103" t="n"/>
      <c r="AE64" s="104" t="n"/>
      <c r="AF64" s="103" t="n"/>
      <c r="AG64" s="104" t="n"/>
      <c r="AH64" s="103" t="n"/>
      <c r="AI64" s="104" t="n"/>
      <c r="AJ64" s="103" t="n"/>
      <c r="AK64" s="104" t="n"/>
      <c r="AL64" s="103" t="n"/>
      <c r="AM64" s="104" t="n"/>
      <c r="AN64" s="184" t="n"/>
      <c r="AO64" s="106" t="n"/>
      <c r="AP64" s="107" t="n"/>
      <c r="AQ64" s="106" t="n"/>
      <c r="AR64" s="107" t="n"/>
      <c r="AS64" s="106" t="n"/>
      <c r="AT64" s="107" t="n"/>
      <c r="AU64" s="106" t="n"/>
      <c r="AV64" s="107" t="n"/>
      <c r="AW64" s="106" t="n"/>
      <c r="AX64" s="107" t="n"/>
      <c r="AY64" s="106" t="n"/>
      <c r="AZ64" s="107" t="n"/>
      <c r="BA64" s="106" t="n"/>
      <c r="BB64" s="107" t="n"/>
      <c r="BC64" s="106" t="n"/>
      <c r="BD64" s="107" t="n"/>
      <c r="BE64" s="185" t="n"/>
      <c r="BF64" s="109" t="n"/>
      <c r="BG64" s="110" t="n"/>
      <c r="BH64" s="109" t="n"/>
      <c r="BI64" s="110" t="n"/>
      <c r="BJ64" s="109" t="n"/>
      <c r="BK64" s="110" t="n"/>
      <c r="BL64" s="109" t="n"/>
      <c r="BM64" s="110" t="n"/>
      <c r="BN64" s="109" t="n"/>
      <c r="BO64" s="110" t="n"/>
      <c r="BP64" s="109" t="n"/>
      <c r="BQ64" s="110" t="n"/>
      <c r="BR64" s="109" t="n"/>
      <c r="BS64" s="110" t="n"/>
      <c r="BT64" s="109" t="n"/>
      <c r="BU64" s="110" t="n"/>
      <c r="BV64" s="186" t="n"/>
      <c r="BW64" s="112" t="n"/>
      <c r="BX64" s="113" t="n"/>
      <c r="BY64" s="112" t="n"/>
      <c r="BZ64" s="113" t="n"/>
      <c r="CA64" s="112" t="n"/>
      <c r="CB64" s="113" t="n"/>
      <c r="CC64" s="112" t="n"/>
      <c r="CD64" s="113" t="n"/>
      <c r="CE64" s="112" t="n"/>
      <c r="CF64" s="113" t="n"/>
      <c r="CG64" s="112" t="n"/>
      <c r="CH64" s="113" t="n"/>
      <c r="CI64" s="112" t="n"/>
      <c r="CJ64" s="113" t="n"/>
      <c r="CK64" s="112" t="n"/>
      <c r="CL64" s="113" t="n"/>
      <c r="CM64" s="187" t="n"/>
      <c r="CN64" s="115" t="n"/>
      <c r="CO64" s="116" t="n"/>
      <c r="CP64" s="115" t="n"/>
      <c r="CQ64" s="116" t="n"/>
      <c r="CR64" s="115" t="n"/>
      <c r="CS64" s="116" t="n"/>
      <c r="CT64" s="115" t="n"/>
      <c r="CU64" s="116" t="n"/>
      <c r="CV64" s="115" t="n"/>
      <c r="CW64" s="116" t="n"/>
      <c r="CX64" s="115" t="n"/>
      <c r="CY64" s="116" t="n"/>
      <c r="CZ64" s="115" t="n"/>
      <c r="DA64" s="116" t="n"/>
      <c r="DB64" s="115" t="n"/>
      <c r="DC64" s="116" t="n"/>
      <c r="DD64" s="188" t="n"/>
      <c r="DE64" s="118" t="n"/>
      <c r="DF64" s="119" t="n"/>
      <c r="DG64" s="118" t="n"/>
      <c r="DH64" s="119" t="n"/>
      <c r="DI64" s="118" t="n"/>
      <c r="DJ64" s="119" t="n"/>
      <c r="DK64" s="118" t="n"/>
      <c r="DL64" s="119" t="n"/>
      <c r="DM64" s="118" t="n"/>
      <c r="DN64" s="119" t="n"/>
      <c r="DO64" s="118" t="n"/>
      <c r="DP64" s="119" t="n"/>
      <c r="DQ64" s="118" t="n"/>
      <c r="DR64" s="119" t="n"/>
      <c r="DS64" s="118" t="n"/>
      <c r="DT64" s="119" t="n"/>
      <c r="DU64" s="189" t="n"/>
      <c r="DV64" s="121" t="n"/>
      <c r="DW64" s="122" t="n"/>
      <c r="DX64" s="121" t="n"/>
      <c r="DY64" s="122" t="n"/>
      <c r="DZ64" s="121" t="n"/>
      <c r="EA64" s="122" t="n"/>
      <c r="EB64" s="121" t="n"/>
      <c r="EC64" s="122" t="n"/>
      <c r="ED64" s="121" t="n"/>
      <c r="EE64" s="122" t="n"/>
      <c r="EF64" s="121" t="n"/>
      <c r="EG64" s="122" t="n"/>
      <c r="EH64" s="121" t="n"/>
      <c r="EI64" s="122" t="n"/>
      <c r="EJ64" s="121" t="n"/>
      <c r="EK64" s="122" t="n"/>
      <c r="EL64" s="190" t="n"/>
      <c r="EM64" s="124" t="n"/>
      <c r="EN64" s="125" t="n"/>
      <c r="EO64" s="124" t="n"/>
      <c r="EP64" s="125" t="n"/>
      <c r="EQ64" s="124" t="n"/>
      <c r="ER64" s="125" t="n"/>
      <c r="ES64" s="124" t="n"/>
      <c r="ET64" s="125" t="n"/>
      <c r="EU64" s="124" t="n"/>
      <c r="EV64" s="125" t="n"/>
      <c r="EW64" s="124" t="n"/>
      <c r="EX64" s="125" t="n"/>
      <c r="EY64" s="124" t="n"/>
      <c r="EZ64" s="125" t="n"/>
      <c r="FA64" s="124" t="n"/>
      <c r="FB64" s="125" t="n"/>
      <c r="FC64" s="191" t="n"/>
      <c r="FD64" s="127" t="n"/>
      <c r="FE64" s="128" t="n"/>
      <c r="FF64" s="127" t="n"/>
      <c r="FG64" s="128" t="n"/>
      <c r="FH64" s="127" t="n"/>
      <c r="FI64" s="128" t="n"/>
      <c r="FJ64" s="127" t="n"/>
      <c r="FK64" s="128" t="n"/>
      <c r="FL64" s="127" t="n"/>
      <c r="FM64" s="128" t="n"/>
      <c r="FN64" s="127" t="n"/>
      <c r="FO64" s="128" t="n"/>
      <c r="FP64" s="127" t="n"/>
      <c r="FQ64" s="128" t="n"/>
      <c r="FR64" s="127" t="n"/>
      <c r="FS64" s="128" t="n"/>
      <c r="FT64" s="192" t="n"/>
      <c r="FU64" s="130" t="n"/>
      <c r="FV64" s="131" t="n"/>
      <c r="FW64" s="130" t="n"/>
      <c r="FX64" s="131" t="n"/>
      <c r="FY64" s="130" t="n"/>
      <c r="FZ64" s="131" t="n"/>
      <c r="GA64" s="130" t="n"/>
      <c r="GB64" s="131" t="n"/>
      <c r="GC64" s="130" t="n"/>
      <c r="GD64" s="131" t="n"/>
      <c r="GE64" s="130" t="n"/>
      <c r="GF64" s="131" t="n"/>
      <c r="GG64" s="130" t="n"/>
      <c r="GH64" s="131" t="n"/>
      <c r="GI64" s="130" t="n"/>
      <c r="GJ64" s="131" t="n"/>
      <c r="GK64" s="193" t="n"/>
      <c r="GL64" s="133" t="n"/>
      <c r="GM64" s="134" t="n"/>
      <c r="GN64" s="133" t="n"/>
      <c r="GO64" s="134" t="n"/>
      <c r="GP64" s="133" t="n"/>
      <c r="GQ64" s="134" t="n"/>
      <c r="GR64" s="133" t="n"/>
      <c r="GS64" s="134" t="n"/>
      <c r="GT64" s="133" t="n"/>
      <c r="GU64" s="134" t="n"/>
      <c r="GV64" s="133" t="n"/>
      <c r="GW64" s="134" t="n"/>
      <c r="GX64" s="133" t="n"/>
      <c r="GY64" s="134" t="n"/>
      <c r="GZ64" s="133" t="n"/>
      <c r="HA64" s="134" t="n"/>
      <c r="HB64" s="194" t="n"/>
      <c r="HC64">
        <f>SUMIFS($G64:$HA64,$G$36:$HA$36,"درجة",$H64:$HB64,"&gt;0")</f>
        <v>0</v>
      </c>
      <c r="HD64">
        <f>SUMIFS($H64:$HB64,$G$36:$HA$36,"درجة",$G64:$HA64,"&gt;=0")</f>
        <v>0</v>
      </c>
    </row>
    <row r="65" ht="22.5" customHeight="1">
      <c r="A65" s="36" t="n">
        <v>29</v>
      </c>
      <c r="B65" s="181" t="str">
        <f>IF($B32="","",$B32)</f>
        <v/>
      </c>
      <c r="C65" s="136" t="str">
        <f>IF(OR($B65="",$HD65=0),"",ROUND($HC65,2)&amp;" / "&amp;$HD65)</f>
        <v/>
      </c>
      <c r="D65" s="182" t="str">
        <f>IF(OR($B65="",$HD65=0),"",$HC65/$HD65)</f>
        <v/>
      </c>
      <c r="E65" s="136" t="n"/>
      <c r="F65" s="99" t="str">
        <f>IF($D65="","",IF($D65&gt;=0.85,"ممتاز",IF($D65&gt;=0.75,"جيد جداً",IF($D65&gt;=0.65,"جيد",IF($D65&gt;=0.5,"مقبول","ضعيف")))))</f>
        <v/>
      </c>
      <c r="G65" s="100" t="n"/>
      <c r="H65" s="101" t="n"/>
      <c r="I65" s="100" t="n"/>
      <c r="J65" s="101" t="n"/>
      <c r="K65" s="100" t="n"/>
      <c r="L65" s="101" t="n"/>
      <c r="M65" s="100" t="n"/>
      <c r="N65" s="101" t="n"/>
      <c r="O65" s="100" t="n"/>
      <c r="P65" s="101" t="n"/>
      <c r="Q65" s="100" t="n"/>
      <c r="R65" s="101" t="n"/>
      <c r="S65" s="100" t="n"/>
      <c r="T65" s="101" t="n"/>
      <c r="U65" s="100" t="n"/>
      <c r="V65" s="101" t="n"/>
      <c r="W65" s="183" t="n"/>
      <c r="X65" s="103" t="n"/>
      <c r="Y65" s="104" t="n"/>
      <c r="Z65" s="103" t="n"/>
      <c r="AA65" s="104" t="n"/>
      <c r="AB65" s="103" t="n"/>
      <c r="AC65" s="104" t="n"/>
      <c r="AD65" s="103" t="n"/>
      <c r="AE65" s="104" t="n"/>
      <c r="AF65" s="103" t="n"/>
      <c r="AG65" s="104" t="n"/>
      <c r="AH65" s="103" t="n"/>
      <c r="AI65" s="104" t="n"/>
      <c r="AJ65" s="103" t="n"/>
      <c r="AK65" s="104" t="n"/>
      <c r="AL65" s="103" t="n"/>
      <c r="AM65" s="104" t="n"/>
      <c r="AN65" s="184" t="n"/>
      <c r="AO65" s="106" t="n"/>
      <c r="AP65" s="107" t="n"/>
      <c r="AQ65" s="106" t="n"/>
      <c r="AR65" s="107" t="n"/>
      <c r="AS65" s="106" t="n"/>
      <c r="AT65" s="107" t="n"/>
      <c r="AU65" s="106" t="n"/>
      <c r="AV65" s="107" t="n"/>
      <c r="AW65" s="106" t="n"/>
      <c r="AX65" s="107" t="n"/>
      <c r="AY65" s="106" t="n"/>
      <c r="AZ65" s="107" t="n"/>
      <c r="BA65" s="106" t="n"/>
      <c r="BB65" s="107" t="n"/>
      <c r="BC65" s="106" t="n"/>
      <c r="BD65" s="107" t="n"/>
      <c r="BE65" s="185" t="n"/>
      <c r="BF65" s="109" t="n"/>
      <c r="BG65" s="110" t="n"/>
      <c r="BH65" s="109" t="n"/>
      <c r="BI65" s="110" t="n"/>
      <c r="BJ65" s="109" t="n"/>
      <c r="BK65" s="110" t="n"/>
      <c r="BL65" s="109" t="n"/>
      <c r="BM65" s="110" t="n"/>
      <c r="BN65" s="109" t="n"/>
      <c r="BO65" s="110" t="n"/>
      <c r="BP65" s="109" t="n"/>
      <c r="BQ65" s="110" t="n"/>
      <c r="BR65" s="109" t="n"/>
      <c r="BS65" s="110" t="n"/>
      <c r="BT65" s="109" t="n"/>
      <c r="BU65" s="110" t="n"/>
      <c r="BV65" s="186" t="n"/>
      <c r="BW65" s="112" t="n"/>
      <c r="BX65" s="113" t="n"/>
      <c r="BY65" s="112" t="n"/>
      <c r="BZ65" s="113" t="n"/>
      <c r="CA65" s="112" t="n"/>
      <c r="CB65" s="113" t="n"/>
      <c r="CC65" s="112" t="n"/>
      <c r="CD65" s="113" t="n"/>
      <c r="CE65" s="112" t="n"/>
      <c r="CF65" s="113" t="n"/>
      <c r="CG65" s="112" t="n"/>
      <c r="CH65" s="113" t="n"/>
      <c r="CI65" s="112" t="n"/>
      <c r="CJ65" s="113" t="n"/>
      <c r="CK65" s="112" t="n"/>
      <c r="CL65" s="113" t="n"/>
      <c r="CM65" s="187" t="n"/>
      <c r="CN65" s="115" t="n"/>
      <c r="CO65" s="116" t="n"/>
      <c r="CP65" s="115" t="n"/>
      <c r="CQ65" s="116" t="n"/>
      <c r="CR65" s="115" t="n"/>
      <c r="CS65" s="116" t="n"/>
      <c r="CT65" s="115" t="n"/>
      <c r="CU65" s="116" t="n"/>
      <c r="CV65" s="115" t="n"/>
      <c r="CW65" s="116" t="n"/>
      <c r="CX65" s="115" t="n"/>
      <c r="CY65" s="116" t="n"/>
      <c r="CZ65" s="115" t="n"/>
      <c r="DA65" s="116" t="n"/>
      <c r="DB65" s="115" t="n"/>
      <c r="DC65" s="116" t="n"/>
      <c r="DD65" s="188" t="n"/>
      <c r="DE65" s="118" t="n"/>
      <c r="DF65" s="119" t="n"/>
      <c r="DG65" s="118" t="n"/>
      <c r="DH65" s="119" t="n"/>
      <c r="DI65" s="118" t="n"/>
      <c r="DJ65" s="119" t="n"/>
      <c r="DK65" s="118" t="n"/>
      <c r="DL65" s="119" t="n"/>
      <c r="DM65" s="118" t="n"/>
      <c r="DN65" s="119" t="n"/>
      <c r="DO65" s="118" t="n"/>
      <c r="DP65" s="119" t="n"/>
      <c r="DQ65" s="118" t="n"/>
      <c r="DR65" s="119" t="n"/>
      <c r="DS65" s="118" t="n"/>
      <c r="DT65" s="119" t="n"/>
      <c r="DU65" s="189" t="n"/>
      <c r="DV65" s="121" t="n"/>
      <c r="DW65" s="122" t="n"/>
      <c r="DX65" s="121" t="n"/>
      <c r="DY65" s="122" t="n"/>
      <c r="DZ65" s="121" t="n"/>
      <c r="EA65" s="122" t="n"/>
      <c r="EB65" s="121" t="n"/>
      <c r="EC65" s="122" t="n"/>
      <c r="ED65" s="121" t="n"/>
      <c r="EE65" s="122" t="n"/>
      <c r="EF65" s="121" t="n"/>
      <c r="EG65" s="122" t="n"/>
      <c r="EH65" s="121" t="n"/>
      <c r="EI65" s="122" t="n"/>
      <c r="EJ65" s="121" t="n"/>
      <c r="EK65" s="122" t="n"/>
      <c r="EL65" s="190" t="n"/>
      <c r="EM65" s="124" t="n"/>
      <c r="EN65" s="125" t="n"/>
      <c r="EO65" s="124" t="n"/>
      <c r="EP65" s="125" t="n"/>
      <c r="EQ65" s="124" t="n"/>
      <c r="ER65" s="125" t="n"/>
      <c r="ES65" s="124" t="n"/>
      <c r="ET65" s="125" t="n"/>
      <c r="EU65" s="124" t="n"/>
      <c r="EV65" s="125" t="n"/>
      <c r="EW65" s="124" t="n"/>
      <c r="EX65" s="125" t="n"/>
      <c r="EY65" s="124" t="n"/>
      <c r="EZ65" s="125" t="n"/>
      <c r="FA65" s="124" t="n"/>
      <c r="FB65" s="125" t="n"/>
      <c r="FC65" s="191" t="n"/>
      <c r="FD65" s="127" t="n"/>
      <c r="FE65" s="128" t="n"/>
      <c r="FF65" s="127" t="n"/>
      <c r="FG65" s="128" t="n"/>
      <c r="FH65" s="127" t="n"/>
      <c r="FI65" s="128" t="n"/>
      <c r="FJ65" s="127" t="n"/>
      <c r="FK65" s="128" t="n"/>
      <c r="FL65" s="127" t="n"/>
      <c r="FM65" s="128" t="n"/>
      <c r="FN65" s="127" t="n"/>
      <c r="FO65" s="128" t="n"/>
      <c r="FP65" s="127" t="n"/>
      <c r="FQ65" s="128" t="n"/>
      <c r="FR65" s="127" t="n"/>
      <c r="FS65" s="128" t="n"/>
      <c r="FT65" s="192" t="n"/>
      <c r="FU65" s="130" t="n"/>
      <c r="FV65" s="131" t="n"/>
      <c r="FW65" s="130" t="n"/>
      <c r="FX65" s="131" t="n"/>
      <c r="FY65" s="130" t="n"/>
      <c r="FZ65" s="131" t="n"/>
      <c r="GA65" s="130" t="n"/>
      <c r="GB65" s="131" t="n"/>
      <c r="GC65" s="130" t="n"/>
      <c r="GD65" s="131" t="n"/>
      <c r="GE65" s="130" t="n"/>
      <c r="GF65" s="131" t="n"/>
      <c r="GG65" s="130" t="n"/>
      <c r="GH65" s="131" t="n"/>
      <c r="GI65" s="130" t="n"/>
      <c r="GJ65" s="131" t="n"/>
      <c r="GK65" s="193" t="n"/>
      <c r="GL65" s="133" t="n"/>
      <c r="GM65" s="134" t="n"/>
      <c r="GN65" s="133" t="n"/>
      <c r="GO65" s="134" t="n"/>
      <c r="GP65" s="133" t="n"/>
      <c r="GQ65" s="134" t="n"/>
      <c r="GR65" s="133" t="n"/>
      <c r="GS65" s="134" t="n"/>
      <c r="GT65" s="133" t="n"/>
      <c r="GU65" s="134" t="n"/>
      <c r="GV65" s="133" t="n"/>
      <c r="GW65" s="134" t="n"/>
      <c r="GX65" s="133" t="n"/>
      <c r="GY65" s="134" t="n"/>
      <c r="GZ65" s="133" t="n"/>
      <c r="HA65" s="134" t="n"/>
      <c r="HB65" s="194" t="n"/>
      <c r="HC65">
        <f>SUMIFS($G65:$HA65,$G$36:$HA$36,"درجة",$H65:$HB65,"&gt;0")</f>
        <v>0</v>
      </c>
      <c r="HD65">
        <f>SUMIFS($H65:$HB65,$G$36:$HA$36,"درجة",$G65:$HA65,"&gt;=0")</f>
        <v>0</v>
      </c>
    </row>
    <row r="66" ht="22.5" customHeight="1">
      <c r="A66" s="36" t="n">
        <v>30</v>
      </c>
      <c r="B66" s="181" t="str">
        <f>IF($B33="","",$B33)</f>
        <v/>
      </c>
      <c r="C66" s="136" t="str">
        <f>IF(OR($B66="",$HD66=0),"",ROUND($HC66,2)&amp;" / "&amp;$HD66)</f>
        <v/>
      </c>
      <c r="D66" s="182" t="str">
        <f>IF(OR($B66="",$HD66=0),"",$HC66/$HD66)</f>
        <v/>
      </c>
      <c r="E66" s="136" t="n"/>
      <c r="F66" s="99" t="str">
        <f>IF($D66="","",IF($D66&gt;=0.85,"ممتاز",IF($D66&gt;=0.75,"جيد جداً",IF($D66&gt;=0.65,"جيد",IF($D66&gt;=0.5,"مقبول","ضعيف")))))</f>
        <v/>
      </c>
      <c r="G66" s="100" t="n"/>
      <c r="H66" s="101" t="n"/>
      <c r="I66" s="100" t="n"/>
      <c r="J66" s="101" t="n"/>
      <c r="K66" s="100" t="n"/>
      <c r="L66" s="101" t="n"/>
      <c r="M66" s="100" t="n"/>
      <c r="N66" s="101" t="n"/>
      <c r="O66" s="100" t="n"/>
      <c r="P66" s="101" t="n"/>
      <c r="Q66" s="100" t="n"/>
      <c r="R66" s="101" t="n"/>
      <c r="S66" s="100" t="n"/>
      <c r="T66" s="101" t="n"/>
      <c r="U66" s="100" t="n"/>
      <c r="V66" s="101" t="n"/>
      <c r="W66" s="183" t="n"/>
      <c r="X66" s="103" t="n"/>
      <c r="Y66" s="104" t="n"/>
      <c r="Z66" s="103" t="n"/>
      <c r="AA66" s="104" t="n"/>
      <c r="AB66" s="103" t="n"/>
      <c r="AC66" s="104" t="n"/>
      <c r="AD66" s="103" t="n"/>
      <c r="AE66" s="104" t="n"/>
      <c r="AF66" s="103" t="n"/>
      <c r="AG66" s="104" t="n"/>
      <c r="AH66" s="103" t="n"/>
      <c r="AI66" s="104" t="n"/>
      <c r="AJ66" s="103" t="n"/>
      <c r="AK66" s="104" t="n"/>
      <c r="AL66" s="103" t="n"/>
      <c r="AM66" s="104" t="n"/>
      <c r="AN66" s="184" t="n"/>
      <c r="AO66" s="106" t="n"/>
      <c r="AP66" s="107" t="n"/>
      <c r="AQ66" s="106" t="n"/>
      <c r="AR66" s="107" t="n"/>
      <c r="AS66" s="106" t="n"/>
      <c r="AT66" s="107" t="n"/>
      <c r="AU66" s="106" t="n"/>
      <c r="AV66" s="107" t="n"/>
      <c r="AW66" s="106" t="n"/>
      <c r="AX66" s="107" t="n"/>
      <c r="AY66" s="106" t="n"/>
      <c r="AZ66" s="107" t="n"/>
      <c r="BA66" s="106" t="n"/>
      <c r="BB66" s="107" t="n"/>
      <c r="BC66" s="106" t="n"/>
      <c r="BD66" s="107" t="n"/>
      <c r="BE66" s="185" t="n"/>
      <c r="BF66" s="109" t="n"/>
      <c r="BG66" s="110" t="n"/>
      <c r="BH66" s="109" t="n"/>
      <c r="BI66" s="110" t="n"/>
      <c r="BJ66" s="109" t="n"/>
      <c r="BK66" s="110" t="n"/>
      <c r="BL66" s="109" t="n"/>
      <c r="BM66" s="110" t="n"/>
      <c r="BN66" s="109" t="n"/>
      <c r="BO66" s="110" t="n"/>
      <c r="BP66" s="109" t="n"/>
      <c r="BQ66" s="110" t="n"/>
      <c r="BR66" s="109" t="n"/>
      <c r="BS66" s="110" t="n"/>
      <c r="BT66" s="109" t="n"/>
      <c r="BU66" s="110" t="n"/>
      <c r="BV66" s="186" t="n"/>
      <c r="BW66" s="112" t="n"/>
      <c r="BX66" s="113" t="n"/>
      <c r="BY66" s="112" t="n"/>
      <c r="BZ66" s="113" t="n"/>
      <c r="CA66" s="112" t="n"/>
      <c r="CB66" s="113" t="n"/>
      <c r="CC66" s="112" t="n"/>
      <c r="CD66" s="113" t="n"/>
      <c r="CE66" s="112" t="n"/>
      <c r="CF66" s="113" t="n"/>
      <c r="CG66" s="112" t="n"/>
      <c r="CH66" s="113" t="n"/>
      <c r="CI66" s="112" t="n"/>
      <c r="CJ66" s="113" t="n"/>
      <c r="CK66" s="112" t="n"/>
      <c r="CL66" s="113" t="n"/>
      <c r="CM66" s="187" t="n"/>
      <c r="CN66" s="115" t="n"/>
      <c r="CO66" s="116" t="n"/>
      <c r="CP66" s="115" t="n"/>
      <c r="CQ66" s="116" t="n"/>
      <c r="CR66" s="115" t="n"/>
      <c r="CS66" s="116" t="n"/>
      <c r="CT66" s="115" t="n"/>
      <c r="CU66" s="116" t="n"/>
      <c r="CV66" s="115" t="n"/>
      <c r="CW66" s="116" t="n"/>
      <c r="CX66" s="115" t="n"/>
      <c r="CY66" s="116" t="n"/>
      <c r="CZ66" s="115" t="n"/>
      <c r="DA66" s="116" t="n"/>
      <c r="DB66" s="115" t="n"/>
      <c r="DC66" s="116" t="n"/>
      <c r="DD66" s="188" t="n"/>
      <c r="DE66" s="118" t="n"/>
      <c r="DF66" s="119" t="n"/>
      <c r="DG66" s="118" t="n"/>
      <c r="DH66" s="119" t="n"/>
      <c r="DI66" s="118" t="n"/>
      <c r="DJ66" s="119" t="n"/>
      <c r="DK66" s="118" t="n"/>
      <c r="DL66" s="119" t="n"/>
      <c r="DM66" s="118" t="n"/>
      <c r="DN66" s="119" t="n"/>
      <c r="DO66" s="118" t="n"/>
      <c r="DP66" s="119" t="n"/>
      <c r="DQ66" s="118" t="n"/>
      <c r="DR66" s="119" t="n"/>
      <c r="DS66" s="118" t="n"/>
      <c r="DT66" s="119" t="n"/>
      <c r="DU66" s="189" t="n"/>
      <c r="DV66" s="121" t="n"/>
      <c r="DW66" s="122" t="n"/>
      <c r="DX66" s="121" t="n"/>
      <c r="DY66" s="122" t="n"/>
      <c r="DZ66" s="121" t="n"/>
      <c r="EA66" s="122" t="n"/>
      <c r="EB66" s="121" t="n"/>
      <c r="EC66" s="122" t="n"/>
      <c r="ED66" s="121" t="n"/>
      <c r="EE66" s="122" t="n"/>
      <c r="EF66" s="121" t="n"/>
      <c r="EG66" s="122" t="n"/>
      <c r="EH66" s="121" t="n"/>
      <c r="EI66" s="122" t="n"/>
      <c r="EJ66" s="121" t="n"/>
      <c r="EK66" s="122" t="n"/>
      <c r="EL66" s="190" t="n"/>
      <c r="EM66" s="124" t="n"/>
      <c r="EN66" s="125" t="n"/>
      <c r="EO66" s="124" t="n"/>
      <c r="EP66" s="125" t="n"/>
      <c r="EQ66" s="124" t="n"/>
      <c r="ER66" s="125" t="n"/>
      <c r="ES66" s="124" t="n"/>
      <c r="ET66" s="125" t="n"/>
      <c r="EU66" s="124" t="n"/>
      <c r="EV66" s="125" t="n"/>
      <c r="EW66" s="124" t="n"/>
      <c r="EX66" s="125" t="n"/>
      <c r="EY66" s="124" t="n"/>
      <c r="EZ66" s="125" t="n"/>
      <c r="FA66" s="124" t="n"/>
      <c r="FB66" s="125" t="n"/>
      <c r="FC66" s="191" t="n"/>
      <c r="FD66" s="127" t="n"/>
      <c r="FE66" s="128" t="n"/>
      <c r="FF66" s="127" t="n"/>
      <c r="FG66" s="128" t="n"/>
      <c r="FH66" s="127" t="n"/>
      <c r="FI66" s="128" t="n"/>
      <c r="FJ66" s="127" t="n"/>
      <c r="FK66" s="128" t="n"/>
      <c r="FL66" s="127" t="n"/>
      <c r="FM66" s="128" t="n"/>
      <c r="FN66" s="127" t="n"/>
      <c r="FO66" s="128" t="n"/>
      <c r="FP66" s="127" t="n"/>
      <c r="FQ66" s="128" t="n"/>
      <c r="FR66" s="127" t="n"/>
      <c r="FS66" s="128" t="n"/>
      <c r="FT66" s="192" t="n"/>
      <c r="FU66" s="130" t="n"/>
      <c r="FV66" s="131" t="n"/>
      <c r="FW66" s="130" t="n"/>
      <c r="FX66" s="131" t="n"/>
      <c r="FY66" s="130" t="n"/>
      <c r="FZ66" s="131" t="n"/>
      <c r="GA66" s="130" t="n"/>
      <c r="GB66" s="131" t="n"/>
      <c r="GC66" s="130" t="n"/>
      <c r="GD66" s="131" t="n"/>
      <c r="GE66" s="130" t="n"/>
      <c r="GF66" s="131" t="n"/>
      <c r="GG66" s="130" t="n"/>
      <c r="GH66" s="131" t="n"/>
      <c r="GI66" s="130" t="n"/>
      <c r="GJ66" s="131" t="n"/>
      <c r="GK66" s="193" t="n"/>
      <c r="GL66" s="133" t="n"/>
      <c r="GM66" s="134" t="n"/>
      <c r="GN66" s="133" t="n"/>
      <c r="GO66" s="134" t="n"/>
      <c r="GP66" s="133" t="n"/>
      <c r="GQ66" s="134" t="n"/>
      <c r="GR66" s="133" t="n"/>
      <c r="GS66" s="134" t="n"/>
      <c r="GT66" s="133" t="n"/>
      <c r="GU66" s="134" t="n"/>
      <c r="GV66" s="133" t="n"/>
      <c r="GW66" s="134" t="n"/>
      <c r="GX66" s="133" t="n"/>
      <c r="GY66" s="134" t="n"/>
      <c r="GZ66" s="133" t="n"/>
      <c r="HA66" s="134" t="n"/>
      <c r="HB66" s="194" t="n"/>
      <c r="HC66">
        <f>SUMIFS($G66:$HA66,$G$36:$HA$36,"درجة",$H66:$HB66,"&gt;0")</f>
        <v>0</v>
      </c>
      <c r="HD66">
        <f>SUMIFS($H66:$HB66,$G$36:$HA$36,"درجة",$G66:$HA66,"&gt;=0")</f>
        <v>0</v>
      </c>
    </row>
  </sheetData>
  <mergeCells count="209">
    <mergeCell ref="DO35:DP35"/>
    <mergeCell ref="BW1:CM1"/>
    <mergeCell ref="DE1:DU1"/>
    <mergeCell ref="DQ35:DR35"/>
    <mergeCell ref="EY35:EZ35"/>
    <mergeCell ref="X2:Y2"/>
    <mergeCell ref="FY2:FZ2"/>
    <mergeCell ref="AJ2:AK2"/>
    <mergeCell ref="BR2:BS2"/>
    <mergeCell ref="GE35:GF35"/>
    <mergeCell ref="AL2:AM2"/>
    <mergeCell ref="FU1:GK1"/>
    <mergeCell ref="GG35:GH35"/>
    <mergeCell ref="CN2:CO2"/>
    <mergeCell ref="DV2:DW2"/>
    <mergeCell ref="K35:L35"/>
    <mergeCell ref="AH35:AI35"/>
    <mergeCell ref="M35:N35"/>
    <mergeCell ref="FA35:FB35"/>
    <mergeCell ref="BH2:BI2"/>
    <mergeCell ref="BJ2:BK2"/>
    <mergeCell ref="CR2:CS2"/>
    <mergeCell ref="O35:P35"/>
    <mergeCell ref="CP35:CQ35"/>
    <mergeCell ref="Q35:R35"/>
    <mergeCell ref="FD2:FE2"/>
    <mergeCell ref="FF2:FG2"/>
    <mergeCell ref="DB35:DC35"/>
    <mergeCell ref="EJ35:EK35"/>
    <mergeCell ref="AQ2:AR2"/>
    <mergeCell ref="FR2:FS2"/>
    <mergeCell ref="K2:L2"/>
    <mergeCell ref="AS2:AT2"/>
    <mergeCell ref="AW35:AX35"/>
    <mergeCell ref="AY35:AZ35"/>
    <mergeCell ref="FD35:FE35"/>
    <mergeCell ref="GN35:GO35"/>
    <mergeCell ref="GX35:GY35"/>
    <mergeCell ref="GZ35:HA35"/>
    <mergeCell ref="DG2:DH2"/>
    <mergeCell ref="ED2:EE2"/>
    <mergeCell ref="AQ35:AR35"/>
    <mergeCell ref="DI2:DJ2"/>
    <mergeCell ref="CK35:CL35"/>
    <mergeCell ref="A35:B35"/>
    <mergeCell ref="O2:P2"/>
    <mergeCell ref="S35:T35"/>
    <mergeCell ref="FJ35:FK35"/>
    <mergeCell ref="Q2:R2"/>
    <mergeCell ref="BC35:BD35"/>
    <mergeCell ref="FL35:FM35"/>
    <mergeCell ref="GR2:GS2"/>
    <mergeCell ref="DV35:DW35"/>
    <mergeCell ref="AU2:AV2"/>
    <mergeCell ref="CC2:CD2"/>
    <mergeCell ref="CE2:CF2"/>
    <mergeCell ref="DK35:DL35"/>
    <mergeCell ref="ES2:ET2"/>
    <mergeCell ref="GA2:GB2"/>
    <mergeCell ref="BF35:BG35"/>
    <mergeCell ref="EU2:EV2"/>
    <mergeCell ref="BR35:BS35"/>
    <mergeCell ref="GL1:HB1"/>
    <mergeCell ref="DO2:DP2"/>
    <mergeCell ref="EW2:EX2"/>
    <mergeCell ref="AB35:AC35"/>
    <mergeCell ref="DQ2:DR2"/>
    <mergeCell ref="EY2:EZ2"/>
    <mergeCell ref="AD35:AE35"/>
    <mergeCell ref="CA35:CB35"/>
    <mergeCell ref="EW35:EX35"/>
    <mergeCell ref="GC2:GD2"/>
    <mergeCell ref="EO35:EP35"/>
    <mergeCell ref="EQ35:ER35"/>
    <mergeCell ref="CR35:CS35"/>
    <mergeCell ref="BP2:BQ2"/>
    <mergeCell ref="CX2:CY2"/>
    <mergeCell ref="CZ2:DA2"/>
    <mergeCell ref="FL2:FM2"/>
    <mergeCell ref="DM35:DN35"/>
    <mergeCell ref="FN2:FO2"/>
    <mergeCell ref="FP2:FQ2"/>
    <mergeCell ref="BT2:BU2"/>
    <mergeCell ref="FY35:FZ35"/>
    <mergeCell ref="AF2:AG2"/>
    <mergeCell ref="GA35:GB35"/>
    <mergeCell ref="DX2:DY2"/>
    <mergeCell ref="GC35:GD35"/>
    <mergeCell ref="DZ2:EA2"/>
    <mergeCell ref="BL35:BM35"/>
    <mergeCell ref="EJ2:EK2"/>
    <mergeCell ref="CV35:CW35"/>
    <mergeCell ref="G35:H35"/>
    <mergeCell ref="GL2:GM2"/>
    <mergeCell ref="I35:J35"/>
    <mergeCell ref="GN2:GO2"/>
    <mergeCell ref="EM1:FC1"/>
    <mergeCell ref="GX2:GY2"/>
    <mergeCell ref="EB35:EC35"/>
    <mergeCell ref="GZ2:HA2"/>
    <mergeCell ref="ED35:EE35"/>
    <mergeCell ref="X1:AN1"/>
    <mergeCell ref="BW35:BX35"/>
    <mergeCell ref="BT35:BU35"/>
    <mergeCell ref="GP35:GQ35"/>
    <mergeCell ref="CX35:CY35"/>
    <mergeCell ref="BF1:BV1"/>
    <mergeCell ref="CN1:DD1"/>
    <mergeCell ref="CZ35:DA35"/>
    <mergeCell ref="EF35:EG35"/>
    <mergeCell ref="EH35:EI35"/>
    <mergeCell ref="G2:H2"/>
    <mergeCell ref="AO2:AP2"/>
    <mergeCell ref="AS35:AT35"/>
    <mergeCell ref="I2:J2"/>
    <mergeCell ref="GT35:GU35"/>
    <mergeCell ref="BA2:BB2"/>
    <mergeCell ref="GV35:GW35"/>
    <mergeCell ref="BC2:BD2"/>
    <mergeCell ref="A1:B1"/>
    <mergeCell ref="FD1:FT1"/>
    <mergeCell ref="DE2:DF2"/>
    <mergeCell ref="CG35:CH35"/>
    <mergeCell ref="CI35:CJ35"/>
    <mergeCell ref="M2:N2"/>
    <mergeCell ref="FR35:FS35"/>
    <mergeCell ref="BY2:BZ2"/>
    <mergeCell ref="CA2:CB2"/>
    <mergeCell ref="CK2:CL2"/>
    <mergeCell ref="GT2:GU2"/>
    <mergeCell ref="DG35:DH35"/>
    <mergeCell ref="EM2:EN2"/>
    <mergeCell ref="GE2:GF2"/>
    <mergeCell ref="DI35:DJ35"/>
    <mergeCell ref="EO2:EP2"/>
    <mergeCell ref="FW2:FX2"/>
    <mergeCell ref="EQ2:ER2"/>
    <mergeCell ref="DS35:DT35"/>
    <mergeCell ref="Z2:AA2"/>
    <mergeCell ref="FU35:FV35"/>
    <mergeCell ref="AB2:AC2"/>
    <mergeCell ref="BN35:BO35"/>
    <mergeCell ref="FW35:FX35"/>
    <mergeCell ref="AD2:AE2"/>
    <mergeCell ref="BP35:BQ35"/>
    <mergeCell ref="GI35:GJ35"/>
    <mergeCell ref="CP2:CQ2"/>
    <mergeCell ref="AO1:BE1"/>
    <mergeCell ref="AJ35:AK35"/>
    <mergeCell ref="AH2:AI2"/>
    <mergeCell ref="AL35:AM35"/>
    <mergeCell ref="EM35:EN35"/>
    <mergeCell ref="BL2:BM2"/>
    <mergeCell ref="CT2:CU2"/>
    <mergeCell ref="BN2:BO2"/>
    <mergeCell ref="CV2:CW2"/>
    <mergeCell ref="BF2:BG2"/>
    <mergeCell ref="U35:V35"/>
    <mergeCell ref="FH2:FI2"/>
    <mergeCell ref="EB2:EC2"/>
    <mergeCell ref="FJ2:FK2"/>
    <mergeCell ref="CN35:CO35"/>
    <mergeCell ref="AW2:AX2"/>
    <mergeCell ref="C1:F2"/>
    <mergeCell ref="BH35:BI35"/>
    <mergeCell ref="EF2:EG2"/>
    <mergeCell ref="BJ35:BK35"/>
    <mergeCell ref="EH2:EI2"/>
    <mergeCell ref="AU35:AV35"/>
    <mergeCell ref="S2:T2"/>
    <mergeCell ref="FN35:FO35"/>
    <mergeCell ref="U2:V2"/>
    <mergeCell ref="DX35:DY35"/>
    <mergeCell ref="FF35:FG35"/>
    <mergeCell ref="FP35:FQ35"/>
    <mergeCell ref="GV2:GW2"/>
    <mergeCell ref="BW2:BX2"/>
    <mergeCell ref="DZ35:EA35"/>
    <mergeCell ref="FH35:FI35"/>
    <mergeCell ref="CG2:CH2"/>
    <mergeCell ref="CI2:CJ2"/>
    <mergeCell ref="GL35:GM35"/>
    <mergeCell ref="CT35:CU35"/>
    <mergeCell ref="BY35:BZ35"/>
    <mergeCell ref="A2:B2"/>
    <mergeCell ref="AO35:AP35"/>
    <mergeCell ref="C35:F35"/>
    <mergeCell ref="GR35:GS35"/>
    <mergeCell ref="AY2:AZ2"/>
    <mergeCell ref="CC35:CD35"/>
    <mergeCell ref="DS2:DT2"/>
    <mergeCell ref="FA2:FB2"/>
    <mergeCell ref="AF35:AG35"/>
    <mergeCell ref="DK2:DL2"/>
    <mergeCell ref="X35:Y35"/>
    <mergeCell ref="CE35:CF35"/>
    <mergeCell ref="DM2:DN2"/>
    <mergeCell ref="FU2:FV2"/>
    <mergeCell ref="Z35:AA35"/>
    <mergeCell ref="DV1:EL1"/>
    <mergeCell ref="GG2:GH2"/>
    <mergeCell ref="ES35:ET35"/>
    <mergeCell ref="GI2:GJ2"/>
    <mergeCell ref="EU35:EV35"/>
    <mergeCell ref="G1:W1"/>
    <mergeCell ref="BA35:BB35"/>
    <mergeCell ref="DB2:DC2"/>
    <mergeCell ref="GP2:GQ2"/>
    <mergeCell ref="DE35:DF35"/>
  </mergeCells>
  <conditionalFormatting sqref="G37:HB66">
    <cfRule type="expression" priority="1" dxfId="2">
      <formula>AND(G$36="من",ISNUMBER(F37),NOT(ISNUMBER(G37)))</formula>
    </cfRule>
    <cfRule type="expression" priority="16" dxfId="1">
      <formula>AND(G$36="درجة",ISNUMBER(G37),ISNUMBER(H37),G37&gt;H37)</formula>
    </cfRule>
  </conditionalFormatting>
  <conditionalFormatting sqref="W4:W33">
    <cfRule type="expression" priority="2" dxfId="2">
      <formula>AND($B4&lt;&gt;"",N($W4)=0,SUMPRODUCT(--$G4:$V4)&gt;0)</formula>
    </cfRule>
  </conditionalFormatting>
  <conditionalFormatting sqref="AN4:AN33">
    <cfRule type="expression" priority="3" dxfId="2">
      <formula>AND($B4&lt;&gt;"",N($AN4)=0,SUMPRODUCT(--$X4:$AM4)&gt;0)</formula>
    </cfRule>
  </conditionalFormatting>
  <conditionalFormatting sqref="BE4:BE33">
    <cfRule type="expression" priority="4" dxfId="2">
      <formula>AND($B4&lt;&gt;"",N($BE4)=0,SUMPRODUCT(--$AO4:$BD4)&gt;0)</formula>
    </cfRule>
  </conditionalFormatting>
  <conditionalFormatting sqref="BV4:BV33">
    <cfRule type="expression" priority="5" dxfId="2">
      <formula>AND($B4&lt;&gt;"",N($BV4)=0,SUMPRODUCT(--$BF4:$BU4)&gt;0)</formula>
    </cfRule>
  </conditionalFormatting>
  <conditionalFormatting sqref="CM4:CM33">
    <cfRule type="expression" priority="6" dxfId="2">
      <formula>AND($B4&lt;&gt;"",N($CM4)=0,SUMPRODUCT(--$BW4:$CL4)&gt;0)</formula>
    </cfRule>
  </conditionalFormatting>
  <conditionalFormatting sqref="DD4:DD33">
    <cfRule type="expression" priority="7" dxfId="2">
      <formula>AND($B4&lt;&gt;"",N($DD4)=0,SUMPRODUCT(--$CN4:$DC4)&gt;0)</formula>
    </cfRule>
  </conditionalFormatting>
  <conditionalFormatting sqref="DU4:DU33">
    <cfRule type="expression" priority="8" dxfId="2">
      <formula>AND($B4&lt;&gt;"",N($DU4)=0,SUMPRODUCT(--$DE4:$DT4)&gt;0)</formula>
    </cfRule>
  </conditionalFormatting>
  <conditionalFormatting sqref="EL4:EL33">
    <cfRule type="expression" priority="9" dxfId="2">
      <formula>AND($B4&lt;&gt;"",N($EL4)=0,SUMPRODUCT(--$DV4:$EK4)&gt;0)</formula>
    </cfRule>
  </conditionalFormatting>
  <conditionalFormatting sqref="FC4:FC33">
    <cfRule type="expression" priority="10" dxfId="2">
      <formula>AND($B4&lt;&gt;"",N($FC4)=0,SUMPRODUCT(--$EM4:$FB4)&gt;0)</formula>
    </cfRule>
  </conditionalFormatting>
  <conditionalFormatting sqref="FT4:FT33">
    <cfRule type="expression" priority="11" dxfId="2">
      <formula>AND($B4&lt;&gt;"",N($FT4)=0,SUMPRODUCT(--$FD4:$FS4)&gt;0)</formula>
    </cfRule>
  </conditionalFormatting>
  <conditionalFormatting sqref="GK4:GK33">
    <cfRule type="expression" priority="12" dxfId="2">
      <formula>AND($B4&lt;&gt;"",N($GK4)=0,SUMPRODUCT(--$FU4:$GJ4)&gt;0)</formula>
    </cfRule>
  </conditionalFormatting>
  <conditionalFormatting sqref="HB4:HB33">
    <cfRule type="expression" priority="13" dxfId="2">
      <formula>AND($B4&lt;&gt;"",N($HB4)=0,SUMPRODUCT(--$GL4:$HA4)&gt;0)</formula>
    </cfRule>
  </conditionalFormatting>
  <conditionalFormatting sqref="F4:F33">
    <cfRule type="expression" priority="14" dxfId="2">
      <formula>OR(F4="تجديد",LEFT(F4,4)="عليه")</formula>
    </cfRule>
    <cfRule type="expression" priority="15" dxfId="0">
      <formula>F4="آخر حصة"</formula>
    </cfRule>
  </conditionalFormatting>
  <dataValidations count="1">
    <dataValidation sqref="G37:V66 X37:AM66 AO37:BD66 BF37:BU66 BW37:CL66 CN37:DC66 DE37:DT66 DV37:EK66 EM37:FB66 FD37:FS66 FU37:GJ66 GL37:HA66" showDropDown="0" showInputMessage="0" showErrorMessage="1" allowBlank="1" errorTitle="الدرجة" error="اكتبي رقم بس، بالشكل ده: 8 أو 8.5" type="decimal" operator="between">
      <formula1>0</formula1>
      <formula2>1000</formula2>
    </dataValidation>
  </dataValidations>
  <pageMargins left="0.75" right="0.75" top="1" bottom="1" header="0.5" footer="0.5"/>
</worksheet>
</file>

<file path=xl/worksheets/sheet13.xml><?xml version="1.0" encoding="utf-8"?>
<worksheet xmlns="http://schemas.openxmlformats.org/spreadsheetml/2006/main">
  <sheetPr>
    <tabColor rgb="00E8E8E4"/>
    <outlinePr summaryBelow="1" summaryRight="1"/>
    <pageSetUpPr/>
  </sheetPr>
  <dimension ref="B1:B50"/>
  <sheetViews>
    <sheetView showGridLines="0" rightToLeft="1" workbookViewId="0">
      <selection activeCell="A1" sqref="A1"/>
    </sheetView>
  </sheetViews>
  <sheetFormatPr baseColWidth="8" defaultRowHeight="15"/>
  <cols>
    <col width="1" customWidth="1" min="1" max="1"/>
    <col width="79.29000000000001" customWidth="1" min="2" max="2"/>
    <col width="1" customWidth="1" min="3" max="3"/>
  </cols>
  <sheetData>
    <row r="1" ht="33" customHeight="1">
      <c r="B1" s="195" t="inlineStr">
        <is>
          <t>طريقة الاستخدام</t>
        </is>
      </c>
    </row>
    <row r="2" ht="22.5" customHeight="1">
      <c r="B2" s="196" t="inlineStr">
        <is>
          <t>القاعدة الأساسية</t>
        </is>
      </c>
    </row>
    <row r="3" ht="16.5" customHeight="1">
      <c r="B3" s="197" t="inlineStr">
        <is>
          <t>• الخانات البيضا والملوّنة بلون الشهر: دي اللي بتكتبي أو بتعلّمي فيها.</t>
        </is>
      </c>
    </row>
    <row r="4" ht="16.5" customHeight="1">
      <c r="B4" s="197" t="inlineStr">
        <is>
          <t>• الخانات الرمادي: بتتحسب لوحدها. ما تكتبيش فيها عشان المعادلات ما تتمسحش.</t>
        </is>
      </c>
    </row>
    <row r="5" ht="30" customHeight="1">
      <c r="B5" s="197" t="inlineStr">
        <is>
          <t>• مثال للبيانات: الاسم «أحمد محمد علي» · ولي الأمر «01001234567». الصف ده مكتوب في مجموعة 1 وفي صفحة المواعيد كمثال، امسحيه واكتبي مكانه.</t>
        </is>
      </c>
    </row>
    <row r="6" ht="22.5" customHeight="1">
      <c r="B6" s="198" t="inlineStr">
        <is>
          <t>في كل حصة (صفحة المجموعة)</t>
        </is>
      </c>
    </row>
    <row r="7" ht="30" customHeight="1">
      <c r="B7" s="197" t="inlineStr">
        <is>
          <t>1. اكتبي اسم المجموعة في أول خانة فوق على اليمين (مرة واحدة)، والأسماء وأرقام أولياء الأمور.</t>
        </is>
      </c>
    </row>
    <row r="8" ht="16.5" customHeight="1">
      <c r="B8" s="197" t="inlineStr">
        <is>
          <t>2. روحي لعمود الحصة الجديدة واكتبي تاريخها فوق، مثال: 5/10</t>
        </is>
      </c>
    </row>
    <row r="9" ht="30" customHeight="1">
      <c r="B9" s="197" t="inlineStr">
        <is>
          <t>3. علّمي تحت «ح» للي حضر، وتحت «و» للي عمل الواجب. اللي حضر زمايله وهو مش متعلّم بيتلوّن أحمر = غايب.</t>
        </is>
      </c>
    </row>
    <row r="10" ht="30" customHeight="1">
      <c r="B10" s="197" t="inlineStr">
        <is>
          <t>4. لو الغياب بعذر: انزلي لجزء الدرجات واكتبي السبب في خانة «ملاحظات» بتاعة الشهر.</t>
        </is>
      </c>
    </row>
    <row r="11" ht="30" customHeight="1">
      <c r="B11" s="197" t="inlineStr">
        <is>
          <t>5. تحت قايمة الأسماء: اكتبي «الحصة الجاية هنعمل إيه». ميعادها بيظهر لوحده من صفحة المواعيد.</t>
        </is>
      </c>
    </row>
    <row r="12" ht="22.5" customHeight="1">
      <c r="B12" s="199" t="inlineStr">
        <is>
          <t>المصاريف</t>
        </is>
      </c>
    </row>
    <row r="13" ht="16.5" customHeight="1">
      <c r="B13" s="197" t="inlineStr">
        <is>
          <t>• كل 8 حصص (شهر) ليهم لون وآخر عمود فيهم «دفع». علّمي عليه لما الطالب يدفع.</t>
        </is>
      </c>
    </row>
    <row r="14" ht="30" customHeight="1">
      <c r="B14" s="197" t="inlineStr">
        <is>
          <t>• اللي حضر في الشهر ولسه ما دفعش خانته بتبقى برتقالي، واسمه بيظهر في الرئيسية.</t>
        </is>
      </c>
    </row>
    <row r="15" ht="16.5" customHeight="1">
      <c r="B15" s="197" t="inlineStr">
        <is>
          <t>• الحصة الإضافية بتتسجل في العمود اللي عليه الدور عادي، وبتتحسب من الـ 8.</t>
        </is>
      </c>
    </row>
    <row r="16" ht="22.5" customHeight="1">
      <c r="B16" s="200" t="inlineStr">
        <is>
          <t>الدرجات</t>
        </is>
      </c>
    </row>
    <row r="17" ht="16.5" customHeight="1">
      <c r="B17" s="197" t="inlineStr">
        <is>
          <t>• تحت في نفس صفحة المجموعة. لكل حصة خانتين: «كويز» و«امتحان».</t>
        </is>
      </c>
    </row>
    <row r="18" ht="16.5" customHeight="1">
      <c r="B18" s="197" t="inlineStr">
        <is>
          <t>• اكتبي الدرجة النهائية في صف «الدرجة النهائية» الأول، وبعدها درجة كل طالب.</t>
        </is>
      </c>
    </row>
    <row r="19" ht="16.5" customHeight="1">
      <c r="B19" s="197" t="inlineStr">
        <is>
          <t>• لو امتحان: اختاري نوعه (وحدة / شهر) من الخانة اللي فوقه.</t>
        </is>
      </c>
    </row>
    <row r="20" ht="30" customHeight="1">
      <c r="B20" s="197" t="inlineStr">
        <is>
          <t>• المجموع والنسبة والترتيب والتقدير بيتحسبوا لوحدهم. من خانة «النسبة والترتيب على» اختاري «الكل» أو شهر معيّن.</t>
        </is>
      </c>
    </row>
    <row r="21" ht="22.5" customHeight="1">
      <c r="B21" s="196" t="inlineStr">
        <is>
          <t>الأونلاين والبرايفت</t>
        </is>
      </c>
    </row>
    <row r="22" ht="30" customHeight="1">
      <c r="B22" s="197" t="inlineStr">
        <is>
          <t>• كل طالب بيتحسب لوحده: مع كل حصة علّمي المربع اللي عليه الدور في صفّه، وعلّمي «دفع» لما يدفع الـ 8 حصص.</t>
        </is>
      </c>
    </row>
    <row r="23" ht="30" customHeight="1">
      <c r="B23" s="197" t="inlineStr">
        <is>
          <t>• عمود «الحصة» بيقول هو في الحصة الكام من الـ 8، و«الحالة»: تمام / آخر حصة / تجديد / عليه حصص.</t>
        </is>
      </c>
    </row>
    <row r="24" ht="22.5" customHeight="1">
      <c r="B24" s="201" t="inlineStr">
        <is>
          <t>المواعيد والرئيسية</t>
        </is>
      </c>
    </row>
    <row r="25" ht="30" customHeight="1">
      <c r="B25" s="197" t="inlineStr">
        <is>
          <t>• في صفحة المواعيد: صف لكل ميعاد ثابت (اليوم، الساعة، المجموعة أو اسم الطالب).</t>
        </is>
      </c>
    </row>
    <row r="26" ht="30" customHeight="1">
      <c r="B26" s="197" t="inlineStr">
        <is>
          <t>• الرئيسية بتعرض: حصص النهارده، الحصة الجاية لكل مجموعة، اللي غاب كتير، واللي عليه مصاريف.</t>
        </is>
      </c>
    </row>
    <row r="27" ht="22.5" customHeight="1">
      <c r="B27" s="202" t="inlineStr">
        <is>
          <t>خلّي بالك</t>
        </is>
      </c>
    </row>
    <row r="28" ht="16.5" customHeight="1">
      <c r="B28" s="197" t="inlineStr">
        <is>
          <t>• ما تعمليش ترتيب (Sort) ولا تضيفي أو تمسحي صفوف وأعمدة في صفحات المجموعات.</t>
        </is>
      </c>
    </row>
    <row r="29" ht="30" customHeight="1">
      <c r="B29" s="197" t="inlineStr">
        <is>
          <t>• لو طالب مشي سيبي صفه زي ما هو، واكتبي الطالب الجديد في صف فاضي. الصف القديم علاماته بتفضل فيه.</t>
        </is>
      </c>
    </row>
    <row r="30" ht="30" customHeight="1">
      <c r="B30" s="197" t="inlineStr">
        <is>
          <t>• اسم كل مجموعة لازم يكون مختلف. ولو غيّرتي اسم مجموعة، غيّريه كمان في صفحة المواعيد.</t>
        </is>
      </c>
    </row>
    <row r="31" ht="16.5" customHeight="1">
      <c r="B31" s="197" t="inlineStr">
        <is>
          <t>• خانة «ميعاد مختلف» بتفضل ظاهرة في الرئيسية لحد ما تمسحيها.</t>
        </is>
      </c>
    </row>
    <row r="32" ht="30" customHeight="1">
      <c r="B32" s="197" t="inlineStr">
        <is>
          <t>• «حصص النهارده» بتيجي من صفحة المواعيد بس. الحصة المتأجلة أو الإضافية بتظهر في جدول «الحصة الجاية».</t>
        </is>
      </c>
    </row>
    <row r="33" ht="30" customHeight="1">
      <c r="B33" s="197" t="inlineStr">
        <is>
          <t>• الأرقام تتكتب 123 مش ١٢٣. والدرجة رقم بس من غير «/»، والدرجة النهائية تتكتب في صفّها فوق.</t>
        </is>
      </c>
    </row>
    <row r="34" ht="30" customHeight="1">
      <c r="B34" s="197" t="inlineStr">
        <is>
          <t>• الدرجة اللي من غير درجة نهائية ما بتتحسبش، وخانة النهائية بتاعتها بتبقى برتقالي.</t>
        </is>
      </c>
    </row>
    <row r="35" ht="30" customHeight="1">
      <c r="B35" s="197" t="inlineStr">
        <is>
          <t>• لو خانة رمادي اتمسحت بالغلط: تراجع (Undo) على طول، أو من الكمبيوتر File &gt; Version history.</t>
        </is>
      </c>
    </row>
    <row r="36" ht="22.5" customHeight="1">
      <c r="B36" s="203" t="inlineStr">
        <is>
          <t>إزاي النظام بيحسب (افتراضات)</t>
        </is>
      </c>
    </row>
    <row r="37" ht="30" customHeight="1">
      <c r="B37" s="197" t="inlineStr">
        <is>
          <t>• السعة: 8 مجموعات × 15 طالب × 12 شهر (96 حصة). الأونلاين 30 طالب والبرايفت 30 طالب.</t>
        </is>
      </c>
    </row>
    <row r="38" ht="30" customHeight="1">
      <c r="B38" s="197" t="inlineStr">
        <is>
          <t>• «غياب» = عدد مرات الغياب في آخر 8 حصص اتسجلت للمجموعة، من أول حصة الطالب حضرها.</t>
        </is>
      </c>
    </row>
    <row r="39" ht="16.5" customHeight="1">
      <c r="B39" s="197" t="inlineStr">
        <is>
          <t>• الحصة بتتحسب «اتسجلت» لما طالب واحد على الأقل يتعلّم له حضور فيها.</t>
        </is>
      </c>
    </row>
    <row r="40" ht="30" customHeight="1">
      <c r="B40" s="197" t="inlineStr">
        <is>
          <t>• الطالب اللي ما حضرش ولا حصة من آخر 8 بيتكتب قدامه «متوقف» وما بيظهرش في التنبيهات.</t>
        </is>
      </c>
    </row>
    <row r="41" ht="30" customHeight="1">
      <c r="B41" s="197" t="inlineStr">
        <is>
          <t>• تنبيه الغياب من مرتين (الرقم ده بيتغيّر من الرئيسية). تلوين الواجب الناقص: من مرتين.</t>
        </is>
      </c>
    </row>
    <row r="42" ht="30" customHeight="1">
      <c r="B42" s="197" t="inlineStr">
        <is>
          <t>• المصاريف: الطالب «عليه» شهر لو اتعلّم له أي حضور أو واجب فيه وخانة «دفع» فاضية.</t>
        </is>
      </c>
    </row>
    <row r="43" ht="30" customHeight="1">
      <c r="B43" s="197" t="inlineStr">
        <is>
          <t>• النسبة = مجموع درجات الطالب ÷ مجموع الدرجات النهائية للخانات اللي ليه فيها درجة. الخانة الفاضية ما بتتحسبش؛ لو عايزاها صفر اكتبي 0.</t>
        </is>
      </c>
    </row>
    <row r="44" ht="30" customHeight="1">
      <c r="B44" s="197" t="inlineStr">
        <is>
          <t>• التقدير: ممتاز 85% فأكتر · جيد جداً 75% · جيد 65% · مقبول 50% · أقل من كده ضعيف.</t>
        </is>
      </c>
    </row>
    <row r="45" ht="22.5" customHeight="1">
      <c r="B45" s="204" t="inlineStr">
        <is>
          <t>تجهيز أول مرة (مرة واحدة، من متصفح على كمبيوتر)</t>
        </is>
      </c>
    </row>
    <row r="46" ht="30" customHeight="1">
      <c r="B46" s="197" t="inlineStr">
        <is>
          <t>1. ارفع الملف على Google Drive وافتحه، وبعدين من القائمة: File &gt; Save as Google Sheets</t>
        </is>
      </c>
    </row>
    <row r="47" ht="30" customHeight="1">
      <c r="B47" s="197" t="inlineStr">
        <is>
          <t>2. مربعات الصح: في كل صفحة مجموعة اكتب G5:HB19 في خانة الاسم (Name box) واضغط Enter، وبعدين Insert &gt; Checkbox. في «أونلاين» و«برايفت» النطاق G4:HB33</t>
        </is>
      </c>
    </row>
    <row r="48" ht="30" customHeight="1">
      <c r="B48" s="197" t="inlineStr">
        <is>
          <t>3. من File &gt; Settings خلّي Locale على Egypt و Time zone على Cairo، عشان التاريخ 5/10 يتقري 5 أكتوبر و«النهارده» تبقى مظبوطة.</t>
        </is>
      </c>
    </row>
    <row r="49" ht="30" customHeight="1">
      <c r="B49" s="197" t="inlineStr">
        <is>
          <t>4. الصفحات اللي مش محتاجاها (مجموعات زيادة): اعملها Hide من سهم الصفحة، وما تمسحهاش عشان الرئيسية بتقرأ منها.</t>
        </is>
      </c>
    </row>
    <row r="50" ht="30" customHeight="1">
      <c r="B50" s="197" t="inlineStr">
        <is>
          <t>5. قبل ما تكتبوا أي بيانات: File &gt; Make a copy واحتفظ بنسخة فاضية جاهزة للسنة الجاية.</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G181"/>
  <sheetViews>
    <sheetView rightToLeft="1" workbookViewId="0">
      <selection activeCell="A1" sqref="A1"/>
    </sheetView>
  </sheetViews>
  <sheetFormatPr baseColWidth="8" defaultRowHeight="15"/>
  <sheetData>
    <row r="1">
      <c r="A1" t="inlineStr">
        <is>
          <t>اليوم</t>
        </is>
      </c>
      <c r="B1" t="inlineStr">
        <is>
          <t>WEEKDAY</t>
        </is>
      </c>
      <c r="D1" t="inlineStr">
        <is>
          <t>الساعة</t>
        </is>
      </c>
      <c r="F1" t="inlineStr">
        <is>
          <t>عرض الدرجات</t>
        </is>
      </c>
      <c r="H1" t="inlineStr">
        <is>
          <t>#</t>
        </is>
      </c>
      <c r="I1" t="inlineStr">
        <is>
          <t>الصفحة</t>
        </is>
      </c>
      <c r="J1" t="inlineStr">
        <is>
          <t>الاسم</t>
        </is>
      </c>
      <c r="K1" t="inlineStr">
        <is>
          <t>طلاب</t>
        </is>
      </c>
      <c r="L1" t="inlineStr">
        <is>
          <t>آخر حصة</t>
        </is>
      </c>
      <c r="M1" t="inlineStr">
        <is>
          <t>الشهر</t>
        </is>
      </c>
      <c r="N1" t="inlineStr">
        <is>
          <t>حصة</t>
        </is>
      </c>
      <c r="O1" t="inlineStr">
        <is>
          <t>التقدم</t>
        </is>
      </c>
      <c r="P1" t="inlineStr">
        <is>
          <t>الحصة الجاية</t>
        </is>
      </c>
      <c r="Q1" t="inlineStr">
        <is>
          <t>ميعاد يدوي</t>
        </is>
      </c>
      <c r="R1" t="inlineStr">
        <is>
          <t>ميعاد الجدول</t>
        </is>
      </c>
      <c r="S1" t="inlineStr">
        <is>
          <t>الميعاد</t>
        </is>
      </c>
      <c r="T1" t="inlineStr">
        <is>
          <t>نشطة</t>
        </is>
      </c>
      <c r="U1" t="inlineStr">
        <is>
          <t>تراكمي</t>
        </is>
      </c>
      <c r="W1" t="inlineStr">
        <is>
          <t>#</t>
        </is>
      </c>
      <c r="X1" t="inlineStr">
        <is>
          <t>المجموعة</t>
        </is>
      </c>
      <c r="Y1" t="inlineStr">
        <is>
          <t>الاسم</t>
        </is>
      </c>
      <c r="Z1" t="inlineStr">
        <is>
          <t>ولي الأمر</t>
        </is>
      </c>
      <c r="AA1" t="inlineStr">
        <is>
          <t>غياب</t>
        </is>
      </c>
      <c r="AB1" t="inlineStr">
        <is>
          <t>تنبيه غياب</t>
        </is>
      </c>
      <c r="AC1" t="inlineStr">
        <is>
          <t>تراكمي</t>
        </is>
      </c>
      <c r="AD1" t="inlineStr">
        <is>
          <t>المصاريف</t>
        </is>
      </c>
      <c r="AE1" t="inlineStr">
        <is>
          <t>تنبيه مصاريف</t>
        </is>
      </c>
      <c r="AF1" t="inlineStr">
        <is>
          <t>تراكمي</t>
        </is>
      </c>
      <c r="AG1" t="inlineStr">
        <is>
          <t>طالب</t>
        </is>
      </c>
    </row>
    <row r="2">
      <c r="A2" t="inlineStr">
        <is>
          <t>السبت</t>
        </is>
      </c>
      <c r="B2" t="n">
        <v>7</v>
      </c>
      <c r="D2" t="inlineStr">
        <is>
          <t>7:00 ص</t>
        </is>
      </c>
      <c r="F2" t="inlineStr">
        <is>
          <t>الكل</t>
        </is>
      </c>
      <c r="H2" t="n">
        <v>1</v>
      </c>
      <c r="I2" t="inlineStr">
        <is>
          <t>مجموعة 1</t>
        </is>
      </c>
      <c r="J2" t="str">
        <f>IF('مجموعة 1'!$A$1="","مجموعة 1",'مجموعة 1'!$A$1)</f>
        <v>مجموعة 1</v>
      </c>
      <c r="K2">
        <f>'مجموعة 1'!$HE$1</f>
        <v>1</v>
      </c>
      <c r="L2">
        <f>'مجموعة 1'!$HC$1</f>
        <v>0</v>
      </c>
      <c r="M2">
        <f>'مجموعة 1'!$HC$2</f>
        <v>1</v>
      </c>
      <c r="N2">
        <f>'مجموعة 1'!$HC$3</f>
        <v>0</v>
      </c>
      <c r="O2" t="str">
        <f>'مجموعة 1'!$A$2</f>
        <v>لسه ما بدأتش</v>
      </c>
      <c r="P2" t="str">
        <f>IF('مجموعة 1'!$A$23="","",'مجموعة 1'!$A$23)</f>
        <v/>
      </c>
      <c r="Q2" t="str">
        <f>IF('مجموعة 1'!$A$25="","",'مجموعة 1'!$A$25)</f>
        <v/>
      </c>
      <c r="R2" t="str">
        <f>'مجموعة 1'!$HF$4</f>
        <v>بكرة 3/10 – 5:00 م</v>
      </c>
      <c r="S2" t="str">
        <f>IF($Q2&lt;&gt;"",$Q2,$R2)</f>
        <v>بكرة 3/10 – 5:00 م</v>
      </c>
      <c r="T2">
        <f>IF(OR($K2&gt;0,$P2&lt;&gt;""),1,0)</f>
        <v>1</v>
      </c>
      <c r="U2">
        <f>$T2</f>
        <v>1</v>
      </c>
      <c r="W2" t="n">
        <v>1</v>
      </c>
      <c r="X2" t="str">
        <f>$J$2</f>
        <v>مجموعة 1</v>
      </c>
      <c r="Y2" t="str">
        <f>IF('مجموعة 1'!$B5="","",'مجموعة 1'!$B5)</f>
        <v>مثال: أحمد محمد علي</v>
      </c>
      <c r="Z2" t="str">
        <f>IF('مجموعة 1'!$C5="","",'مجموعة 1'!$C5)</f>
        <v>01001234567</v>
      </c>
      <c r="AA2" t="str">
        <f>IF($Y2="","",'مجموعة 1'!$D5)</f>
        <v>-</v>
      </c>
      <c r="AB2">
        <f>IF(AND($Y2&lt;&gt;"",ISNUMBER($AA2),$AA2&gt;='الرئيسية'!$H$27),1,0)</f>
        <v>0</v>
      </c>
      <c r="AC2">
        <f>$AB2</f>
        <v>0</v>
      </c>
      <c r="AD2" t="str">
        <f>IF(OR($Y2="",'مجموعة 1'!$F5="تمام",'مجموعة 1'!$F5="-"),"",'مجموعة 1'!$F5)</f>
        <v/>
      </c>
      <c r="AE2">
        <f>IF($AD2&lt;&gt;"",1,0)</f>
        <v>0</v>
      </c>
      <c r="AF2">
        <f>$AE2</f>
        <v>0</v>
      </c>
      <c r="AG2">
        <f>IF($Y2&lt;&gt;"",1,0)</f>
        <v>1</v>
      </c>
    </row>
    <row r="3">
      <c r="A3" t="inlineStr">
        <is>
          <t>الأحد</t>
        </is>
      </c>
      <c r="B3" t="n">
        <v>1</v>
      </c>
      <c r="D3" t="inlineStr">
        <is>
          <t>7:30 ص</t>
        </is>
      </c>
      <c r="F3" t="inlineStr">
        <is>
          <t>شهر 1</t>
        </is>
      </c>
      <c r="H3" t="n">
        <v>2</v>
      </c>
      <c r="I3" t="inlineStr">
        <is>
          <t>مجموعة 2</t>
        </is>
      </c>
      <c r="J3" t="str">
        <f>IF('مجموعة 2'!$A$1="","مجموعة 2",'مجموعة 2'!$A$1)</f>
        <v>مجموعة 2</v>
      </c>
      <c r="K3">
        <f>'مجموعة 2'!$HE$1</f>
        <v>0</v>
      </c>
      <c r="L3">
        <f>'مجموعة 2'!$HC$1</f>
        <v>0</v>
      </c>
      <c r="M3">
        <f>'مجموعة 2'!$HC$2</f>
        <v>1</v>
      </c>
      <c r="N3">
        <f>'مجموعة 2'!$HC$3</f>
        <v>0</v>
      </c>
      <c r="O3" t="str">
        <f>'مجموعة 2'!$A$2</f>
        <v>لسه ما بدأتش</v>
      </c>
      <c r="P3" t="str">
        <f>IF('مجموعة 2'!$A$23="","",'مجموعة 2'!$A$23)</f>
        <v/>
      </c>
      <c r="Q3" t="str">
        <f>IF('مجموعة 2'!$A$25="","",'مجموعة 2'!$A$25)</f>
        <v/>
      </c>
      <c r="R3" t="str">
        <f>'مجموعة 2'!$HF$4</f>
        <v/>
      </c>
      <c r="S3" t="str">
        <f>IF($Q3&lt;&gt;"",$Q3,$R3)</f>
        <v/>
      </c>
      <c r="T3">
        <f>IF(OR($K3&gt;0,$P3&lt;&gt;""),1,0)</f>
        <v>0</v>
      </c>
      <c r="U3">
        <f>$U2+$T3</f>
        <v>1</v>
      </c>
      <c r="W3" t="n">
        <v>2</v>
      </c>
      <c r="X3" t="str">
        <f>$J$2</f>
        <v>مجموعة 1</v>
      </c>
      <c r="Y3" t="str">
        <f>IF('مجموعة 1'!$B6="","",'مجموعة 1'!$B6)</f>
        <v/>
      </c>
      <c r="Z3" t="str">
        <f>IF('مجموعة 1'!$C6="","",'مجموعة 1'!$C6)</f>
        <v/>
      </c>
      <c r="AA3" t="str">
        <f>IF($Y3="","",'مجموعة 1'!$D6)</f>
        <v/>
      </c>
      <c r="AB3">
        <f>IF(AND($Y3&lt;&gt;"",ISNUMBER($AA3),$AA3&gt;='الرئيسية'!$H$27),1,0)</f>
        <v>0</v>
      </c>
      <c r="AC3">
        <f>$AC2+$AB3</f>
        <v>0</v>
      </c>
      <c r="AD3" t="str">
        <f>IF(OR($Y3="",'مجموعة 1'!$F6="تمام",'مجموعة 1'!$F6="-"),"",'مجموعة 1'!$F6)</f>
        <v/>
      </c>
      <c r="AE3">
        <f>IF($AD3&lt;&gt;"",1,0)</f>
        <v>0</v>
      </c>
      <c r="AF3">
        <f>$AF2+$AE3</f>
        <v>0</v>
      </c>
      <c r="AG3">
        <f>IF($Y3&lt;&gt;"",1,0)</f>
        <v>0</v>
      </c>
    </row>
    <row r="4">
      <c r="A4" t="inlineStr">
        <is>
          <t>الاثنين</t>
        </is>
      </c>
      <c r="B4" t="n">
        <v>2</v>
      </c>
      <c r="D4" t="inlineStr">
        <is>
          <t>8:00 ص</t>
        </is>
      </c>
      <c r="F4" t="inlineStr">
        <is>
          <t>شهر 2</t>
        </is>
      </c>
      <c r="H4" t="n">
        <v>3</v>
      </c>
      <c r="I4" t="inlineStr">
        <is>
          <t>مجموعة 3</t>
        </is>
      </c>
      <c r="J4" t="str">
        <f>IF('مجموعة 3'!$A$1="","مجموعة 3",'مجموعة 3'!$A$1)</f>
        <v>مجموعة 3</v>
      </c>
      <c r="K4">
        <f>'مجموعة 3'!$HE$1</f>
        <v>0</v>
      </c>
      <c r="L4">
        <f>'مجموعة 3'!$HC$1</f>
        <v>0</v>
      </c>
      <c r="M4">
        <f>'مجموعة 3'!$HC$2</f>
        <v>1</v>
      </c>
      <c r="N4">
        <f>'مجموعة 3'!$HC$3</f>
        <v>0</v>
      </c>
      <c r="O4" t="str">
        <f>'مجموعة 3'!$A$2</f>
        <v>لسه ما بدأتش</v>
      </c>
      <c r="P4" t="str">
        <f>IF('مجموعة 3'!$A$23="","",'مجموعة 3'!$A$23)</f>
        <v/>
      </c>
      <c r="Q4" t="str">
        <f>IF('مجموعة 3'!$A$25="","",'مجموعة 3'!$A$25)</f>
        <v/>
      </c>
      <c r="R4" t="str">
        <f>'مجموعة 3'!$HF$4</f>
        <v/>
      </c>
      <c r="S4" t="str">
        <f>IF($Q4&lt;&gt;"",$Q4,$R4)</f>
        <v/>
      </c>
      <c r="T4">
        <f>IF(OR($K4&gt;0,$P4&lt;&gt;""),1,0)</f>
        <v>0</v>
      </c>
      <c r="U4">
        <f>$U3+$T4</f>
        <v>1</v>
      </c>
      <c r="W4" t="n">
        <v>3</v>
      </c>
      <c r="X4" t="str">
        <f>$J$2</f>
        <v>مجموعة 1</v>
      </c>
      <c r="Y4" t="str">
        <f>IF('مجموعة 1'!$B7="","",'مجموعة 1'!$B7)</f>
        <v/>
      </c>
      <c r="Z4" t="str">
        <f>IF('مجموعة 1'!$C7="","",'مجموعة 1'!$C7)</f>
        <v/>
      </c>
      <c r="AA4" t="str">
        <f>IF($Y4="","",'مجموعة 1'!$D7)</f>
        <v/>
      </c>
      <c r="AB4">
        <f>IF(AND($Y4&lt;&gt;"",ISNUMBER($AA4),$AA4&gt;='الرئيسية'!$H$27),1,0)</f>
        <v>0</v>
      </c>
      <c r="AC4">
        <f>$AC3+$AB4</f>
        <v>0</v>
      </c>
      <c r="AD4" t="str">
        <f>IF(OR($Y4="",'مجموعة 1'!$F7="تمام",'مجموعة 1'!$F7="-"),"",'مجموعة 1'!$F7)</f>
        <v/>
      </c>
      <c r="AE4">
        <f>IF($AD4&lt;&gt;"",1,0)</f>
        <v>0</v>
      </c>
      <c r="AF4">
        <f>$AF3+$AE4</f>
        <v>0</v>
      </c>
      <c r="AG4">
        <f>IF($Y4&lt;&gt;"",1,0)</f>
        <v>0</v>
      </c>
    </row>
    <row r="5">
      <c r="A5" t="inlineStr">
        <is>
          <t>الثلاثاء</t>
        </is>
      </c>
      <c r="B5" t="n">
        <v>3</v>
      </c>
      <c r="D5" t="inlineStr">
        <is>
          <t>8:30 ص</t>
        </is>
      </c>
      <c r="F5" t="inlineStr">
        <is>
          <t>شهر 3</t>
        </is>
      </c>
      <c r="H5" t="n">
        <v>4</v>
      </c>
      <c r="I5" t="inlineStr">
        <is>
          <t>مجموعة 4</t>
        </is>
      </c>
      <c r="J5" t="str">
        <f>IF('مجموعة 4'!$A$1="","مجموعة 4",'مجموعة 4'!$A$1)</f>
        <v>مجموعة 4</v>
      </c>
      <c r="K5">
        <f>'مجموعة 4'!$HE$1</f>
        <v>0</v>
      </c>
      <c r="L5">
        <f>'مجموعة 4'!$HC$1</f>
        <v>0</v>
      </c>
      <c r="M5">
        <f>'مجموعة 4'!$HC$2</f>
        <v>1</v>
      </c>
      <c r="N5">
        <f>'مجموعة 4'!$HC$3</f>
        <v>0</v>
      </c>
      <c r="O5" t="str">
        <f>'مجموعة 4'!$A$2</f>
        <v>لسه ما بدأتش</v>
      </c>
      <c r="P5" t="str">
        <f>IF('مجموعة 4'!$A$23="","",'مجموعة 4'!$A$23)</f>
        <v/>
      </c>
      <c r="Q5" t="str">
        <f>IF('مجموعة 4'!$A$25="","",'مجموعة 4'!$A$25)</f>
        <v/>
      </c>
      <c r="R5" t="str">
        <f>'مجموعة 4'!$HF$4</f>
        <v/>
      </c>
      <c r="S5" t="str">
        <f>IF($Q5&lt;&gt;"",$Q5,$R5)</f>
        <v/>
      </c>
      <c r="T5">
        <f>IF(OR($K5&gt;0,$P5&lt;&gt;""),1,0)</f>
        <v>0</v>
      </c>
      <c r="U5">
        <f>$U4+$T5</f>
        <v>1</v>
      </c>
      <c r="W5" t="n">
        <v>4</v>
      </c>
      <c r="X5" t="str">
        <f>$J$2</f>
        <v>مجموعة 1</v>
      </c>
      <c r="Y5" t="str">
        <f>IF('مجموعة 1'!$B8="","",'مجموعة 1'!$B8)</f>
        <v/>
      </c>
      <c r="Z5" t="str">
        <f>IF('مجموعة 1'!$C8="","",'مجموعة 1'!$C8)</f>
        <v/>
      </c>
      <c r="AA5" t="str">
        <f>IF($Y5="","",'مجموعة 1'!$D8)</f>
        <v/>
      </c>
      <c r="AB5">
        <f>IF(AND($Y5&lt;&gt;"",ISNUMBER($AA5),$AA5&gt;='الرئيسية'!$H$27),1,0)</f>
        <v>0</v>
      </c>
      <c r="AC5">
        <f>$AC4+$AB5</f>
        <v>0</v>
      </c>
      <c r="AD5" t="str">
        <f>IF(OR($Y5="",'مجموعة 1'!$F8="تمام",'مجموعة 1'!$F8="-"),"",'مجموعة 1'!$F8)</f>
        <v/>
      </c>
      <c r="AE5">
        <f>IF($AD5&lt;&gt;"",1,0)</f>
        <v>0</v>
      </c>
      <c r="AF5">
        <f>$AF4+$AE5</f>
        <v>0</v>
      </c>
      <c r="AG5">
        <f>IF($Y5&lt;&gt;"",1,0)</f>
        <v>0</v>
      </c>
    </row>
    <row r="6">
      <c r="A6" t="inlineStr">
        <is>
          <t>الأربعاء</t>
        </is>
      </c>
      <c r="B6" t="n">
        <v>4</v>
      </c>
      <c r="D6" t="inlineStr">
        <is>
          <t>9:00 ص</t>
        </is>
      </c>
      <c r="F6" t="inlineStr">
        <is>
          <t>شهر 4</t>
        </is>
      </c>
      <c r="H6" t="n">
        <v>5</v>
      </c>
      <c r="I6" t="inlineStr">
        <is>
          <t>مجموعة 5</t>
        </is>
      </c>
      <c r="J6" t="str">
        <f>IF('مجموعة 5'!$A$1="","مجموعة 5",'مجموعة 5'!$A$1)</f>
        <v>مجموعة 5</v>
      </c>
      <c r="K6">
        <f>'مجموعة 5'!$HE$1</f>
        <v>0</v>
      </c>
      <c r="L6">
        <f>'مجموعة 5'!$HC$1</f>
        <v>0</v>
      </c>
      <c r="M6">
        <f>'مجموعة 5'!$HC$2</f>
        <v>1</v>
      </c>
      <c r="N6">
        <f>'مجموعة 5'!$HC$3</f>
        <v>0</v>
      </c>
      <c r="O6" t="str">
        <f>'مجموعة 5'!$A$2</f>
        <v>لسه ما بدأتش</v>
      </c>
      <c r="P6" t="str">
        <f>IF('مجموعة 5'!$A$23="","",'مجموعة 5'!$A$23)</f>
        <v/>
      </c>
      <c r="Q6" t="str">
        <f>IF('مجموعة 5'!$A$25="","",'مجموعة 5'!$A$25)</f>
        <v/>
      </c>
      <c r="R6" t="str">
        <f>'مجموعة 5'!$HF$4</f>
        <v/>
      </c>
      <c r="S6" t="str">
        <f>IF($Q6&lt;&gt;"",$Q6,$R6)</f>
        <v/>
      </c>
      <c r="T6">
        <f>IF(OR($K6&gt;0,$P6&lt;&gt;""),1,0)</f>
        <v>0</v>
      </c>
      <c r="U6">
        <f>$U5+$T6</f>
        <v>1</v>
      </c>
      <c r="W6" t="n">
        <v>5</v>
      </c>
      <c r="X6" t="str">
        <f>$J$2</f>
        <v>مجموعة 1</v>
      </c>
      <c r="Y6" t="str">
        <f>IF('مجموعة 1'!$B9="","",'مجموعة 1'!$B9)</f>
        <v/>
      </c>
      <c r="Z6" t="str">
        <f>IF('مجموعة 1'!$C9="","",'مجموعة 1'!$C9)</f>
        <v/>
      </c>
      <c r="AA6" t="str">
        <f>IF($Y6="","",'مجموعة 1'!$D9)</f>
        <v/>
      </c>
      <c r="AB6">
        <f>IF(AND($Y6&lt;&gt;"",ISNUMBER($AA6),$AA6&gt;='الرئيسية'!$H$27),1,0)</f>
        <v>0</v>
      </c>
      <c r="AC6">
        <f>$AC5+$AB6</f>
        <v>0</v>
      </c>
      <c r="AD6" t="str">
        <f>IF(OR($Y6="",'مجموعة 1'!$F9="تمام",'مجموعة 1'!$F9="-"),"",'مجموعة 1'!$F9)</f>
        <v/>
      </c>
      <c r="AE6">
        <f>IF($AD6&lt;&gt;"",1,0)</f>
        <v>0</v>
      </c>
      <c r="AF6">
        <f>$AF5+$AE6</f>
        <v>0</v>
      </c>
      <c r="AG6">
        <f>IF($Y6&lt;&gt;"",1,0)</f>
        <v>0</v>
      </c>
    </row>
    <row r="7">
      <c r="A7" t="inlineStr">
        <is>
          <t>الخميس</t>
        </is>
      </c>
      <c r="B7" t="n">
        <v>5</v>
      </c>
      <c r="D7" t="inlineStr">
        <is>
          <t>9:30 ص</t>
        </is>
      </c>
      <c r="F7" t="inlineStr">
        <is>
          <t>شهر 5</t>
        </is>
      </c>
      <c r="H7" t="n">
        <v>6</v>
      </c>
      <c r="I7" t="inlineStr">
        <is>
          <t>مجموعة 6</t>
        </is>
      </c>
      <c r="J7" t="str">
        <f>IF('مجموعة 6'!$A$1="","مجموعة 6",'مجموعة 6'!$A$1)</f>
        <v>مجموعة 6</v>
      </c>
      <c r="K7">
        <f>'مجموعة 6'!$HE$1</f>
        <v>0</v>
      </c>
      <c r="L7">
        <f>'مجموعة 6'!$HC$1</f>
        <v>0</v>
      </c>
      <c r="M7">
        <f>'مجموعة 6'!$HC$2</f>
        <v>1</v>
      </c>
      <c r="N7">
        <f>'مجموعة 6'!$HC$3</f>
        <v>0</v>
      </c>
      <c r="O7" t="str">
        <f>'مجموعة 6'!$A$2</f>
        <v>لسه ما بدأتش</v>
      </c>
      <c r="P7" t="str">
        <f>IF('مجموعة 6'!$A$23="","",'مجموعة 6'!$A$23)</f>
        <v/>
      </c>
      <c r="Q7" t="str">
        <f>IF('مجموعة 6'!$A$25="","",'مجموعة 6'!$A$25)</f>
        <v/>
      </c>
      <c r="R7" t="str">
        <f>'مجموعة 6'!$HF$4</f>
        <v/>
      </c>
      <c r="S7" t="str">
        <f>IF($Q7&lt;&gt;"",$Q7,$R7)</f>
        <v/>
      </c>
      <c r="T7">
        <f>IF(OR($K7&gt;0,$P7&lt;&gt;""),1,0)</f>
        <v>0</v>
      </c>
      <c r="U7">
        <f>$U6+$T7</f>
        <v>1</v>
      </c>
      <c r="W7" t="n">
        <v>6</v>
      </c>
      <c r="X7" t="str">
        <f>$J$2</f>
        <v>مجموعة 1</v>
      </c>
      <c r="Y7" t="str">
        <f>IF('مجموعة 1'!$B10="","",'مجموعة 1'!$B10)</f>
        <v/>
      </c>
      <c r="Z7" t="str">
        <f>IF('مجموعة 1'!$C10="","",'مجموعة 1'!$C10)</f>
        <v/>
      </c>
      <c r="AA7" t="str">
        <f>IF($Y7="","",'مجموعة 1'!$D10)</f>
        <v/>
      </c>
      <c r="AB7">
        <f>IF(AND($Y7&lt;&gt;"",ISNUMBER($AA7),$AA7&gt;='الرئيسية'!$H$27),1,0)</f>
        <v>0</v>
      </c>
      <c r="AC7">
        <f>$AC6+$AB7</f>
        <v>0</v>
      </c>
      <c r="AD7" t="str">
        <f>IF(OR($Y7="",'مجموعة 1'!$F10="تمام",'مجموعة 1'!$F10="-"),"",'مجموعة 1'!$F10)</f>
        <v/>
      </c>
      <c r="AE7">
        <f>IF($AD7&lt;&gt;"",1,0)</f>
        <v>0</v>
      </c>
      <c r="AF7">
        <f>$AF6+$AE7</f>
        <v>0</v>
      </c>
      <c r="AG7">
        <f>IF($Y7&lt;&gt;"",1,0)</f>
        <v>0</v>
      </c>
    </row>
    <row r="8">
      <c r="A8" t="inlineStr">
        <is>
          <t>الجمعة</t>
        </is>
      </c>
      <c r="B8" t="n">
        <v>6</v>
      </c>
      <c r="D8" t="inlineStr">
        <is>
          <t>10:00 ص</t>
        </is>
      </c>
      <c r="F8" t="inlineStr">
        <is>
          <t>شهر 6</t>
        </is>
      </c>
      <c r="H8" t="n">
        <v>7</v>
      </c>
      <c r="I8" t="inlineStr">
        <is>
          <t>مجموعة 7</t>
        </is>
      </c>
      <c r="J8" t="str">
        <f>IF('مجموعة 7'!$A$1="","مجموعة 7",'مجموعة 7'!$A$1)</f>
        <v>مجموعة 7</v>
      </c>
      <c r="K8">
        <f>'مجموعة 7'!$HE$1</f>
        <v>0</v>
      </c>
      <c r="L8">
        <f>'مجموعة 7'!$HC$1</f>
        <v>0</v>
      </c>
      <c r="M8">
        <f>'مجموعة 7'!$HC$2</f>
        <v>1</v>
      </c>
      <c r="N8">
        <f>'مجموعة 7'!$HC$3</f>
        <v>0</v>
      </c>
      <c r="O8" t="str">
        <f>'مجموعة 7'!$A$2</f>
        <v>لسه ما بدأتش</v>
      </c>
      <c r="P8" t="str">
        <f>IF('مجموعة 7'!$A$23="","",'مجموعة 7'!$A$23)</f>
        <v/>
      </c>
      <c r="Q8" t="str">
        <f>IF('مجموعة 7'!$A$25="","",'مجموعة 7'!$A$25)</f>
        <v/>
      </c>
      <c r="R8" t="str">
        <f>'مجموعة 7'!$HF$4</f>
        <v/>
      </c>
      <c r="S8" t="str">
        <f>IF($Q8&lt;&gt;"",$Q8,$R8)</f>
        <v/>
      </c>
      <c r="T8">
        <f>IF(OR($K8&gt;0,$P8&lt;&gt;""),1,0)</f>
        <v>0</v>
      </c>
      <c r="U8">
        <f>$U7+$T8</f>
        <v>1</v>
      </c>
      <c r="W8" t="n">
        <v>7</v>
      </c>
      <c r="X8" t="str">
        <f>$J$2</f>
        <v>مجموعة 1</v>
      </c>
      <c r="Y8" t="str">
        <f>IF('مجموعة 1'!$B11="","",'مجموعة 1'!$B11)</f>
        <v/>
      </c>
      <c r="Z8" t="str">
        <f>IF('مجموعة 1'!$C11="","",'مجموعة 1'!$C11)</f>
        <v/>
      </c>
      <c r="AA8" t="str">
        <f>IF($Y8="","",'مجموعة 1'!$D11)</f>
        <v/>
      </c>
      <c r="AB8">
        <f>IF(AND($Y8&lt;&gt;"",ISNUMBER($AA8),$AA8&gt;='الرئيسية'!$H$27),1,0)</f>
        <v>0</v>
      </c>
      <c r="AC8">
        <f>$AC7+$AB8</f>
        <v>0</v>
      </c>
      <c r="AD8" t="str">
        <f>IF(OR($Y8="",'مجموعة 1'!$F11="تمام",'مجموعة 1'!$F11="-"),"",'مجموعة 1'!$F11)</f>
        <v/>
      </c>
      <c r="AE8">
        <f>IF($AD8&lt;&gt;"",1,0)</f>
        <v>0</v>
      </c>
      <c r="AF8">
        <f>$AF7+$AE8</f>
        <v>0</v>
      </c>
      <c r="AG8">
        <f>IF($Y8&lt;&gt;"",1,0)</f>
        <v>0</v>
      </c>
    </row>
    <row r="9">
      <c r="D9" t="inlineStr">
        <is>
          <t>10:30 ص</t>
        </is>
      </c>
      <c r="F9" t="inlineStr">
        <is>
          <t>شهر 7</t>
        </is>
      </c>
      <c r="H9" t="n">
        <v>8</v>
      </c>
      <c r="I9" t="inlineStr">
        <is>
          <t>مجموعة 8</t>
        </is>
      </c>
      <c r="J9" t="str">
        <f>IF('مجموعة 8'!$A$1="","مجموعة 8",'مجموعة 8'!$A$1)</f>
        <v>مجموعة 8</v>
      </c>
      <c r="K9">
        <f>'مجموعة 8'!$HE$1</f>
        <v>0</v>
      </c>
      <c r="L9">
        <f>'مجموعة 8'!$HC$1</f>
        <v>0</v>
      </c>
      <c r="M9">
        <f>'مجموعة 8'!$HC$2</f>
        <v>1</v>
      </c>
      <c r="N9">
        <f>'مجموعة 8'!$HC$3</f>
        <v>0</v>
      </c>
      <c r="O9" t="str">
        <f>'مجموعة 8'!$A$2</f>
        <v>لسه ما بدأتش</v>
      </c>
      <c r="P9" t="str">
        <f>IF('مجموعة 8'!$A$23="","",'مجموعة 8'!$A$23)</f>
        <v/>
      </c>
      <c r="Q9" t="str">
        <f>IF('مجموعة 8'!$A$25="","",'مجموعة 8'!$A$25)</f>
        <v/>
      </c>
      <c r="R9" t="str">
        <f>'مجموعة 8'!$HF$4</f>
        <v/>
      </c>
      <c r="S9" t="str">
        <f>IF($Q9&lt;&gt;"",$Q9,$R9)</f>
        <v/>
      </c>
      <c r="T9">
        <f>IF(OR($K9&gt;0,$P9&lt;&gt;""),1,0)</f>
        <v>0</v>
      </c>
      <c r="U9">
        <f>$U8+$T9</f>
        <v>1</v>
      </c>
      <c r="W9" t="n">
        <v>8</v>
      </c>
      <c r="X9" t="str">
        <f>$J$2</f>
        <v>مجموعة 1</v>
      </c>
      <c r="Y9" t="str">
        <f>IF('مجموعة 1'!$B12="","",'مجموعة 1'!$B12)</f>
        <v/>
      </c>
      <c r="Z9" t="str">
        <f>IF('مجموعة 1'!$C12="","",'مجموعة 1'!$C12)</f>
        <v/>
      </c>
      <c r="AA9" t="str">
        <f>IF($Y9="","",'مجموعة 1'!$D12)</f>
        <v/>
      </c>
      <c r="AB9">
        <f>IF(AND($Y9&lt;&gt;"",ISNUMBER($AA9),$AA9&gt;='الرئيسية'!$H$27),1,0)</f>
        <v>0</v>
      </c>
      <c r="AC9">
        <f>$AC8+$AB9</f>
        <v>0</v>
      </c>
      <c r="AD9" t="str">
        <f>IF(OR($Y9="",'مجموعة 1'!$F12="تمام",'مجموعة 1'!$F12="-"),"",'مجموعة 1'!$F12)</f>
        <v/>
      </c>
      <c r="AE9">
        <f>IF($AD9&lt;&gt;"",1,0)</f>
        <v>0</v>
      </c>
      <c r="AF9">
        <f>$AF8+$AE9</f>
        <v>0</v>
      </c>
      <c r="AG9">
        <f>IF($Y9&lt;&gt;"",1,0)</f>
        <v>0</v>
      </c>
    </row>
    <row r="10">
      <c r="D10" t="inlineStr">
        <is>
          <t>11:00 ص</t>
        </is>
      </c>
      <c r="F10" t="inlineStr">
        <is>
          <t>شهر 8</t>
        </is>
      </c>
      <c r="H10" t="n">
        <v>9</v>
      </c>
      <c r="I10" t="inlineStr">
        <is>
          <t>أونلاين</t>
        </is>
      </c>
      <c r="J10" t="str">
        <f>IF('أونلاين'!$A$1="","أونلاين",'أونلاين'!$A$1)</f>
        <v>أونلاين</v>
      </c>
      <c r="K10">
        <f>'أونلاين'!$HE$1</f>
        <v>0</v>
      </c>
      <c r="W10" t="n">
        <v>9</v>
      </c>
      <c r="X10" t="str">
        <f>$J$2</f>
        <v>مجموعة 1</v>
      </c>
      <c r="Y10" t="str">
        <f>IF('مجموعة 1'!$B13="","",'مجموعة 1'!$B13)</f>
        <v/>
      </c>
      <c r="Z10" t="str">
        <f>IF('مجموعة 1'!$C13="","",'مجموعة 1'!$C13)</f>
        <v/>
      </c>
      <c r="AA10" t="str">
        <f>IF($Y10="","",'مجموعة 1'!$D13)</f>
        <v/>
      </c>
      <c r="AB10">
        <f>IF(AND($Y10&lt;&gt;"",ISNUMBER($AA10),$AA10&gt;='الرئيسية'!$H$27),1,0)</f>
        <v>0</v>
      </c>
      <c r="AC10">
        <f>$AC9+$AB10</f>
        <v>0</v>
      </c>
      <c r="AD10" t="str">
        <f>IF(OR($Y10="",'مجموعة 1'!$F13="تمام",'مجموعة 1'!$F13="-"),"",'مجموعة 1'!$F13)</f>
        <v/>
      </c>
      <c r="AE10">
        <f>IF($AD10&lt;&gt;"",1,0)</f>
        <v>0</v>
      </c>
      <c r="AF10">
        <f>$AF9+$AE10</f>
        <v>0</v>
      </c>
      <c r="AG10">
        <f>IF($Y10&lt;&gt;"",1,0)</f>
        <v>0</v>
      </c>
    </row>
    <row r="11">
      <c r="D11" t="inlineStr">
        <is>
          <t>11:30 ص</t>
        </is>
      </c>
      <c r="F11" t="inlineStr">
        <is>
          <t>شهر 9</t>
        </is>
      </c>
      <c r="H11" t="n">
        <v>10</v>
      </c>
      <c r="I11" t="inlineStr">
        <is>
          <t>برايفت</t>
        </is>
      </c>
      <c r="J11" t="str">
        <f>IF('برايفت'!$A$1="","برايفت",'برايفت'!$A$1)</f>
        <v>برايفت</v>
      </c>
      <c r="K11">
        <f>'برايفت'!$HE$1</f>
        <v>0</v>
      </c>
      <c r="W11" t="n">
        <v>10</v>
      </c>
      <c r="X11" t="str">
        <f>$J$2</f>
        <v>مجموعة 1</v>
      </c>
      <c r="Y11" t="str">
        <f>IF('مجموعة 1'!$B14="","",'مجموعة 1'!$B14)</f>
        <v/>
      </c>
      <c r="Z11" t="str">
        <f>IF('مجموعة 1'!$C14="","",'مجموعة 1'!$C14)</f>
        <v/>
      </c>
      <c r="AA11" t="str">
        <f>IF($Y11="","",'مجموعة 1'!$D14)</f>
        <v/>
      </c>
      <c r="AB11">
        <f>IF(AND($Y11&lt;&gt;"",ISNUMBER($AA11),$AA11&gt;='الرئيسية'!$H$27),1,0)</f>
        <v>0</v>
      </c>
      <c r="AC11">
        <f>$AC10+$AB11</f>
        <v>0</v>
      </c>
      <c r="AD11" t="str">
        <f>IF(OR($Y11="",'مجموعة 1'!$F14="تمام",'مجموعة 1'!$F14="-"),"",'مجموعة 1'!$F14)</f>
        <v/>
      </c>
      <c r="AE11">
        <f>IF($AD11&lt;&gt;"",1,0)</f>
        <v>0</v>
      </c>
      <c r="AF11">
        <f>$AF10+$AE11</f>
        <v>0</v>
      </c>
      <c r="AG11">
        <f>IF($Y11&lt;&gt;"",1,0)</f>
        <v>0</v>
      </c>
    </row>
    <row r="12">
      <c r="D12" t="inlineStr">
        <is>
          <t>12:00 م</t>
        </is>
      </c>
      <c r="F12" t="inlineStr">
        <is>
          <t>شهر 10</t>
        </is>
      </c>
      <c r="W12" t="n">
        <v>11</v>
      </c>
      <c r="X12" t="str">
        <f>$J$2</f>
        <v>مجموعة 1</v>
      </c>
      <c r="Y12" t="str">
        <f>IF('مجموعة 1'!$B15="","",'مجموعة 1'!$B15)</f>
        <v/>
      </c>
      <c r="Z12" t="str">
        <f>IF('مجموعة 1'!$C15="","",'مجموعة 1'!$C15)</f>
        <v/>
      </c>
      <c r="AA12" t="str">
        <f>IF($Y12="","",'مجموعة 1'!$D15)</f>
        <v/>
      </c>
      <c r="AB12">
        <f>IF(AND($Y12&lt;&gt;"",ISNUMBER($AA12),$AA12&gt;='الرئيسية'!$H$27),1,0)</f>
        <v>0</v>
      </c>
      <c r="AC12">
        <f>$AC11+$AB12</f>
        <v>0</v>
      </c>
      <c r="AD12" t="str">
        <f>IF(OR($Y12="",'مجموعة 1'!$F15="تمام",'مجموعة 1'!$F15="-"),"",'مجموعة 1'!$F15)</f>
        <v/>
      </c>
      <c r="AE12">
        <f>IF($AD12&lt;&gt;"",1,0)</f>
        <v>0</v>
      </c>
      <c r="AF12">
        <f>$AF11+$AE12</f>
        <v>0</v>
      </c>
      <c r="AG12">
        <f>IF($Y12&lt;&gt;"",1,0)</f>
        <v>0</v>
      </c>
    </row>
    <row r="13">
      <c r="D13" t="inlineStr">
        <is>
          <t>12:30 م</t>
        </is>
      </c>
      <c r="F13" t="inlineStr">
        <is>
          <t>شهر 11</t>
        </is>
      </c>
      <c r="W13" t="n">
        <v>12</v>
      </c>
      <c r="X13" t="str">
        <f>$J$2</f>
        <v>مجموعة 1</v>
      </c>
      <c r="Y13" t="str">
        <f>IF('مجموعة 1'!$B16="","",'مجموعة 1'!$B16)</f>
        <v/>
      </c>
      <c r="Z13" t="str">
        <f>IF('مجموعة 1'!$C16="","",'مجموعة 1'!$C16)</f>
        <v/>
      </c>
      <c r="AA13" t="str">
        <f>IF($Y13="","",'مجموعة 1'!$D16)</f>
        <v/>
      </c>
      <c r="AB13">
        <f>IF(AND($Y13&lt;&gt;"",ISNUMBER($AA13),$AA13&gt;='الرئيسية'!$H$27),1,0)</f>
        <v>0</v>
      </c>
      <c r="AC13">
        <f>$AC12+$AB13</f>
        <v>0</v>
      </c>
      <c r="AD13" t="str">
        <f>IF(OR($Y13="",'مجموعة 1'!$F16="تمام",'مجموعة 1'!$F16="-"),"",'مجموعة 1'!$F16)</f>
        <v/>
      </c>
      <c r="AE13">
        <f>IF($AD13&lt;&gt;"",1,0)</f>
        <v>0</v>
      </c>
      <c r="AF13">
        <f>$AF12+$AE13</f>
        <v>0</v>
      </c>
      <c r="AG13">
        <f>IF($Y13&lt;&gt;"",1,0)</f>
        <v>0</v>
      </c>
    </row>
    <row r="14">
      <c r="D14" t="inlineStr">
        <is>
          <t>1:00 م</t>
        </is>
      </c>
      <c r="F14" t="inlineStr">
        <is>
          <t>شهر 12</t>
        </is>
      </c>
      <c r="W14" t="n">
        <v>13</v>
      </c>
      <c r="X14" t="str">
        <f>$J$2</f>
        <v>مجموعة 1</v>
      </c>
      <c r="Y14" t="str">
        <f>IF('مجموعة 1'!$B17="","",'مجموعة 1'!$B17)</f>
        <v/>
      </c>
      <c r="Z14" t="str">
        <f>IF('مجموعة 1'!$C17="","",'مجموعة 1'!$C17)</f>
        <v/>
      </c>
      <c r="AA14" t="str">
        <f>IF($Y14="","",'مجموعة 1'!$D17)</f>
        <v/>
      </c>
      <c r="AB14">
        <f>IF(AND($Y14&lt;&gt;"",ISNUMBER($AA14),$AA14&gt;='الرئيسية'!$H$27),1,0)</f>
        <v>0</v>
      </c>
      <c r="AC14">
        <f>$AC13+$AB14</f>
        <v>0</v>
      </c>
      <c r="AD14" t="str">
        <f>IF(OR($Y14="",'مجموعة 1'!$F17="تمام",'مجموعة 1'!$F17="-"),"",'مجموعة 1'!$F17)</f>
        <v/>
      </c>
      <c r="AE14">
        <f>IF($AD14&lt;&gt;"",1,0)</f>
        <v>0</v>
      </c>
      <c r="AF14">
        <f>$AF13+$AE14</f>
        <v>0</v>
      </c>
      <c r="AG14">
        <f>IF($Y14&lt;&gt;"",1,0)</f>
        <v>0</v>
      </c>
    </row>
    <row r="15">
      <c r="D15" t="inlineStr">
        <is>
          <t>1:30 م</t>
        </is>
      </c>
      <c r="W15" t="n">
        <v>14</v>
      </c>
      <c r="X15" t="str">
        <f>$J$2</f>
        <v>مجموعة 1</v>
      </c>
      <c r="Y15" t="str">
        <f>IF('مجموعة 1'!$B18="","",'مجموعة 1'!$B18)</f>
        <v/>
      </c>
      <c r="Z15" t="str">
        <f>IF('مجموعة 1'!$C18="","",'مجموعة 1'!$C18)</f>
        <v/>
      </c>
      <c r="AA15" t="str">
        <f>IF($Y15="","",'مجموعة 1'!$D18)</f>
        <v/>
      </c>
      <c r="AB15">
        <f>IF(AND($Y15&lt;&gt;"",ISNUMBER($AA15),$AA15&gt;='الرئيسية'!$H$27),1,0)</f>
        <v>0</v>
      </c>
      <c r="AC15">
        <f>$AC14+$AB15</f>
        <v>0</v>
      </c>
      <c r="AD15" t="str">
        <f>IF(OR($Y15="",'مجموعة 1'!$F18="تمام",'مجموعة 1'!$F18="-"),"",'مجموعة 1'!$F18)</f>
        <v/>
      </c>
      <c r="AE15">
        <f>IF($AD15&lt;&gt;"",1,0)</f>
        <v>0</v>
      </c>
      <c r="AF15">
        <f>$AF14+$AE15</f>
        <v>0</v>
      </c>
      <c r="AG15">
        <f>IF($Y15&lt;&gt;"",1,0)</f>
        <v>0</v>
      </c>
    </row>
    <row r="16">
      <c r="D16" t="inlineStr">
        <is>
          <t>2:00 م</t>
        </is>
      </c>
      <c r="W16" t="n">
        <v>15</v>
      </c>
      <c r="X16" t="str">
        <f>$J$2</f>
        <v>مجموعة 1</v>
      </c>
      <c r="Y16" t="str">
        <f>IF('مجموعة 1'!$B19="","",'مجموعة 1'!$B19)</f>
        <v/>
      </c>
      <c r="Z16" t="str">
        <f>IF('مجموعة 1'!$C19="","",'مجموعة 1'!$C19)</f>
        <v/>
      </c>
      <c r="AA16" t="str">
        <f>IF($Y16="","",'مجموعة 1'!$D19)</f>
        <v/>
      </c>
      <c r="AB16">
        <f>IF(AND($Y16&lt;&gt;"",ISNUMBER($AA16),$AA16&gt;='الرئيسية'!$H$27),1,0)</f>
        <v>0</v>
      </c>
      <c r="AC16">
        <f>$AC15+$AB16</f>
        <v>0</v>
      </c>
      <c r="AD16" t="str">
        <f>IF(OR($Y16="",'مجموعة 1'!$F19="تمام",'مجموعة 1'!$F19="-"),"",'مجموعة 1'!$F19)</f>
        <v/>
      </c>
      <c r="AE16">
        <f>IF($AD16&lt;&gt;"",1,0)</f>
        <v>0</v>
      </c>
      <c r="AF16">
        <f>$AF15+$AE16</f>
        <v>0</v>
      </c>
      <c r="AG16">
        <f>IF($Y16&lt;&gt;"",1,0)</f>
        <v>0</v>
      </c>
    </row>
    <row r="17">
      <c r="D17" t="inlineStr">
        <is>
          <t>2:30 م</t>
        </is>
      </c>
      <c r="W17" t="n">
        <v>16</v>
      </c>
      <c r="X17" t="str">
        <f>$J$3</f>
        <v>مجموعة 2</v>
      </c>
      <c r="Y17" t="str">
        <f>IF('مجموعة 2'!$B5="","",'مجموعة 2'!$B5)</f>
        <v/>
      </c>
      <c r="Z17" t="str">
        <f>IF('مجموعة 2'!$C5="","",'مجموعة 2'!$C5)</f>
        <v/>
      </c>
      <c r="AA17" t="str">
        <f>IF($Y17="","",'مجموعة 2'!$D5)</f>
        <v/>
      </c>
      <c r="AB17">
        <f>IF(AND($Y17&lt;&gt;"",ISNUMBER($AA17),$AA17&gt;='الرئيسية'!$H$27),1,0)</f>
        <v>0</v>
      </c>
      <c r="AC17">
        <f>$AC16+$AB17</f>
        <v>0</v>
      </c>
      <c r="AD17" t="str">
        <f>IF(OR($Y17="",'مجموعة 2'!$F5="تمام",'مجموعة 2'!$F5="-"),"",'مجموعة 2'!$F5)</f>
        <v/>
      </c>
      <c r="AE17">
        <f>IF($AD17&lt;&gt;"",1,0)</f>
        <v>0</v>
      </c>
      <c r="AF17">
        <f>$AF16+$AE17</f>
        <v>0</v>
      </c>
      <c r="AG17">
        <f>IF($Y17&lt;&gt;"",1,0)</f>
        <v>0</v>
      </c>
    </row>
    <row r="18">
      <c r="D18" t="inlineStr">
        <is>
          <t>3:00 م</t>
        </is>
      </c>
      <c r="W18" t="n">
        <v>17</v>
      </c>
      <c r="X18" t="str">
        <f>$J$3</f>
        <v>مجموعة 2</v>
      </c>
      <c r="Y18" t="str">
        <f>IF('مجموعة 2'!$B6="","",'مجموعة 2'!$B6)</f>
        <v/>
      </c>
      <c r="Z18" t="str">
        <f>IF('مجموعة 2'!$C6="","",'مجموعة 2'!$C6)</f>
        <v/>
      </c>
      <c r="AA18" t="str">
        <f>IF($Y18="","",'مجموعة 2'!$D6)</f>
        <v/>
      </c>
      <c r="AB18">
        <f>IF(AND($Y18&lt;&gt;"",ISNUMBER($AA18),$AA18&gt;='الرئيسية'!$H$27),1,0)</f>
        <v>0</v>
      </c>
      <c r="AC18">
        <f>$AC17+$AB18</f>
        <v>0</v>
      </c>
      <c r="AD18" t="str">
        <f>IF(OR($Y18="",'مجموعة 2'!$F6="تمام",'مجموعة 2'!$F6="-"),"",'مجموعة 2'!$F6)</f>
        <v/>
      </c>
      <c r="AE18">
        <f>IF($AD18&lt;&gt;"",1,0)</f>
        <v>0</v>
      </c>
      <c r="AF18">
        <f>$AF17+$AE18</f>
        <v>0</v>
      </c>
      <c r="AG18">
        <f>IF($Y18&lt;&gt;"",1,0)</f>
        <v>0</v>
      </c>
    </row>
    <row r="19">
      <c r="D19" t="inlineStr">
        <is>
          <t>3:30 م</t>
        </is>
      </c>
      <c r="W19" t="n">
        <v>18</v>
      </c>
      <c r="X19" t="str">
        <f>$J$3</f>
        <v>مجموعة 2</v>
      </c>
      <c r="Y19" t="str">
        <f>IF('مجموعة 2'!$B7="","",'مجموعة 2'!$B7)</f>
        <v/>
      </c>
      <c r="Z19" t="str">
        <f>IF('مجموعة 2'!$C7="","",'مجموعة 2'!$C7)</f>
        <v/>
      </c>
      <c r="AA19" t="str">
        <f>IF($Y19="","",'مجموعة 2'!$D7)</f>
        <v/>
      </c>
      <c r="AB19">
        <f>IF(AND($Y19&lt;&gt;"",ISNUMBER($AA19),$AA19&gt;='الرئيسية'!$H$27),1,0)</f>
        <v>0</v>
      </c>
      <c r="AC19">
        <f>$AC18+$AB19</f>
        <v>0</v>
      </c>
      <c r="AD19" t="str">
        <f>IF(OR($Y19="",'مجموعة 2'!$F7="تمام",'مجموعة 2'!$F7="-"),"",'مجموعة 2'!$F7)</f>
        <v/>
      </c>
      <c r="AE19">
        <f>IF($AD19&lt;&gt;"",1,0)</f>
        <v>0</v>
      </c>
      <c r="AF19">
        <f>$AF18+$AE19</f>
        <v>0</v>
      </c>
      <c r="AG19">
        <f>IF($Y19&lt;&gt;"",1,0)</f>
        <v>0</v>
      </c>
    </row>
    <row r="20">
      <c r="D20" t="inlineStr">
        <is>
          <t>4:00 م</t>
        </is>
      </c>
      <c r="W20" t="n">
        <v>19</v>
      </c>
      <c r="X20" t="str">
        <f>$J$3</f>
        <v>مجموعة 2</v>
      </c>
      <c r="Y20" t="str">
        <f>IF('مجموعة 2'!$B8="","",'مجموعة 2'!$B8)</f>
        <v/>
      </c>
      <c r="Z20" t="str">
        <f>IF('مجموعة 2'!$C8="","",'مجموعة 2'!$C8)</f>
        <v/>
      </c>
      <c r="AA20" t="str">
        <f>IF($Y20="","",'مجموعة 2'!$D8)</f>
        <v/>
      </c>
      <c r="AB20">
        <f>IF(AND($Y20&lt;&gt;"",ISNUMBER($AA20),$AA20&gt;='الرئيسية'!$H$27),1,0)</f>
        <v>0</v>
      </c>
      <c r="AC20">
        <f>$AC19+$AB20</f>
        <v>0</v>
      </c>
      <c r="AD20" t="str">
        <f>IF(OR($Y20="",'مجموعة 2'!$F8="تمام",'مجموعة 2'!$F8="-"),"",'مجموعة 2'!$F8)</f>
        <v/>
      </c>
      <c r="AE20">
        <f>IF($AD20&lt;&gt;"",1,0)</f>
        <v>0</v>
      </c>
      <c r="AF20">
        <f>$AF19+$AE20</f>
        <v>0</v>
      </c>
      <c r="AG20">
        <f>IF($Y20&lt;&gt;"",1,0)</f>
        <v>0</v>
      </c>
    </row>
    <row r="21">
      <c r="D21" t="inlineStr">
        <is>
          <t>4:30 م</t>
        </is>
      </c>
      <c r="W21" t="n">
        <v>20</v>
      </c>
      <c r="X21" t="str">
        <f>$J$3</f>
        <v>مجموعة 2</v>
      </c>
      <c r="Y21" t="str">
        <f>IF('مجموعة 2'!$B9="","",'مجموعة 2'!$B9)</f>
        <v/>
      </c>
      <c r="Z21" t="str">
        <f>IF('مجموعة 2'!$C9="","",'مجموعة 2'!$C9)</f>
        <v/>
      </c>
      <c r="AA21" t="str">
        <f>IF($Y21="","",'مجموعة 2'!$D9)</f>
        <v/>
      </c>
      <c r="AB21">
        <f>IF(AND($Y21&lt;&gt;"",ISNUMBER($AA21),$AA21&gt;='الرئيسية'!$H$27),1,0)</f>
        <v>0</v>
      </c>
      <c r="AC21">
        <f>$AC20+$AB21</f>
        <v>0</v>
      </c>
      <c r="AD21" t="str">
        <f>IF(OR($Y21="",'مجموعة 2'!$F9="تمام",'مجموعة 2'!$F9="-"),"",'مجموعة 2'!$F9)</f>
        <v/>
      </c>
      <c r="AE21">
        <f>IF($AD21&lt;&gt;"",1,0)</f>
        <v>0</v>
      </c>
      <c r="AF21">
        <f>$AF20+$AE21</f>
        <v>0</v>
      </c>
      <c r="AG21">
        <f>IF($Y21&lt;&gt;"",1,0)</f>
        <v>0</v>
      </c>
    </row>
    <row r="22">
      <c r="D22" t="inlineStr">
        <is>
          <t>5:00 م</t>
        </is>
      </c>
      <c r="W22" t="n">
        <v>21</v>
      </c>
      <c r="X22" t="str">
        <f>$J$3</f>
        <v>مجموعة 2</v>
      </c>
      <c r="Y22" t="str">
        <f>IF('مجموعة 2'!$B10="","",'مجموعة 2'!$B10)</f>
        <v/>
      </c>
      <c r="Z22" t="str">
        <f>IF('مجموعة 2'!$C10="","",'مجموعة 2'!$C10)</f>
        <v/>
      </c>
      <c r="AA22" t="str">
        <f>IF($Y22="","",'مجموعة 2'!$D10)</f>
        <v/>
      </c>
      <c r="AB22">
        <f>IF(AND($Y22&lt;&gt;"",ISNUMBER($AA22),$AA22&gt;='الرئيسية'!$H$27),1,0)</f>
        <v>0</v>
      </c>
      <c r="AC22">
        <f>$AC21+$AB22</f>
        <v>0</v>
      </c>
      <c r="AD22" t="str">
        <f>IF(OR($Y22="",'مجموعة 2'!$F10="تمام",'مجموعة 2'!$F10="-"),"",'مجموعة 2'!$F10)</f>
        <v/>
      </c>
      <c r="AE22">
        <f>IF($AD22&lt;&gt;"",1,0)</f>
        <v>0</v>
      </c>
      <c r="AF22">
        <f>$AF21+$AE22</f>
        <v>0</v>
      </c>
      <c r="AG22">
        <f>IF($Y22&lt;&gt;"",1,0)</f>
        <v>0</v>
      </c>
    </row>
    <row r="23">
      <c r="D23" t="inlineStr">
        <is>
          <t>5:30 م</t>
        </is>
      </c>
      <c r="W23" t="n">
        <v>22</v>
      </c>
      <c r="X23" t="str">
        <f>$J$3</f>
        <v>مجموعة 2</v>
      </c>
      <c r="Y23" t="str">
        <f>IF('مجموعة 2'!$B11="","",'مجموعة 2'!$B11)</f>
        <v/>
      </c>
      <c r="Z23" t="str">
        <f>IF('مجموعة 2'!$C11="","",'مجموعة 2'!$C11)</f>
        <v/>
      </c>
      <c r="AA23" t="str">
        <f>IF($Y23="","",'مجموعة 2'!$D11)</f>
        <v/>
      </c>
      <c r="AB23">
        <f>IF(AND($Y23&lt;&gt;"",ISNUMBER($AA23),$AA23&gt;='الرئيسية'!$H$27),1,0)</f>
        <v>0</v>
      </c>
      <c r="AC23">
        <f>$AC22+$AB23</f>
        <v>0</v>
      </c>
      <c r="AD23" t="str">
        <f>IF(OR($Y23="",'مجموعة 2'!$F11="تمام",'مجموعة 2'!$F11="-"),"",'مجموعة 2'!$F11)</f>
        <v/>
      </c>
      <c r="AE23">
        <f>IF($AD23&lt;&gt;"",1,0)</f>
        <v>0</v>
      </c>
      <c r="AF23">
        <f>$AF22+$AE23</f>
        <v>0</v>
      </c>
      <c r="AG23">
        <f>IF($Y23&lt;&gt;"",1,0)</f>
        <v>0</v>
      </c>
    </row>
    <row r="24">
      <c r="D24" t="inlineStr">
        <is>
          <t>6:00 م</t>
        </is>
      </c>
      <c r="W24" t="n">
        <v>23</v>
      </c>
      <c r="X24" t="str">
        <f>$J$3</f>
        <v>مجموعة 2</v>
      </c>
      <c r="Y24" t="str">
        <f>IF('مجموعة 2'!$B12="","",'مجموعة 2'!$B12)</f>
        <v/>
      </c>
      <c r="Z24" t="str">
        <f>IF('مجموعة 2'!$C12="","",'مجموعة 2'!$C12)</f>
        <v/>
      </c>
      <c r="AA24" t="str">
        <f>IF($Y24="","",'مجموعة 2'!$D12)</f>
        <v/>
      </c>
      <c r="AB24">
        <f>IF(AND($Y24&lt;&gt;"",ISNUMBER($AA24),$AA24&gt;='الرئيسية'!$H$27),1,0)</f>
        <v>0</v>
      </c>
      <c r="AC24">
        <f>$AC23+$AB24</f>
        <v>0</v>
      </c>
      <c r="AD24" t="str">
        <f>IF(OR($Y24="",'مجموعة 2'!$F12="تمام",'مجموعة 2'!$F12="-"),"",'مجموعة 2'!$F12)</f>
        <v/>
      </c>
      <c r="AE24">
        <f>IF($AD24&lt;&gt;"",1,0)</f>
        <v>0</v>
      </c>
      <c r="AF24">
        <f>$AF23+$AE24</f>
        <v>0</v>
      </c>
      <c r="AG24">
        <f>IF($Y24&lt;&gt;"",1,0)</f>
        <v>0</v>
      </c>
    </row>
    <row r="25">
      <c r="D25" t="inlineStr">
        <is>
          <t>6:30 م</t>
        </is>
      </c>
      <c r="W25" t="n">
        <v>24</v>
      </c>
      <c r="X25" t="str">
        <f>$J$3</f>
        <v>مجموعة 2</v>
      </c>
      <c r="Y25" t="str">
        <f>IF('مجموعة 2'!$B13="","",'مجموعة 2'!$B13)</f>
        <v/>
      </c>
      <c r="Z25" t="str">
        <f>IF('مجموعة 2'!$C13="","",'مجموعة 2'!$C13)</f>
        <v/>
      </c>
      <c r="AA25" t="str">
        <f>IF($Y25="","",'مجموعة 2'!$D13)</f>
        <v/>
      </c>
      <c r="AB25">
        <f>IF(AND($Y25&lt;&gt;"",ISNUMBER($AA25),$AA25&gt;='الرئيسية'!$H$27),1,0)</f>
        <v>0</v>
      </c>
      <c r="AC25">
        <f>$AC24+$AB25</f>
        <v>0</v>
      </c>
      <c r="AD25" t="str">
        <f>IF(OR($Y25="",'مجموعة 2'!$F13="تمام",'مجموعة 2'!$F13="-"),"",'مجموعة 2'!$F13)</f>
        <v/>
      </c>
      <c r="AE25">
        <f>IF($AD25&lt;&gt;"",1,0)</f>
        <v>0</v>
      </c>
      <c r="AF25">
        <f>$AF24+$AE25</f>
        <v>0</v>
      </c>
      <c r="AG25">
        <f>IF($Y25&lt;&gt;"",1,0)</f>
        <v>0</v>
      </c>
    </row>
    <row r="26">
      <c r="D26" t="inlineStr">
        <is>
          <t>7:00 م</t>
        </is>
      </c>
      <c r="W26" t="n">
        <v>25</v>
      </c>
      <c r="X26" t="str">
        <f>$J$3</f>
        <v>مجموعة 2</v>
      </c>
      <c r="Y26" t="str">
        <f>IF('مجموعة 2'!$B14="","",'مجموعة 2'!$B14)</f>
        <v/>
      </c>
      <c r="Z26" t="str">
        <f>IF('مجموعة 2'!$C14="","",'مجموعة 2'!$C14)</f>
        <v/>
      </c>
      <c r="AA26" t="str">
        <f>IF($Y26="","",'مجموعة 2'!$D14)</f>
        <v/>
      </c>
      <c r="AB26">
        <f>IF(AND($Y26&lt;&gt;"",ISNUMBER($AA26),$AA26&gt;='الرئيسية'!$H$27),1,0)</f>
        <v>0</v>
      </c>
      <c r="AC26">
        <f>$AC25+$AB26</f>
        <v>0</v>
      </c>
      <c r="AD26" t="str">
        <f>IF(OR($Y26="",'مجموعة 2'!$F14="تمام",'مجموعة 2'!$F14="-"),"",'مجموعة 2'!$F14)</f>
        <v/>
      </c>
      <c r="AE26">
        <f>IF($AD26&lt;&gt;"",1,0)</f>
        <v>0</v>
      </c>
      <c r="AF26">
        <f>$AF25+$AE26</f>
        <v>0</v>
      </c>
      <c r="AG26">
        <f>IF($Y26&lt;&gt;"",1,0)</f>
        <v>0</v>
      </c>
    </row>
    <row r="27">
      <c r="D27" t="inlineStr">
        <is>
          <t>7:30 م</t>
        </is>
      </c>
      <c r="W27" t="n">
        <v>26</v>
      </c>
      <c r="X27" t="str">
        <f>$J$3</f>
        <v>مجموعة 2</v>
      </c>
      <c r="Y27" t="str">
        <f>IF('مجموعة 2'!$B15="","",'مجموعة 2'!$B15)</f>
        <v/>
      </c>
      <c r="Z27" t="str">
        <f>IF('مجموعة 2'!$C15="","",'مجموعة 2'!$C15)</f>
        <v/>
      </c>
      <c r="AA27" t="str">
        <f>IF($Y27="","",'مجموعة 2'!$D15)</f>
        <v/>
      </c>
      <c r="AB27">
        <f>IF(AND($Y27&lt;&gt;"",ISNUMBER($AA27),$AA27&gt;='الرئيسية'!$H$27),1,0)</f>
        <v>0</v>
      </c>
      <c r="AC27">
        <f>$AC26+$AB27</f>
        <v>0</v>
      </c>
      <c r="AD27" t="str">
        <f>IF(OR($Y27="",'مجموعة 2'!$F15="تمام",'مجموعة 2'!$F15="-"),"",'مجموعة 2'!$F15)</f>
        <v/>
      </c>
      <c r="AE27">
        <f>IF($AD27&lt;&gt;"",1,0)</f>
        <v>0</v>
      </c>
      <c r="AF27">
        <f>$AF26+$AE27</f>
        <v>0</v>
      </c>
      <c r="AG27">
        <f>IF($Y27&lt;&gt;"",1,0)</f>
        <v>0</v>
      </c>
    </row>
    <row r="28">
      <c r="D28" t="inlineStr">
        <is>
          <t>8:00 م</t>
        </is>
      </c>
      <c r="W28" t="n">
        <v>27</v>
      </c>
      <c r="X28" t="str">
        <f>$J$3</f>
        <v>مجموعة 2</v>
      </c>
      <c r="Y28" t="str">
        <f>IF('مجموعة 2'!$B16="","",'مجموعة 2'!$B16)</f>
        <v/>
      </c>
      <c r="Z28" t="str">
        <f>IF('مجموعة 2'!$C16="","",'مجموعة 2'!$C16)</f>
        <v/>
      </c>
      <c r="AA28" t="str">
        <f>IF($Y28="","",'مجموعة 2'!$D16)</f>
        <v/>
      </c>
      <c r="AB28">
        <f>IF(AND($Y28&lt;&gt;"",ISNUMBER($AA28),$AA28&gt;='الرئيسية'!$H$27),1,0)</f>
        <v>0</v>
      </c>
      <c r="AC28">
        <f>$AC27+$AB28</f>
        <v>0</v>
      </c>
      <c r="AD28" t="str">
        <f>IF(OR($Y28="",'مجموعة 2'!$F16="تمام",'مجموعة 2'!$F16="-"),"",'مجموعة 2'!$F16)</f>
        <v/>
      </c>
      <c r="AE28">
        <f>IF($AD28&lt;&gt;"",1,0)</f>
        <v>0</v>
      </c>
      <c r="AF28">
        <f>$AF27+$AE28</f>
        <v>0</v>
      </c>
      <c r="AG28">
        <f>IF($Y28&lt;&gt;"",1,0)</f>
        <v>0</v>
      </c>
    </row>
    <row r="29">
      <c r="D29" t="inlineStr">
        <is>
          <t>8:30 م</t>
        </is>
      </c>
      <c r="W29" t="n">
        <v>28</v>
      </c>
      <c r="X29" t="str">
        <f>$J$3</f>
        <v>مجموعة 2</v>
      </c>
      <c r="Y29" t="str">
        <f>IF('مجموعة 2'!$B17="","",'مجموعة 2'!$B17)</f>
        <v/>
      </c>
      <c r="Z29" t="str">
        <f>IF('مجموعة 2'!$C17="","",'مجموعة 2'!$C17)</f>
        <v/>
      </c>
      <c r="AA29" t="str">
        <f>IF($Y29="","",'مجموعة 2'!$D17)</f>
        <v/>
      </c>
      <c r="AB29">
        <f>IF(AND($Y29&lt;&gt;"",ISNUMBER($AA29),$AA29&gt;='الرئيسية'!$H$27),1,0)</f>
        <v>0</v>
      </c>
      <c r="AC29">
        <f>$AC28+$AB29</f>
        <v>0</v>
      </c>
      <c r="AD29" t="str">
        <f>IF(OR($Y29="",'مجموعة 2'!$F17="تمام",'مجموعة 2'!$F17="-"),"",'مجموعة 2'!$F17)</f>
        <v/>
      </c>
      <c r="AE29">
        <f>IF($AD29&lt;&gt;"",1,0)</f>
        <v>0</v>
      </c>
      <c r="AF29">
        <f>$AF28+$AE29</f>
        <v>0</v>
      </c>
      <c r="AG29">
        <f>IF($Y29&lt;&gt;"",1,0)</f>
        <v>0</v>
      </c>
    </row>
    <row r="30">
      <c r="D30" t="inlineStr">
        <is>
          <t>9:00 م</t>
        </is>
      </c>
      <c r="W30" t="n">
        <v>29</v>
      </c>
      <c r="X30" t="str">
        <f>$J$3</f>
        <v>مجموعة 2</v>
      </c>
      <c r="Y30" t="str">
        <f>IF('مجموعة 2'!$B18="","",'مجموعة 2'!$B18)</f>
        <v/>
      </c>
      <c r="Z30" t="str">
        <f>IF('مجموعة 2'!$C18="","",'مجموعة 2'!$C18)</f>
        <v/>
      </c>
      <c r="AA30" t="str">
        <f>IF($Y30="","",'مجموعة 2'!$D18)</f>
        <v/>
      </c>
      <c r="AB30">
        <f>IF(AND($Y30&lt;&gt;"",ISNUMBER($AA30),$AA30&gt;='الرئيسية'!$H$27),1,0)</f>
        <v>0</v>
      </c>
      <c r="AC30">
        <f>$AC29+$AB30</f>
        <v>0</v>
      </c>
      <c r="AD30" t="str">
        <f>IF(OR($Y30="",'مجموعة 2'!$F18="تمام",'مجموعة 2'!$F18="-"),"",'مجموعة 2'!$F18)</f>
        <v/>
      </c>
      <c r="AE30">
        <f>IF($AD30&lt;&gt;"",1,0)</f>
        <v>0</v>
      </c>
      <c r="AF30">
        <f>$AF29+$AE30</f>
        <v>0</v>
      </c>
      <c r="AG30">
        <f>IF($Y30&lt;&gt;"",1,0)</f>
        <v>0</v>
      </c>
    </row>
    <row r="31">
      <c r="D31" t="inlineStr">
        <is>
          <t>9:30 م</t>
        </is>
      </c>
      <c r="W31" t="n">
        <v>30</v>
      </c>
      <c r="X31" t="str">
        <f>$J$3</f>
        <v>مجموعة 2</v>
      </c>
      <c r="Y31" t="str">
        <f>IF('مجموعة 2'!$B19="","",'مجموعة 2'!$B19)</f>
        <v/>
      </c>
      <c r="Z31" t="str">
        <f>IF('مجموعة 2'!$C19="","",'مجموعة 2'!$C19)</f>
        <v/>
      </c>
      <c r="AA31" t="str">
        <f>IF($Y31="","",'مجموعة 2'!$D19)</f>
        <v/>
      </c>
      <c r="AB31">
        <f>IF(AND($Y31&lt;&gt;"",ISNUMBER($AA31),$AA31&gt;='الرئيسية'!$H$27),1,0)</f>
        <v>0</v>
      </c>
      <c r="AC31">
        <f>$AC30+$AB31</f>
        <v>0</v>
      </c>
      <c r="AD31" t="str">
        <f>IF(OR($Y31="",'مجموعة 2'!$F19="تمام",'مجموعة 2'!$F19="-"),"",'مجموعة 2'!$F19)</f>
        <v/>
      </c>
      <c r="AE31">
        <f>IF($AD31&lt;&gt;"",1,0)</f>
        <v>0</v>
      </c>
      <c r="AF31">
        <f>$AF30+$AE31</f>
        <v>0</v>
      </c>
      <c r="AG31">
        <f>IF($Y31&lt;&gt;"",1,0)</f>
        <v>0</v>
      </c>
    </row>
    <row r="32">
      <c r="D32" t="inlineStr">
        <is>
          <t>10:00 م</t>
        </is>
      </c>
      <c r="W32" t="n">
        <v>31</v>
      </c>
      <c r="X32" t="str">
        <f>$J$4</f>
        <v>مجموعة 3</v>
      </c>
      <c r="Y32" t="str">
        <f>IF('مجموعة 3'!$B5="","",'مجموعة 3'!$B5)</f>
        <v/>
      </c>
      <c r="Z32" t="str">
        <f>IF('مجموعة 3'!$C5="","",'مجموعة 3'!$C5)</f>
        <v/>
      </c>
      <c r="AA32" t="str">
        <f>IF($Y32="","",'مجموعة 3'!$D5)</f>
        <v/>
      </c>
      <c r="AB32">
        <f>IF(AND($Y32&lt;&gt;"",ISNUMBER($AA32),$AA32&gt;='الرئيسية'!$H$27),1,0)</f>
        <v>0</v>
      </c>
      <c r="AC32">
        <f>$AC31+$AB32</f>
        <v>0</v>
      </c>
      <c r="AD32" t="str">
        <f>IF(OR($Y32="",'مجموعة 3'!$F5="تمام",'مجموعة 3'!$F5="-"),"",'مجموعة 3'!$F5)</f>
        <v/>
      </c>
      <c r="AE32">
        <f>IF($AD32&lt;&gt;"",1,0)</f>
        <v>0</v>
      </c>
      <c r="AF32">
        <f>$AF31+$AE32</f>
        <v>0</v>
      </c>
      <c r="AG32">
        <f>IF($Y32&lt;&gt;"",1,0)</f>
        <v>0</v>
      </c>
    </row>
    <row r="33">
      <c r="D33" t="inlineStr">
        <is>
          <t>10:30 م</t>
        </is>
      </c>
      <c r="W33" t="n">
        <v>32</v>
      </c>
      <c r="X33" t="str">
        <f>$J$4</f>
        <v>مجموعة 3</v>
      </c>
      <c r="Y33" t="str">
        <f>IF('مجموعة 3'!$B6="","",'مجموعة 3'!$B6)</f>
        <v/>
      </c>
      <c r="Z33" t="str">
        <f>IF('مجموعة 3'!$C6="","",'مجموعة 3'!$C6)</f>
        <v/>
      </c>
      <c r="AA33" t="str">
        <f>IF($Y33="","",'مجموعة 3'!$D6)</f>
        <v/>
      </c>
      <c r="AB33">
        <f>IF(AND($Y33&lt;&gt;"",ISNUMBER($AA33),$AA33&gt;='الرئيسية'!$H$27),1,0)</f>
        <v>0</v>
      </c>
      <c r="AC33">
        <f>$AC32+$AB33</f>
        <v>0</v>
      </c>
      <c r="AD33" t="str">
        <f>IF(OR($Y33="",'مجموعة 3'!$F6="تمام",'مجموعة 3'!$F6="-"),"",'مجموعة 3'!$F6)</f>
        <v/>
      </c>
      <c r="AE33">
        <f>IF($AD33&lt;&gt;"",1,0)</f>
        <v>0</v>
      </c>
      <c r="AF33">
        <f>$AF32+$AE33</f>
        <v>0</v>
      </c>
      <c r="AG33">
        <f>IF($Y33&lt;&gt;"",1,0)</f>
        <v>0</v>
      </c>
    </row>
    <row r="34">
      <c r="D34" t="inlineStr">
        <is>
          <t>11:00 م</t>
        </is>
      </c>
      <c r="W34" t="n">
        <v>33</v>
      </c>
      <c r="X34" t="str">
        <f>$J$4</f>
        <v>مجموعة 3</v>
      </c>
      <c r="Y34" t="str">
        <f>IF('مجموعة 3'!$B7="","",'مجموعة 3'!$B7)</f>
        <v/>
      </c>
      <c r="Z34" t="str">
        <f>IF('مجموعة 3'!$C7="","",'مجموعة 3'!$C7)</f>
        <v/>
      </c>
      <c r="AA34" t="str">
        <f>IF($Y34="","",'مجموعة 3'!$D7)</f>
        <v/>
      </c>
      <c r="AB34">
        <f>IF(AND($Y34&lt;&gt;"",ISNUMBER($AA34),$AA34&gt;='الرئيسية'!$H$27),1,0)</f>
        <v>0</v>
      </c>
      <c r="AC34">
        <f>$AC33+$AB34</f>
        <v>0</v>
      </c>
      <c r="AD34" t="str">
        <f>IF(OR($Y34="",'مجموعة 3'!$F7="تمام",'مجموعة 3'!$F7="-"),"",'مجموعة 3'!$F7)</f>
        <v/>
      </c>
      <c r="AE34">
        <f>IF($AD34&lt;&gt;"",1,0)</f>
        <v>0</v>
      </c>
      <c r="AF34">
        <f>$AF33+$AE34</f>
        <v>0</v>
      </c>
      <c r="AG34">
        <f>IF($Y34&lt;&gt;"",1,0)</f>
        <v>0</v>
      </c>
    </row>
    <row r="35">
      <c r="D35" t="inlineStr">
        <is>
          <t>11:30 م</t>
        </is>
      </c>
      <c r="W35" t="n">
        <v>34</v>
      </c>
      <c r="X35" t="str">
        <f>$J$4</f>
        <v>مجموعة 3</v>
      </c>
      <c r="Y35" t="str">
        <f>IF('مجموعة 3'!$B8="","",'مجموعة 3'!$B8)</f>
        <v/>
      </c>
      <c r="Z35" t="str">
        <f>IF('مجموعة 3'!$C8="","",'مجموعة 3'!$C8)</f>
        <v/>
      </c>
      <c r="AA35" t="str">
        <f>IF($Y35="","",'مجموعة 3'!$D8)</f>
        <v/>
      </c>
      <c r="AB35">
        <f>IF(AND($Y35&lt;&gt;"",ISNUMBER($AA35),$AA35&gt;='الرئيسية'!$H$27),1,0)</f>
        <v>0</v>
      </c>
      <c r="AC35">
        <f>$AC34+$AB35</f>
        <v>0</v>
      </c>
      <c r="AD35" t="str">
        <f>IF(OR($Y35="",'مجموعة 3'!$F8="تمام",'مجموعة 3'!$F8="-"),"",'مجموعة 3'!$F8)</f>
        <v/>
      </c>
      <c r="AE35">
        <f>IF($AD35&lt;&gt;"",1,0)</f>
        <v>0</v>
      </c>
      <c r="AF35">
        <f>$AF34+$AE35</f>
        <v>0</v>
      </c>
      <c r="AG35">
        <f>IF($Y35&lt;&gt;"",1,0)</f>
        <v>0</v>
      </c>
    </row>
    <row r="36">
      <c r="W36" t="n">
        <v>35</v>
      </c>
      <c r="X36" t="str">
        <f>$J$4</f>
        <v>مجموعة 3</v>
      </c>
      <c r="Y36" t="str">
        <f>IF('مجموعة 3'!$B9="","",'مجموعة 3'!$B9)</f>
        <v/>
      </c>
      <c r="Z36" t="str">
        <f>IF('مجموعة 3'!$C9="","",'مجموعة 3'!$C9)</f>
        <v/>
      </c>
      <c r="AA36" t="str">
        <f>IF($Y36="","",'مجموعة 3'!$D9)</f>
        <v/>
      </c>
      <c r="AB36">
        <f>IF(AND($Y36&lt;&gt;"",ISNUMBER($AA36),$AA36&gt;='الرئيسية'!$H$27),1,0)</f>
        <v>0</v>
      </c>
      <c r="AC36">
        <f>$AC35+$AB36</f>
        <v>0</v>
      </c>
      <c r="AD36" t="str">
        <f>IF(OR($Y36="",'مجموعة 3'!$F9="تمام",'مجموعة 3'!$F9="-"),"",'مجموعة 3'!$F9)</f>
        <v/>
      </c>
      <c r="AE36">
        <f>IF($AD36&lt;&gt;"",1,0)</f>
        <v>0</v>
      </c>
      <c r="AF36">
        <f>$AF35+$AE36</f>
        <v>0</v>
      </c>
      <c r="AG36">
        <f>IF($Y36&lt;&gt;"",1,0)</f>
        <v>0</v>
      </c>
    </row>
    <row r="37">
      <c r="W37" t="n">
        <v>36</v>
      </c>
      <c r="X37" t="str">
        <f>$J$4</f>
        <v>مجموعة 3</v>
      </c>
      <c r="Y37" t="str">
        <f>IF('مجموعة 3'!$B10="","",'مجموعة 3'!$B10)</f>
        <v/>
      </c>
      <c r="Z37" t="str">
        <f>IF('مجموعة 3'!$C10="","",'مجموعة 3'!$C10)</f>
        <v/>
      </c>
      <c r="AA37" t="str">
        <f>IF($Y37="","",'مجموعة 3'!$D10)</f>
        <v/>
      </c>
      <c r="AB37">
        <f>IF(AND($Y37&lt;&gt;"",ISNUMBER($AA37),$AA37&gt;='الرئيسية'!$H$27),1,0)</f>
        <v>0</v>
      </c>
      <c r="AC37">
        <f>$AC36+$AB37</f>
        <v>0</v>
      </c>
      <c r="AD37" t="str">
        <f>IF(OR($Y37="",'مجموعة 3'!$F10="تمام",'مجموعة 3'!$F10="-"),"",'مجموعة 3'!$F10)</f>
        <v/>
      </c>
      <c r="AE37">
        <f>IF($AD37&lt;&gt;"",1,0)</f>
        <v>0</v>
      </c>
      <c r="AF37">
        <f>$AF36+$AE37</f>
        <v>0</v>
      </c>
      <c r="AG37">
        <f>IF($Y37&lt;&gt;"",1,0)</f>
        <v>0</v>
      </c>
    </row>
    <row r="38">
      <c r="W38" t="n">
        <v>37</v>
      </c>
      <c r="X38" t="str">
        <f>$J$4</f>
        <v>مجموعة 3</v>
      </c>
      <c r="Y38" t="str">
        <f>IF('مجموعة 3'!$B11="","",'مجموعة 3'!$B11)</f>
        <v/>
      </c>
      <c r="Z38" t="str">
        <f>IF('مجموعة 3'!$C11="","",'مجموعة 3'!$C11)</f>
        <v/>
      </c>
      <c r="AA38" t="str">
        <f>IF($Y38="","",'مجموعة 3'!$D11)</f>
        <v/>
      </c>
      <c r="AB38">
        <f>IF(AND($Y38&lt;&gt;"",ISNUMBER($AA38),$AA38&gt;='الرئيسية'!$H$27),1,0)</f>
        <v>0</v>
      </c>
      <c r="AC38">
        <f>$AC37+$AB38</f>
        <v>0</v>
      </c>
      <c r="AD38" t="str">
        <f>IF(OR($Y38="",'مجموعة 3'!$F11="تمام",'مجموعة 3'!$F11="-"),"",'مجموعة 3'!$F11)</f>
        <v/>
      </c>
      <c r="AE38">
        <f>IF($AD38&lt;&gt;"",1,0)</f>
        <v>0</v>
      </c>
      <c r="AF38">
        <f>$AF37+$AE38</f>
        <v>0</v>
      </c>
      <c r="AG38">
        <f>IF($Y38&lt;&gt;"",1,0)</f>
        <v>0</v>
      </c>
    </row>
    <row r="39">
      <c r="W39" t="n">
        <v>38</v>
      </c>
      <c r="X39" t="str">
        <f>$J$4</f>
        <v>مجموعة 3</v>
      </c>
      <c r="Y39" t="str">
        <f>IF('مجموعة 3'!$B12="","",'مجموعة 3'!$B12)</f>
        <v/>
      </c>
      <c r="Z39" t="str">
        <f>IF('مجموعة 3'!$C12="","",'مجموعة 3'!$C12)</f>
        <v/>
      </c>
      <c r="AA39" t="str">
        <f>IF($Y39="","",'مجموعة 3'!$D12)</f>
        <v/>
      </c>
      <c r="AB39">
        <f>IF(AND($Y39&lt;&gt;"",ISNUMBER($AA39),$AA39&gt;='الرئيسية'!$H$27),1,0)</f>
        <v>0</v>
      </c>
      <c r="AC39">
        <f>$AC38+$AB39</f>
        <v>0</v>
      </c>
      <c r="AD39" t="str">
        <f>IF(OR($Y39="",'مجموعة 3'!$F12="تمام",'مجموعة 3'!$F12="-"),"",'مجموعة 3'!$F12)</f>
        <v/>
      </c>
      <c r="AE39">
        <f>IF($AD39&lt;&gt;"",1,0)</f>
        <v>0</v>
      </c>
      <c r="AF39">
        <f>$AF38+$AE39</f>
        <v>0</v>
      </c>
      <c r="AG39">
        <f>IF($Y39&lt;&gt;"",1,0)</f>
        <v>0</v>
      </c>
    </row>
    <row r="40">
      <c r="W40" t="n">
        <v>39</v>
      </c>
      <c r="X40" t="str">
        <f>$J$4</f>
        <v>مجموعة 3</v>
      </c>
      <c r="Y40" t="str">
        <f>IF('مجموعة 3'!$B13="","",'مجموعة 3'!$B13)</f>
        <v/>
      </c>
      <c r="Z40" t="str">
        <f>IF('مجموعة 3'!$C13="","",'مجموعة 3'!$C13)</f>
        <v/>
      </c>
      <c r="AA40" t="str">
        <f>IF($Y40="","",'مجموعة 3'!$D13)</f>
        <v/>
      </c>
      <c r="AB40">
        <f>IF(AND($Y40&lt;&gt;"",ISNUMBER($AA40),$AA40&gt;='الرئيسية'!$H$27),1,0)</f>
        <v>0</v>
      </c>
      <c r="AC40">
        <f>$AC39+$AB40</f>
        <v>0</v>
      </c>
      <c r="AD40" t="str">
        <f>IF(OR($Y40="",'مجموعة 3'!$F13="تمام",'مجموعة 3'!$F13="-"),"",'مجموعة 3'!$F13)</f>
        <v/>
      </c>
      <c r="AE40">
        <f>IF($AD40&lt;&gt;"",1,0)</f>
        <v>0</v>
      </c>
      <c r="AF40">
        <f>$AF39+$AE40</f>
        <v>0</v>
      </c>
      <c r="AG40">
        <f>IF($Y40&lt;&gt;"",1,0)</f>
        <v>0</v>
      </c>
    </row>
    <row r="41">
      <c r="W41" t="n">
        <v>40</v>
      </c>
      <c r="X41" t="str">
        <f>$J$4</f>
        <v>مجموعة 3</v>
      </c>
      <c r="Y41" t="str">
        <f>IF('مجموعة 3'!$B14="","",'مجموعة 3'!$B14)</f>
        <v/>
      </c>
      <c r="Z41" t="str">
        <f>IF('مجموعة 3'!$C14="","",'مجموعة 3'!$C14)</f>
        <v/>
      </c>
      <c r="AA41" t="str">
        <f>IF($Y41="","",'مجموعة 3'!$D14)</f>
        <v/>
      </c>
      <c r="AB41">
        <f>IF(AND($Y41&lt;&gt;"",ISNUMBER($AA41),$AA41&gt;='الرئيسية'!$H$27),1,0)</f>
        <v>0</v>
      </c>
      <c r="AC41">
        <f>$AC40+$AB41</f>
        <v>0</v>
      </c>
      <c r="AD41" t="str">
        <f>IF(OR($Y41="",'مجموعة 3'!$F14="تمام",'مجموعة 3'!$F14="-"),"",'مجموعة 3'!$F14)</f>
        <v/>
      </c>
      <c r="AE41">
        <f>IF($AD41&lt;&gt;"",1,0)</f>
        <v>0</v>
      </c>
      <c r="AF41">
        <f>$AF40+$AE41</f>
        <v>0</v>
      </c>
      <c r="AG41">
        <f>IF($Y41&lt;&gt;"",1,0)</f>
        <v>0</v>
      </c>
    </row>
    <row r="42">
      <c r="W42" t="n">
        <v>41</v>
      </c>
      <c r="X42" t="str">
        <f>$J$4</f>
        <v>مجموعة 3</v>
      </c>
      <c r="Y42" t="str">
        <f>IF('مجموعة 3'!$B15="","",'مجموعة 3'!$B15)</f>
        <v/>
      </c>
      <c r="Z42" t="str">
        <f>IF('مجموعة 3'!$C15="","",'مجموعة 3'!$C15)</f>
        <v/>
      </c>
      <c r="AA42" t="str">
        <f>IF($Y42="","",'مجموعة 3'!$D15)</f>
        <v/>
      </c>
      <c r="AB42">
        <f>IF(AND($Y42&lt;&gt;"",ISNUMBER($AA42),$AA42&gt;='الرئيسية'!$H$27),1,0)</f>
        <v>0</v>
      </c>
      <c r="AC42">
        <f>$AC41+$AB42</f>
        <v>0</v>
      </c>
      <c r="AD42" t="str">
        <f>IF(OR($Y42="",'مجموعة 3'!$F15="تمام",'مجموعة 3'!$F15="-"),"",'مجموعة 3'!$F15)</f>
        <v/>
      </c>
      <c r="AE42">
        <f>IF($AD42&lt;&gt;"",1,0)</f>
        <v>0</v>
      </c>
      <c r="AF42">
        <f>$AF41+$AE42</f>
        <v>0</v>
      </c>
      <c r="AG42">
        <f>IF($Y42&lt;&gt;"",1,0)</f>
        <v>0</v>
      </c>
    </row>
    <row r="43">
      <c r="W43" t="n">
        <v>42</v>
      </c>
      <c r="X43" t="str">
        <f>$J$4</f>
        <v>مجموعة 3</v>
      </c>
      <c r="Y43" t="str">
        <f>IF('مجموعة 3'!$B16="","",'مجموعة 3'!$B16)</f>
        <v/>
      </c>
      <c r="Z43" t="str">
        <f>IF('مجموعة 3'!$C16="","",'مجموعة 3'!$C16)</f>
        <v/>
      </c>
      <c r="AA43" t="str">
        <f>IF($Y43="","",'مجموعة 3'!$D16)</f>
        <v/>
      </c>
      <c r="AB43">
        <f>IF(AND($Y43&lt;&gt;"",ISNUMBER($AA43),$AA43&gt;='الرئيسية'!$H$27),1,0)</f>
        <v>0</v>
      </c>
      <c r="AC43">
        <f>$AC42+$AB43</f>
        <v>0</v>
      </c>
      <c r="AD43" t="str">
        <f>IF(OR($Y43="",'مجموعة 3'!$F16="تمام",'مجموعة 3'!$F16="-"),"",'مجموعة 3'!$F16)</f>
        <v/>
      </c>
      <c r="AE43">
        <f>IF($AD43&lt;&gt;"",1,0)</f>
        <v>0</v>
      </c>
      <c r="AF43">
        <f>$AF42+$AE43</f>
        <v>0</v>
      </c>
      <c r="AG43">
        <f>IF($Y43&lt;&gt;"",1,0)</f>
        <v>0</v>
      </c>
    </row>
    <row r="44">
      <c r="W44" t="n">
        <v>43</v>
      </c>
      <c r="X44" t="str">
        <f>$J$4</f>
        <v>مجموعة 3</v>
      </c>
      <c r="Y44" t="str">
        <f>IF('مجموعة 3'!$B17="","",'مجموعة 3'!$B17)</f>
        <v/>
      </c>
      <c r="Z44" t="str">
        <f>IF('مجموعة 3'!$C17="","",'مجموعة 3'!$C17)</f>
        <v/>
      </c>
      <c r="AA44" t="str">
        <f>IF($Y44="","",'مجموعة 3'!$D17)</f>
        <v/>
      </c>
      <c r="AB44">
        <f>IF(AND($Y44&lt;&gt;"",ISNUMBER($AA44),$AA44&gt;='الرئيسية'!$H$27),1,0)</f>
        <v>0</v>
      </c>
      <c r="AC44">
        <f>$AC43+$AB44</f>
        <v>0</v>
      </c>
      <c r="AD44" t="str">
        <f>IF(OR($Y44="",'مجموعة 3'!$F17="تمام",'مجموعة 3'!$F17="-"),"",'مجموعة 3'!$F17)</f>
        <v/>
      </c>
      <c r="AE44">
        <f>IF($AD44&lt;&gt;"",1,0)</f>
        <v>0</v>
      </c>
      <c r="AF44">
        <f>$AF43+$AE44</f>
        <v>0</v>
      </c>
      <c r="AG44">
        <f>IF($Y44&lt;&gt;"",1,0)</f>
        <v>0</v>
      </c>
    </row>
    <row r="45">
      <c r="W45" t="n">
        <v>44</v>
      </c>
      <c r="X45" t="str">
        <f>$J$4</f>
        <v>مجموعة 3</v>
      </c>
      <c r="Y45" t="str">
        <f>IF('مجموعة 3'!$B18="","",'مجموعة 3'!$B18)</f>
        <v/>
      </c>
      <c r="Z45" t="str">
        <f>IF('مجموعة 3'!$C18="","",'مجموعة 3'!$C18)</f>
        <v/>
      </c>
      <c r="AA45" t="str">
        <f>IF($Y45="","",'مجموعة 3'!$D18)</f>
        <v/>
      </c>
      <c r="AB45">
        <f>IF(AND($Y45&lt;&gt;"",ISNUMBER($AA45),$AA45&gt;='الرئيسية'!$H$27),1,0)</f>
        <v>0</v>
      </c>
      <c r="AC45">
        <f>$AC44+$AB45</f>
        <v>0</v>
      </c>
      <c r="AD45" t="str">
        <f>IF(OR($Y45="",'مجموعة 3'!$F18="تمام",'مجموعة 3'!$F18="-"),"",'مجموعة 3'!$F18)</f>
        <v/>
      </c>
      <c r="AE45">
        <f>IF($AD45&lt;&gt;"",1,0)</f>
        <v>0</v>
      </c>
      <c r="AF45">
        <f>$AF44+$AE45</f>
        <v>0</v>
      </c>
      <c r="AG45">
        <f>IF($Y45&lt;&gt;"",1,0)</f>
        <v>0</v>
      </c>
    </row>
    <row r="46">
      <c r="W46" t="n">
        <v>45</v>
      </c>
      <c r="X46" t="str">
        <f>$J$4</f>
        <v>مجموعة 3</v>
      </c>
      <c r="Y46" t="str">
        <f>IF('مجموعة 3'!$B19="","",'مجموعة 3'!$B19)</f>
        <v/>
      </c>
      <c r="Z46" t="str">
        <f>IF('مجموعة 3'!$C19="","",'مجموعة 3'!$C19)</f>
        <v/>
      </c>
      <c r="AA46" t="str">
        <f>IF($Y46="","",'مجموعة 3'!$D19)</f>
        <v/>
      </c>
      <c r="AB46">
        <f>IF(AND($Y46&lt;&gt;"",ISNUMBER($AA46),$AA46&gt;='الرئيسية'!$H$27),1,0)</f>
        <v>0</v>
      </c>
      <c r="AC46">
        <f>$AC45+$AB46</f>
        <v>0</v>
      </c>
      <c r="AD46" t="str">
        <f>IF(OR($Y46="",'مجموعة 3'!$F19="تمام",'مجموعة 3'!$F19="-"),"",'مجموعة 3'!$F19)</f>
        <v/>
      </c>
      <c r="AE46">
        <f>IF($AD46&lt;&gt;"",1,0)</f>
        <v>0</v>
      </c>
      <c r="AF46">
        <f>$AF45+$AE46</f>
        <v>0</v>
      </c>
      <c r="AG46">
        <f>IF($Y46&lt;&gt;"",1,0)</f>
        <v>0</v>
      </c>
    </row>
    <row r="47">
      <c r="W47" t="n">
        <v>46</v>
      </c>
      <c r="X47" t="str">
        <f>$J$5</f>
        <v>مجموعة 4</v>
      </c>
      <c r="Y47" t="str">
        <f>IF('مجموعة 4'!$B5="","",'مجموعة 4'!$B5)</f>
        <v/>
      </c>
      <c r="Z47" t="str">
        <f>IF('مجموعة 4'!$C5="","",'مجموعة 4'!$C5)</f>
        <v/>
      </c>
      <c r="AA47" t="str">
        <f>IF($Y47="","",'مجموعة 4'!$D5)</f>
        <v/>
      </c>
      <c r="AB47">
        <f>IF(AND($Y47&lt;&gt;"",ISNUMBER($AA47),$AA47&gt;='الرئيسية'!$H$27),1,0)</f>
        <v>0</v>
      </c>
      <c r="AC47">
        <f>$AC46+$AB47</f>
        <v>0</v>
      </c>
      <c r="AD47" t="str">
        <f>IF(OR($Y47="",'مجموعة 4'!$F5="تمام",'مجموعة 4'!$F5="-"),"",'مجموعة 4'!$F5)</f>
        <v/>
      </c>
      <c r="AE47">
        <f>IF($AD47&lt;&gt;"",1,0)</f>
        <v>0</v>
      </c>
      <c r="AF47">
        <f>$AF46+$AE47</f>
        <v>0</v>
      </c>
      <c r="AG47">
        <f>IF($Y47&lt;&gt;"",1,0)</f>
        <v>0</v>
      </c>
    </row>
    <row r="48">
      <c r="W48" t="n">
        <v>47</v>
      </c>
      <c r="X48" t="str">
        <f>$J$5</f>
        <v>مجموعة 4</v>
      </c>
      <c r="Y48" t="str">
        <f>IF('مجموعة 4'!$B6="","",'مجموعة 4'!$B6)</f>
        <v/>
      </c>
      <c r="Z48" t="str">
        <f>IF('مجموعة 4'!$C6="","",'مجموعة 4'!$C6)</f>
        <v/>
      </c>
      <c r="AA48" t="str">
        <f>IF($Y48="","",'مجموعة 4'!$D6)</f>
        <v/>
      </c>
      <c r="AB48">
        <f>IF(AND($Y48&lt;&gt;"",ISNUMBER($AA48),$AA48&gt;='الرئيسية'!$H$27),1,0)</f>
        <v>0</v>
      </c>
      <c r="AC48">
        <f>$AC47+$AB48</f>
        <v>0</v>
      </c>
      <c r="AD48" t="str">
        <f>IF(OR($Y48="",'مجموعة 4'!$F6="تمام",'مجموعة 4'!$F6="-"),"",'مجموعة 4'!$F6)</f>
        <v/>
      </c>
      <c r="AE48">
        <f>IF($AD48&lt;&gt;"",1,0)</f>
        <v>0</v>
      </c>
      <c r="AF48">
        <f>$AF47+$AE48</f>
        <v>0</v>
      </c>
      <c r="AG48">
        <f>IF($Y48&lt;&gt;"",1,0)</f>
        <v>0</v>
      </c>
    </row>
    <row r="49">
      <c r="W49" t="n">
        <v>48</v>
      </c>
      <c r="X49" t="str">
        <f>$J$5</f>
        <v>مجموعة 4</v>
      </c>
      <c r="Y49" t="str">
        <f>IF('مجموعة 4'!$B7="","",'مجموعة 4'!$B7)</f>
        <v/>
      </c>
      <c r="Z49" t="str">
        <f>IF('مجموعة 4'!$C7="","",'مجموعة 4'!$C7)</f>
        <v/>
      </c>
      <c r="AA49" t="str">
        <f>IF($Y49="","",'مجموعة 4'!$D7)</f>
        <v/>
      </c>
      <c r="AB49">
        <f>IF(AND($Y49&lt;&gt;"",ISNUMBER($AA49),$AA49&gt;='الرئيسية'!$H$27),1,0)</f>
        <v>0</v>
      </c>
      <c r="AC49">
        <f>$AC48+$AB49</f>
        <v>0</v>
      </c>
      <c r="AD49" t="str">
        <f>IF(OR($Y49="",'مجموعة 4'!$F7="تمام",'مجموعة 4'!$F7="-"),"",'مجموعة 4'!$F7)</f>
        <v/>
      </c>
      <c r="AE49">
        <f>IF($AD49&lt;&gt;"",1,0)</f>
        <v>0</v>
      </c>
      <c r="AF49">
        <f>$AF48+$AE49</f>
        <v>0</v>
      </c>
      <c r="AG49">
        <f>IF($Y49&lt;&gt;"",1,0)</f>
        <v>0</v>
      </c>
    </row>
    <row r="50">
      <c r="W50" t="n">
        <v>49</v>
      </c>
      <c r="X50" t="str">
        <f>$J$5</f>
        <v>مجموعة 4</v>
      </c>
      <c r="Y50" t="str">
        <f>IF('مجموعة 4'!$B8="","",'مجموعة 4'!$B8)</f>
        <v/>
      </c>
      <c r="Z50" t="str">
        <f>IF('مجموعة 4'!$C8="","",'مجموعة 4'!$C8)</f>
        <v/>
      </c>
      <c r="AA50" t="str">
        <f>IF($Y50="","",'مجموعة 4'!$D8)</f>
        <v/>
      </c>
      <c r="AB50">
        <f>IF(AND($Y50&lt;&gt;"",ISNUMBER($AA50),$AA50&gt;='الرئيسية'!$H$27),1,0)</f>
        <v>0</v>
      </c>
      <c r="AC50">
        <f>$AC49+$AB50</f>
        <v>0</v>
      </c>
      <c r="AD50" t="str">
        <f>IF(OR($Y50="",'مجموعة 4'!$F8="تمام",'مجموعة 4'!$F8="-"),"",'مجموعة 4'!$F8)</f>
        <v/>
      </c>
      <c r="AE50">
        <f>IF($AD50&lt;&gt;"",1,0)</f>
        <v>0</v>
      </c>
      <c r="AF50">
        <f>$AF49+$AE50</f>
        <v>0</v>
      </c>
      <c r="AG50">
        <f>IF($Y50&lt;&gt;"",1,0)</f>
        <v>0</v>
      </c>
    </row>
    <row r="51">
      <c r="W51" t="n">
        <v>50</v>
      </c>
      <c r="X51" t="str">
        <f>$J$5</f>
        <v>مجموعة 4</v>
      </c>
      <c r="Y51" t="str">
        <f>IF('مجموعة 4'!$B9="","",'مجموعة 4'!$B9)</f>
        <v/>
      </c>
      <c r="Z51" t="str">
        <f>IF('مجموعة 4'!$C9="","",'مجموعة 4'!$C9)</f>
        <v/>
      </c>
      <c r="AA51" t="str">
        <f>IF($Y51="","",'مجموعة 4'!$D9)</f>
        <v/>
      </c>
      <c r="AB51">
        <f>IF(AND($Y51&lt;&gt;"",ISNUMBER($AA51),$AA51&gt;='الرئيسية'!$H$27),1,0)</f>
        <v>0</v>
      </c>
      <c r="AC51">
        <f>$AC50+$AB51</f>
        <v>0</v>
      </c>
      <c r="AD51" t="str">
        <f>IF(OR($Y51="",'مجموعة 4'!$F9="تمام",'مجموعة 4'!$F9="-"),"",'مجموعة 4'!$F9)</f>
        <v/>
      </c>
      <c r="AE51">
        <f>IF($AD51&lt;&gt;"",1,0)</f>
        <v>0</v>
      </c>
      <c r="AF51">
        <f>$AF50+$AE51</f>
        <v>0</v>
      </c>
      <c r="AG51">
        <f>IF($Y51&lt;&gt;"",1,0)</f>
        <v>0</v>
      </c>
    </row>
    <row r="52">
      <c r="W52" t="n">
        <v>51</v>
      </c>
      <c r="X52" t="str">
        <f>$J$5</f>
        <v>مجموعة 4</v>
      </c>
      <c r="Y52" t="str">
        <f>IF('مجموعة 4'!$B10="","",'مجموعة 4'!$B10)</f>
        <v/>
      </c>
      <c r="Z52" t="str">
        <f>IF('مجموعة 4'!$C10="","",'مجموعة 4'!$C10)</f>
        <v/>
      </c>
      <c r="AA52" t="str">
        <f>IF($Y52="","",'مجموعة 4'!$D10)</f>
        <v/>
      </c>
      <c r="AB52">
        <f>IF(AND($Y52&lt;&gt;"",ISNUMBER($AA52),$AA52&gt;='الرئيسية'!$H$27),1,0)</f>
        <v>0</v>
      </c>
      <c r="AC52">
        <f>$AC51+$AB52</f>
        <v>0</v>
      </c>
      <c r="AD52" t="str">
        <f>IF(OR($Y52="",'مجموعة 4'!$F10="تمام",'مجموعة 4'!$F10="-"),"",'مجموعة 4'!$F10)</f>
        <v/>
      </c>
      <c r="AE52">
        <f>IF($AD52&lt;&gt;"",1,0)</f>
        <v>0</v>
      </c>
      <c r="AF52">
        <f>$AF51+$AE52</f>
        <v>0</v>
      </c>
      <c r="AG52">
        <f>IF($Y52&lt;&gt;"",1,0)</f>
        <v>0</v>
      </c>
    </row>
    <row r="53">
      <c r="W53" t="n">
        <v>52</v>
      </c>
      <c r="X53" t="str">
        <f>$J$5</f>
        <v>مجموعة 4</v>
      </c>
      <c r="Y53" t="str">
        <f>IF('مجموعة 4'!$B11="","",'مجموعة 4'!$B11)</f>
        <v/>
      </c>
      <c r="Z53" t="str">
        <f>IF('مجموعة 4'!$C11="","",'مجموعة 4'!$C11)</f>
        <v/>
      </c>
      <c r="AA53" t="str">
        <f>IF($Y53="","",'مجموعة 4'!$D11)</f>
        <v/>
      </c>
      <c r="AB53">
        <f>IF(AND($Y53&lt;&gt;"",ISNUMBER($AA53),$AA53&gt;='الرئيسية'!$H$27),1,0)</f>
        <v>0</v>
      </c>
      <c r="AC53">
        <f>$AC52+$AB53</f>
        <v>0</v>
      </c>
      <c r="AD53" t="str">
        <f>IF(OR($Y53="",'مجموعة 4'!$F11="تمام",'مجموعة 4'!$F11="-"),"",'مجموعة 4'!$F11)</f>
        <v/>
      </c>
      <c r="AE53">
        <f>IF($AD53&lt;&gt;"",1,0)</f>
        <v>0</v>
      </c>
      <c r="AF53">
        <f>$AF52+$AE53</f>
        <v>0</v>
      </c>
      <c r="AG53">
        <f>IF($Y53&lt;&gt;"",1,0)</f>
        <v>0</v>
      </c>
    </row>
    <row r="54">
      <c r="W54" t="n">
        <v>53</v>
      </c>
      <c r="X54" t="str">
        <f>$J$5</f>
        <v>مجموعة 4</v>
      </c>
      <c r="Y54" t="str">
        <f>IF('مجموعة 4'!$B12="","",'مجموعة 4'!$B12)</f>
        <v/>
      </c>
      <c r="Z54" t="str">
        <f>IF('مجموعة 4'!$C12="","",'مجموعة 4'!$C12)</f>
        <v/>
      </c>
      <c r="AA54" t="str">
        <f>IF($Y54="","",'مجموعة 4'!$D12)</f>
        <v/>
      </c>
      <c r="AB54">
        <f>IF(AND($Y54&lt;&gt;"",ISNUMBER($AA54),$AA54&gt;='الرئيسية'!$H$27),1,0)</f>
        <v>0</v>
      </c>
      <c r="AC54">
        <f>$AC53+$AB54</f>
        <v>0</v>
      </c>
      <c r="AD54" t="str">
        <f>IF(OR($Y54="",'مجموعة 4'!$F12="تمام",'مجموعة 4'!$F12="-"),"",'مجموعة 4'!$F12)</f>
        <v/>
      </c>
      <c r="AE54">
        <f>IF($AD54&lt;&gt;"",1,0)</f>
        <v>0</v>
      </c>
      <c r="AF54">
        <f>$AF53+$AE54</f>
        <v>0</v>
      </c>
      <c r="AG54">
        <f>IF($Y54&lt;&gt;"",1,0)</f>
        <v>0</v>
      </c>
    </row>
    <row r="55">
      <c r="W55" t="n">
        <v>54</v>
      </c>
      <c r="X55" t="str">
        <f>$J$5</f>
        <v>مجموعة 4</v>
      </c>
      <c r="Y55" t="str">
        <f>IF('مجموعة 4'!$B13="","",'مجموعة 4'!$B13)</f>
        <v/>
      </c>
      <c r="Z55" t="str">
        <f>IF('مجموعة 4'!$C13="","",'مجموعة 4'!$C13)</f>
        <v/>
      </c>
      <c r="AA55" t="str">
        <f>IF($Y55="","",'مجموعة 4'!$D13)</f>
        <v/>
      </c>
      <c r="AB55">
        <f>IF(AND($Y55&lt;&gt;"",ISNUMBER($AA55),$AA55&gt;='الرئيسية'!$H$27),1,0)</f>
        <v>0</v>
      </c>
      <c r="AC55">
        <f>$AC54+$AB55</f>
        <v>0</v>
      </c>
      <c r="AD55" t="str">
        <f>IF(OR($Y55="",'مجموعة 4'!$F13="تمام",'مجموعة 4'!$F13="-"),"",'مجموعة 4'!$F13)</f>
        <v/>
      </c>
      <c r="AE55">
        <f>IF($AD55&lt;&gt;"",1,0)</f>
        <v>0</v>
      </c>
      <c r="AF55">
        <f>$AF54+$AE55</f>
        <v>0</v>
      </c>
      <c r="AG55">
        <f>IF($Y55&lt;&gt;"",1,0)</f>
        <v>0</v>
      </c>
    </row>
    <row r="56">
      <c r="W56" t="n">
        <v>55</v>
      </c>
      <c r="X56" t="str">
        <f>$J$5</f>
        <v>مجموعة 4</v>
      </c>
      <c r="Y56" t="str">
        <f>IF('مجموعة 4'!$B14="","",'مجموعة 4'!$B14)</f>
        <v/>
      </c>
      <c r="Z56" t="str">
        <f>IF('مجموعة 4'!$C14="","",'مجموعة 4'!$C14)</f>
        <v/>
      </c>
      <c r="AA56" t="str">
        <f>IF($Y56="","",'مجموعة 4'!$D14)</f>
        <v/>
      </c>
      <c r="AB56">
        <f>IF(AND($Y56&lt;&gt;"",ISNUMBER($AA56),$AA56&gt;='الرئيسية'!$H$27),1,0)</f>
        <v>0</v>
      </c>
      <c r="AC56">
        <f>$AC55+$AB56</f>
        <v>0</v>
      </c>
      <c r="AD56" t="str">
        <f>IF(OR($Y56="",'مجموعة 4'!$F14="تمام",'مجموعة 4'!$F14="-"),"",'مجموعة 4'!$F14)</f>
        <v/>
      </c>
      <c r="AE56">
        <f>IF($AD56&lt;&gt;"",1,0)</f>
        <v>0</v>
      </c>
      <c r="AF56">
        <f>$AF55+$AE56</f>
        <v>0</v>
      </c>
      <c r="AG56">
        <f>IF($Y56&lt;&gt;"",1,0)</f>
        <v>0</v>
      </c>
    </row>
    <row r="57">
      <c r="W57" t="n">
        <v>56</v>
      </c>
      <c r="X57" t="str">
        <f>$J$5</f>
        <v>مجموعة 4</v>
      </c>
      <c r="Y57" t="str">
        <f>IF('مجموعة 4'!$B15="","",'مجموعة 4'!$B15)</f>
        <v/>
      </c>
      <c r="Z57" t="str">
        <f>IF('مجموعة 4'!$C15="","",'مجموعة 4'!$C15)</f>
        <v/>
      </c>
      <c r="AA57" t="str">
        <f>IF($Y57="","",'مجموعة 4'!$D15)</f>
        <v/>
      </c>
      <c r="AB57">
        <f>IF(AND($Y57&lt;&gt;"",ISNUMBER($AA57),$AA57&gt;='الرئيسية'!$H$27),1,0)</f>
        <v>0</v>
      </c>
      <c r="AC57">
        <f>$AC56+$AB57</f>
        <v>0</v>
      </c>
      <c r="AD57" t="str">
        <f>IF(OR($Y57="",'مجموعة 4'!$F15="تمام",'مجموعة 4'!$F15="-"),"",'مجموعة 4'!$F15)</f>
        <v/>
      </c>
      <c r="AE57">
        <f>IF($AD57&lt;&gt;"",1,0)</f>
        <v>0</v>
      </c>
      <c r="AF57">
        <f>$AF56+$AE57</f>
        <v>0</v>
      </c>
      <c r="AG57">
        <f>IF($Y57&lt;&gt;"",1,0)</f>
        <v>0</v>
      </c>
    </row>
    <row r="58">
      <c r="W58" t="n">
        <v>57</v>
      </c>
      <c r="X58" t="str">
        <f>$J$5</f>
        <v>مجموعة 4</v>
      </c>
      <c r="Y58" t="str">
        <f>IF('مجموعة 4'!$B16="","",'مجموعة 4'!$B16)</f>
        <v/>
      </c>
      <c r="Z58" t="str">
        <f>IF('مجموعة 4'!$C16="","",'مجموعة 4'!$C16)</f>
        <v/>
      </c>
      <c r="AA58" t="str">
        <f>IF($Y58="","",'مجموعة 4'!$D16)</f>
        <v/>
      </c>
      <c r="AB58">
        <f>IF(AND($Y58&lt;&gt;"",ISNUMBER($AA58),$AA58&gt;='الرئيسية'!$H$27),1,0)</f>
        <v>0</v>
      </c>
      <c r="AC58">
        <f>$AC57+$AB58</f>
        <v>0</v>
      </c>
      <c r="AD58" t="str">
        <f>IF(OR($Y58="",'مجموعة 4'!$F16="تمام",'مجموعة 4'!$F16="-"),"",'مجموعة 4'!$F16)</f>
        <v/>
      </c>
      <c r="AE58">
        <f>IF($AD58&lt;&gt;"",1,0)</f>
        <v>0</v>
      </c>
      <c r="AF58">
        <f>$AF57+$AE58</f>
        <v>0</v>
      </c>
      <c r="AG58">
        <f>IF($Y58&lt;&gt;"",1,0)</f>
        <v>0</v>
      </c>
    </row>
    <row r="59">
      <c r="W59" t="n">
        <v>58</v>
      </c>
      <c r="X59" t="str">
        <f>$J$5</f>
        <v>مجموعة 4</v>
      </c>
      <c r="Y59" t="str">
        <f>IF('مجموعة 4'!$B17="","",'مجموعة 4'!$B17)</f>
        <v/>
      </c>
      <c r="Z59" t="str">
        <f>IF('مجموعة 4'!$C17="","",'مجموعة 4'!$C17)</f>
        <v/>
      </c>
      <c r="AA59" t="str">
        <f>IF($Y59="","",'مجموعة 4'!$D17)</f>
        <v/>
      </c>
      <c r="AB59">
        <f>IF(AND($Y59&lt;&gt;"",ISNUMBER($AA59),$AA59&gt;='الرئيسية'!$H$27),1,0)</f>
        <v>0</v>
      </c>
      <c r="AC59">
        <f>$AC58+$AB59</f>
        <v>0</v>
      </c>
      <c r="AD59" t="str">
        <f>IF(OR($Y59="",'مجموعة 4'!$F17="تمام",'مجموعة 4'!$F17="-"),"",'مجموعة 4'!$F17)</f>
        <v/>
      </c>
      <c r="AE59">
        <f>IF($AD59&lt;&gt;"",1,0)</f>
        <v>0</v>
      </c>
      <c r="AF59">
        <f>$AF58+$AE59</f>
        <v>0</v>
      </c>
      <c r="AG59">
        <f>IF($Y59&lt;&gt;"",1,0)</f>
        <v>0</v>
      </c>
    </row>
    <row r="60">
      <c r="W60" t="n">
        <v>59</v>
      </c>
      <c r="X60" t="str">
        <f>$J$5</f>
        <v>مجموعة 4</v>
      </c>
      <c r="Y60" t="str">
        <f>IF('مجموعة 4'!$B18="","",'مجموعة 4'!$B18)</f>
        <v/>
      </c>
      <c r="Z60" t="str">
        <f>IF('مجموعة 4'!$C18="","",'مجموعة 4'!$C18)</f>
        <v/>
      </c>
      <c r="AA60" t="str">
        <f>IF($Y60="","",'مجموعة 4'!$D18)</f>
        <v/>
      </c>
      <c r="AB60">
        <f>IF(AND($Y60&lt;&gt;"",ISNUMBER($AA60),$AA60&gt;='الرئيسية'!$H$27),1,0)</f>
        <v>0</v>
      </c>
      <c r="AC60">
        <f>$AC59+$AB60</f>
        <v>0</v>
      </c>
      <c r="AD60" t="str">
        <f>IF(OR($Y60="",'مجموعة 4'!$F18="تمام",'مجموعة 4'!$F18="-"),"",'مجموعة 4'!$F18)</f>
        <v/>
      </c>
      <c r="AE60">
        <f>IF($AD60&lt;&gt;"",1,0)</f>
        <v>0</v>
      </c>
      <c r="AF60">
        <f>$AF59+$AE60</f>
        <v>0</v>
      </c>
      <c r="AG60">
        <f>IF($Y60&lt;&gt;"",1,0)</f>
        <v>0</v>
      </c>
    </row>
    <row r="61">
      <c r="W61" t="n">
        <v>60</v>
      </c>
      <c r="X61" t="str">
        <f>$J$5</f>
        <v>مجموعة 4</v>
      </c>
      <c r="Y61" t="str">
        <f>IF('مجموعة 4'!$B19="","",'مجموعة 4'!$B19)</f>
        <v/>
      </c>
      <c r="Z61" t="str">
        <f>IF('مجموعة 4'!$C19="","",'مجموعة 4'!$C19)</f>
        <v/>
      </c>
      <c r="AA61" t="str">
        <f>IF($Y61="","",'مجموعة 4'!$D19)</f>
        <v/>
      </c>
      <c r="AB61">
        <f>IF(AND($Y61&lt;&gt;"",ISNUMBER($AA61),$AA61&gt;='الرئيسية'!$H$27),1,0)</f>
        <v>0</v>
      </c>
      <c r="AC61">
        <f>$AC60+$AB61</f>
        <v>0</v>
      </c>
      <c r="AD61" t="str">
        <f>IF(OR($Y61="",'مجموعة 4'!$F19="تمام",'مجموعة 4'!$F19="-"),"",'مجموعة 4'!$F19)</f>
        <v/>
      </c>
      <c r="AE61">
        <f>IF($AD61&lt;&gt;"",1,0)</f>
        <v>0</v>
      </c>
      <c r="AF61">
        <f>$AF60+$AE61</f>
        <v>0</v>
      </c>
      <c r="AG61">
        <f>IF($Y61&lt;&gt;"",1,0)</f>
        <v>0</v>
      </c>
    </row>
    <row r="62">
      <c r="W62" t="n">
        <v>61</v>
      </c>
      <c r="X62" t="str">
        <f>$J$6</f>
        <v>مجموعة 5</v>
      </c>
      <c r="Y62" t="str">
        <f>IF('مجموعة 5'!$B5="","",'مجموعة 5'!$B5)</f>
        <v/>
      </c>
      <c r="Z62" t="str">
        <f>IF('مجموعة 5'!$C5="","",'مجموعة 5'!$C5)</f>
        <v/>
      </c>
      <c r="AA62" t="str">
        <f>IF($Y62="","",'مجموعة 5'!$D5)</f>
        <v/>
      </c>
      <c r="AB62">
        <f>IF(AND($Y62&lt;&gt;"",ISNUMBER($AA62),$AA62&gt;='الرئيسية'!$H$27),1,0)</f>
        <v>0</v>
      </c>
      <c r="AC62">
        <f>$AC61+$AB62</f>
        <v>0</v>
      </c>
      <c r="AD62" t="str">
        <f>IF(OR($Y62="",'مجموعة 5'!$F5="تمام",'مجموعة 5'!$F5="-"),"",'مجموعة 5'!$F5)</f>
        <v/>
      </c>
      <c r="AE62">
        <f>IF($AD62&lt;&gt;"",1,0)</f>
        <v>0</v>
      </c>
      <c r="AF62">
        <f>$AF61+$AE62</f>
        <v>0</v>
      </c>
      <c r="AG62">
        <f>IF($Y62&lt;&gt;"",1,0)</f>
        <v>0</v>
      </c>
    </row>
    <row r="63">
      <c r="W63" t="n">
        <v>62</v>
      </c>
      <c r="X63" t="str">
        <f>$J$6</f>
        <v>مجموعة 5</v>
      </c>
      <c r="Y63" t="str">
        <f>IF('مجموعة 5'!$B6="","",'مجموعة 5'!$B6)</f>
        <v/>
      </c>
      <c r="Z63" t="str">
        <f>IF('مجموعة 5'!$C6="","",'مجموعة 5'!$C6)</f>
        <v/>
      </c>
      <c r="AA63" t="str">
        <f>IF($Y63="","",'مجموعة 5'!$D6)</f>
        <v/>
      </c>
      <c r="AB63">
        <f>IF(AND($Y63&lt;&gt;"",ISNUMBER($AA63),$AA63&gt;='الرئيسية'!$H$27),1,0)</f>
        <v>0</v>
      </c>
      <c r="AC63">
        <f>$AC62+$AB63</f>
        <v>0</v>
      </c>
      <c r="AD63" t="str">
        <f>IF(OR($Y63="",'مجموعة 5'!$F6="تمام",'مجموعة 5'!$F6="-"),"",'مجموعة 5'!$F6)</f>
        <v/>
      </c>
      <c r="AE63">
        <f>IF($AD63&lt;&gt;"",1,0)</f>
        <v>0</v>
      </c>
      <c r="AF63">
        <f>$AF62+$AE63</f>
        <v>0</v>
      </c>
      <c r="AG63">
        <f>IF($Y63&lt;&gt;"",1,0)</f>
        <v>0</v>
      </c>
    </row>
    <row r="64">
      <c r="W64" t="n">
        <v>63</v>
      </c>
      <c r="X64" t="str">
        <f>$J$6</f>
        <v>مجموعة 5</v>
      </c>
      <c r="Y64" t="str">
        <f>IF('مجموعة 5'!$B7="","",'مجموعة 5'!$B7)</f>
        <v/>
      </c>
      <c r="Z64" t="str">
        <f>IF('مجموعة 5'!$C7="","",'مجموعة 5'!$C7)</f>
        <v/>
      </c>
      <c r="AA64" t="str">
        <f>IF($Y64="","",'مجموعة 5'!$D7)</f>
        <v/>
      </c>
      <c r="AB64">
        <f>IF(AND($Y64&lt;&gt;"",ISNUMBER($AA64),$AA64&gt;='الرئيسية'!$H$27),1,0)</f>
        <v>0</v>
      </c>
      <c r="AC64">
        <f>$AC63+$AB64</f>
        <v>0</v>
      </c>
      <c r="AD64" t="str">
        <f>IF(OR($Y64="",'مجموعة 5'!$F7="تمام",'مجموعة 5'!$F7="-"),"",'مجموعة 5'!$F7)</f>
        <v/>
      </c>
      <c r="AE64">
        <f>IF($AD64&lt;&gt;"",1,0)</f>
        <v>0</v>
      </c>
      <c r="AF64">
        <f>$AF63+$AE64</f>
        <v>0</v>
      </c>
      <c r="AG64">
        <f>IF($Y64&lt;&gt;"",1,0)</f>
        <v>0</v>
      </c>
    </row>
    <row r="65">
      <c r="W65" t="n">
        <v>64</v>
      </c>
      <c r="X65" t="str">
        <f>$J$6</f>
        <v>مجموعة 5</v>
      </c>
      <c r="Y65" t="str">
        <f>IF('مجموعة 5'!$B8="","",'مجموعة 5'!$B8)</f>
        <v/>
      </c>
      <c r="Z65" t="str">
        <f>IF('مجموعة 5'!$C8="","",'مجموعة 5'!$C8)</f>
        <v/>
      </c>
      <c r="AA65" t="str">
        <f>IF($Y65="","",'مجموعة 5'!$D8)</f>
        <v/>
      </c>
      <c r="AB65">
        <f>IF(AND($Y65&lt;&gt;"",ISNUMBER($AA65),$AA65&gt;='الرئيسية'!$H$27),1,0)</f>
        <v>0</v>
      </c>
      <c r="AC65">
        <f>$AC64+$AB65</f>
        <v>0</v>
      </c>
      <c r="AD65" t="str">
        <f>IF(OR($Y65="",'مجموعة 5'!$F8="تمام",'مجموعة 5'!$F8="-"),"",'مجموعة 5'!$F8)</f>
        <v/>
      </c>
      <c r="AE65">
        <f>IF($AD65&lt;&gt;"",1,0)</f>
        <v>0</v>
      </c>
      <c r="AF65">
        <f>$AF64+$AE65</f>
        <v>0</v>
      </c>
      <c r="AG65">
        <f>IF($Y65&lt;&gt;"",1,0)</f>
        <v>0</v>
      </c>
    </row>
    <row r="66">
      <c r="W66" t="n">
        <v>65</v>
      </c>
      <c r="X66" t="str">
        <f>$J$6</f>
        <v>مجموعة 5</v>
      </c>
      <c r="Y66" t="str">
        <f>IF('مجموعة 5'!$B9="","",'مجموعة 5'!$B9)</f>
        <v/>
      </c>
      <c r="Z66" t="str">
        <f>IF('مجموعة 5'!$C9="","",'مجموعة 5'!$C9)</f>
        <v/>
      </c>
      <c r="AA66" t="str">
        <f>IF($Y66="","",'مجموعة 5'!$D9)</f>
        <v/>
      </c>
      <c r="AB66">
        <f>IF(AND($Y66&lt;&gt;"",ISNUMBER($AA66),$AA66&gt;='الرئيسية'!$H$27),1,0)</f>
        <v>0</v>
      </c>
      <c r="AC66">
        <f>$AC65+$AB66</f>
        <v>0</v>
      </c>
      <c r="AD66" t="str">
        <f>IF(OR($Y66="",'مجموعة 5'!$F9="تمام",'مجموعة 5'!$F9="-"),"",'مجموعة 5'!$F9)</f>
        <v/>
      </c>
      <c r="AE66">
        <f>IF($AD66&lt;&gt;"",1,0)</f>
        <v>0</v>
      </c>
      <c r="AF66">
        <f>$AF65+$AE66</f>
        <v>0</v>
      </c>
      <c r="AG66">
        <f>IF($Y66&lt;&gt;"",1,0)</f>
        <v>0</v>
      </c>
    </row>
    <row r="67">
      <c r="W67" t="n">
        <v>66</v>
      </c>
      <c r="X67" t="str">
        <f>$J$6</f>
        <v>مجموعة 5</v>
      </c>
      <c r="Y67" t="str">
        <f>IF('مجموعة 5'!$B10="","",'مجموعة 5'!$B10)</f>
        <v/>
      </c>
      <c r="Z67" t="str">
        <f>IF('مجموعة 5'!$C10="","",'مجموعة 5'!$C10)</f>
        <v/>
      </c>
      <c r="AA67" t="str">
        <f>IF($Y67="","",'مجموعة 5'!$D10)</f>
        <v/>
      </c>
      <c r="AB67">
        <f>IF(AND($Y67&lt;&gt;"",ISNUMBER($AA67),$AA67&gt;='الرئيسية'!$H$27),1,0)</f>
        <v>0</v>
      </c>
      <c r="AC67">
        <f>$AC66+$AB67</f>
        <v>0</v>
      </c>
      <c r="AD67" t="str">
        <f>IF(OR($Y67="",'مجموعة 5'!$F10="تمام",'مجموعة 5'!$F10="-"),"",'مجموعة 5'!$F10)</f>
        <v/>
      </c>
      <c r="AE67">
        <f>IF($AD67&lt;&gt;"",1,0)</f>
        <v>0</v>
      </c>
      <c r="AF67">
        <f>$AF66+$AE67</f>
        <v>0</v>
      </c>
      <c r="AG67">
        <f>IF($Y67&lt;&gt;"",1,0)</f>
        <v>0</v>
      </c>
    </row>
    <row r="68">
      <c r="W68" t="n">
        <v>67</v>
      </c>
      <c r="X68" t="str">
        <f>$J$6</f>
        <v>مجموعة 5</v>
      </c>
      <c r="Y68" t="str">
        <f>IF('مجموعة 5'!$B11="","",'مجموعة 5'!$B11)</f>
        <v/>
      </c>
      <c r="Z68" t="str">
        <f>IF('مجموعة 5'!$C11="","",'مجموعة 5'!$C11)</f>
        <v/>
      </c>
      <c r="AA68" t="str">
        <f>IF($Y68="","",'مجموعة 5'!$D11)</f>
        <v/>
      </c>
      <c r="AB68">
        <f>IF(AND($Y68&lt;&gt;"",ISNUMBER($AA68),$AA68&gt;='الرئيسية'!$H$27),1,0)</f>
        <v>0</v>
      </c>
      <c r="AC68">
        <f>$AC67+$AB68</f>
        <v>0</v>
      </c>
      <c r="AD68" t="str">
        <f>IF(OR($Y68="",'مجموعة 5'!$F11="تمام",'مجموعة 5'!$F11="-"),"",'مجموعة 5'!$F11)</f>
        <v/>
      </c>
      <c r="AE68">
        <f>IF($AD68&lt;&gt;"",1,0)</f>
        <v>0</v>
      </c>
      <c r="AF68">
        <f>$AF67+$AE68</f>
        <v>0</v>
      </c>
      <c r="AG68">
        <f>IF($Y68&lt;&gt;"",1,0)</f>
        <v>0</v>
      </c>
    </row>
    <row r="69">
      <c r="W69" t="n">
        <v>68</v>
      </c>
      <c r="X69" t="str">
        <f>$J$6</f>
        <v>مجموعة 5</v>
      </c>
      <c r="Y69" t="str">
        <f>IF('مجموعة 5'!$B12="","",'مجموعة 5'!$B12)</f>
        <v/>
      </c>
      <c r="Z69" t="str">
        <f>IF('مجموعة 5'!$C12="","",'مجموعة 5'!$C12)</f>
        <v/>
      </c>
      <c r="AA69" t="str">
        <f>IF($Y69="","",'مجموعة 5'!$D12)</f>
        <v/>
      </c>
      <c r="AB69">
        <f>IF(AND($Y69&lt;&gt;"",ISNUMBER($AA69),$AA69&gt;='الرئيسية'!$H$27),1,0)</f>
        <v>0</v>
      </c>
      <c r="AC69">
        <f>$AC68+$AB69</f>
        <v>0</v>
      </c>
      <c r="AD69" t="str">
        <f>IF(OR($Y69="",'مجموعة 5'!$F12="تمام",'مجموعة 5'!$F12="-"),"",'مجموعة 5'!$F12)</f>
        <v/>
      </c>
      <c r="AE69">
        <f>IF($AD69&lt;&gt;"",1,0)</f>
        <v>0</v>
      </c>
      <c r="AF69">
        <f>$AF68+$AE69</f>
        <v>0</v>
      </c>
      <c r="AG69">
        <f>IF($Y69&lt;&gt;"",1,0)</f>
        <v>0</v>
      </c>
    </row>
    <row r="70">
      <c r="W70" t="n">
        <v>69</v>
      </c>
      <c r="X70" t="str">
        <f>$J$6</f>
        <v>مجموعة 5</v>
      </c>
      <c r="Y70" t="str">
        <f>IF('مجموعة 5'!$B13="","",'مجموعة 5'!$B13)</f>
        <v/>
      </c>
      <c r="Z70" t="str">
        <f>IF('مجموعة 5'!$C13="","",'مجموعة 5'!$C13)</f>
        <v/>
      </c>
      <c r="AA70" t="str">
        <f>IF($Y70="","",'مجموعة 5'!$D13)</f>
        <v/>
      </c>
      <c r="AB70">
        <f>IF(AND($Y70&lt;&gt;"",ISNUMBER($AA70),$AA70&gt;='الرئيسية'!$H$27),1,0)</f>
        <v>0</v>
      </c>
      <c r="AC70">
        <f>$AC69+$AB70</f>
        <v>0</v>
      </c>
      <c r="AD70" t="str">
        <f>IF(OR($Y70="",'مجموعة 5'!$F13="تمام",'مجموعة 5'!$F13="-"),"",'مجموعة 5'!$F13)</f>
        <v/>
      </c>
      <c r="AE70">
        <f>IF($AD70&lt;&gt;"",1,0)</f>
        <v>0</v>
      </c>
      <c r="AF70">
        <f>$AF69+$AE70</f>
        <v>0</v>
      </c>
      <c r="AG70">
        <f>IF($Y70&lt;&gt;"",1,0)</f>
        <v>0</v>
      </c>
    </row>
    <row r="71">
      <c r="W71" t="n">
        <v>70</v>
      </c>
      <c r="X71" t="str">
        <f>$J$6</f>
        <v>مجموعة 5</v>
      </c>
      <c r="Y71" t="str">
        <f>IF('مجموعة 5'!$B14="","",'مجموعة 5'!$B14)</f>
        <v/>
      </c>
      <c r="Z71" t="str">
        <f>IF('مجموعة 5'!$C14="","",'مجموعة 5'!$C14)</f>
        <v/>
      </c>
      <c r="AA71" t="str">
        <f>IF($Y71="","",'مجموعة 5'!$D14)</f>
        <v/>
      </c>
      <c r="AB71">
        <f>IF(AND($Y71&lt;&gt;"",ISNUMBER($AA71),$AA71&gt;='الرئيسية'!$H$27),1,0)</f>
        <v>0</v>
      </c>
      <c r="AC71">
        <f>$AC70+$AB71</f>
        <v>0</v>
      </c>
      <c r="AD71" t="str">
        <f>IF(OR($Y71="",'مجموعة 5'!$F14="تمام",'مجموعة 5'!$F14="-"),"",'مجموعة 5'!$F14)</f>
        <v/>
      </c>
      <c r="AE71">
        <f>IF($AD71&lt;&gt;"",1,0)</f>
        <v>0</v>
      </c>
      <c r="AF71">
        <f>$AF70+$AE71</f>
        <v>0</v>
      </c>
      <c r="AG71">
        <f>IF($Y71&lt;&gt;"",1,0)</f>
        <v>0</v>
      </c>
    </row>
    <row r="72">
      <c r="W72" t="n">
        <v>71</v>
      </c>
      <c r="X72" t="str">
        <f>$J$6</f>
        <v>مجموعة 5</v>
      </c>
      <c r="Y72" t="str">
        <f>IF('مجموعة 5'!$B15="","",'مجموعة 5'!$B15)</f>
        <v/>
      </c>
      <c r="Z72" t="str">
        <f>IF('مجموعة 5'!$C15="","",'مجموعة 5'!$C15)</f>
        <v/>
      </c>
      <c r="AA72" t="str">
        <f>IF($Y72="","",'مجموعة 5'!$D15)</f>
        <v/>
      </c>
      <c r="AB72">
        <f>IF(AND($Y72&lt;&gt;"",ISNUMBER($AA72),$AA72&gt;='الرئيسية'!$H$27),1,0)</f>
        <v>0</v>
      </c>
      <c r="AC72">
        <f>$AC71+$AB72</f>
        <v>0</v>
      </c>
      <c r="AD72" t="str">
        <f>IF(OR($Y72="",'مجموعة 5'!$F15="تمام",'مجموعة 5'!$F15="-"),"",'مجموعة 5'!$F15)</f>
        <v/>
      </c>
      <c r="AE72">
        <f>IF($AD72&lt;&gt;"",1,0)</f>
        <v>0</v>
      </c>
      <c r="AF72">
        <f>$AF71+$AE72</f>
        <v>0</v>
      </c>
      <c r="AG72">
        <f>IF($Y72&lt;&gt;"",1,0)</f>
        <v>0</v>
      </c>
    </row>
    <row r="73">
      <c r="W73" t="n">
        <v>72</v>
      </c>
      <c r="X73" t="str">
        <f>$J$6</f>
        <v>مجموعة 5</v>
      </c>
      <c r="Y73" t="str">
        <f>IF('مجموعة 5'!$B16="","",'مجموعة 5'!$B16)</f>
        <v/>
      </c>
      <c r="Z73" t="str">
        <f>IF('مجموعة 5'!$C16="","",'مجموعة 5'!$C16)</f>
        <v/>
      </c>
      <c r="AA73" t="str">
        <f>IF($Y73="","",'مجموعة 5'!$D16)</f>
        <v/>
      </c>
      <c r="AB73">
        <f>IF(AND($Y73&lt;&gt;"",ISNUMBER($AA73),$AA73&gt;='الرئيسية'!$H$27),1,0)</f>
        <v>0</v>
      </c>
      <c r="AC73">
        <f>$AC72+$AB73</f>
        <v>0</v>
      </c>
      <c r="AD73" t="str">
        <f>IF(OR($Y73="",'مجموعة 5'!$F16="تمام",'مجموعة 5'!$F16="-"),"",'مجموعة 5'!$F16)</f>
        <v/>
      </c>
      <c r="AE73">
        <f>IF($AD73&lt;&gt;"",1,0)</f>
        <v>0</v>
      </c>
      <c r="AF73">
        <f>$AF72+$AE73</f>
        <v>0</v>
      </c>
      <c r="AG73">
        <f>IF($Y73&lt;&gt;"",1,0)</f>
        <v>0</v>
      </c>
    </row>
    <row r="74">
      <c r="W74" t="n">
        <v>73</v>
      </c>
      <c r="X74" t="str">
        <f>$J$6</f>
        <v>مجموعة 5</v>
      </c>
      <c r="Y74" t="str">
        <f>IF('مجموعة 5'!$B17="","",'مجموعة 5'!$B17)</f>
        <v/>
      </c>
      <c r="Z74" t="str">
        <f>IF('مجموعة 5'!$C17="","",'مجموعة 5'!$C17)</f>
        <v/>
      </c>
      <c r="AA74" t="str">
        <f>IF($Y74="","",'مجموعة 5'!$D17)</f>
        <v/>
      </c>
      <c r="AB74">
        <f>IF(AND($Y74&lt;&gt;"",ISNUMBER($AA74),$AA74&gt;='الرئيسية'!$H$27),1,0)</f>
        <v>0</v>
      </c>
      <c r="AC74">
        <f>$AC73+$AB74</f>
        <v>0</v>
      </c>
      <c r="AD74" t="str">
        <f>IF(OR($Y74="",'مجموعة 5'!$F17="تمام",'مجموعة 5'!$F17="-"),"",'مجموعة 5'!$F17)</f>
        <v/>
      </c>
      <c r="AE74">
        <f>IF($AD74&lt;&gt;"",1,0)</f>
        <v>0</v>
      </c>
      <c r="AF74">
        <f>$AF73+$AE74</f>
        <v>0</v>
      </c>
      <c r="AG74">
        <f>IF($Y74&lt;&gt;"",1,0)</f>
        <v>0</v>
      </c>
    </row>
    <row r="75">
      <c r="W75" t="n">
        <v>74</v>
      </c>
      <c r="X75" t="str">
        <f>$J$6</f>
        <v>مجموعة 5</v>
      </c>
      <c r="Y75" t="str">
        <f>IF('مجموعة 5'!$B18="","",'مجموعة 5'!$B18)</f>
        <v/>
      </c>
      <c r="Z75" t="str">
        <f>IF('مجموعة 5'!$C18="","",'مجموعة 5'!$C18)</f>
        <v/>
      </c>
      <c r="AA75" t="str">
        <f>IF($Y75="","",'مجموعة 5'!$D18)</f>
        <v/>
      </c>
      <c r="AB75">
        <f>IF(AND($Y75&lt;&gt;"",ISNUMBER($AA75),$AA75&gt;='الرئيسية'!$H$27),1,0)</f>
        <v>0</v>
      </c>
      <c r="AC75">
        <f>$AC74+$AB75</f>
        <v>0</v>
      </c>
      <c r="AD75" t="str">
        <f>IF(OR($Y75="",'مجموعة 5'!$F18="تمام",'مجموعة 5'!$F18="-"),"",'مجموعة 5'!$F18)</f>
        <v/>
      </c>
      <c r="AE75">
        <f>IF($AD75&lt;&gt;"",1,0)</f>
        <v>0</v>
      </c>
      <c r="AF75">
        <f>$AF74+$AE75</f>
        <v>0</v>
      </c>
      <c r="AG75">
        <f>IF($Y75&lt;&gt;"",1,0)</f>
        <v>0</v>
      </c>
    </row>
    <row r="76">
      <c r="W76" t="n">
        <v>75</v>
      </c>
      <c r="X76" t="str">
        <f>$J$6</f>
        <v>مجموعة 5</v>
      </c>
      <c r="Y76" t="str">
        <f>IF('مجموعة 5'!$B19="","",'مجموعة 5'!$B19)</f>
        <v/>
      </c>
      <c r="Z76" t="str">
        <f>IF('مجموعة 5'!$C19="","",'مجموعة 5'!$C19)</f>
        <v/>
      </c>
      <c r="AA76" t="str">
        <f>IF($Y76="","",'مجموعة 5'!$D19)</f>
        <v/>
      </c>
      <c r="AB76">
        <f>IF(AND($Y76&lt;&gt;"",ISNUMBER($AA76),$AA76&gt;='الرئيسية'!$H$27),1,0)</f>
        <v>0</v>
      </c>
      <c r="AC76">
        <f>$AC75+$AB76</f>
        <v>0</v>
      </c>
      <c r="AD76" t="str">
        <f>IF(OR($Y76="",'مجموعة 5'!$F19="تمام",'مجموعة 5'!$F19="-"),"",'مجموعة 5'!$F19)</f>
        <v/>
      </c>
      <c r="AE76">
        <f>IF($AD76&lt;&gt;"",1,0)</f>
        <v>0</v>
      </c>
      <c r="AF76">
        <f>$AF75+$AE76</f>
        <v>0</v>
      </c>
      <c r="AG76">
        <f>IF($Y76&lt;&gt;"",1,0)</f>
        <v>0</v>
      </c>
    </row>
    <row r="77">
      <c r="W77" t="n">
        <v>76</v>
      </c>
      <c r="X77" t="str">
        <f>$J$7</f>
        <v>مجموعة 6</v>
      </c>
      <c r="Y77" t="str">
        <f>IF('مجموعة 6'!$B5="","",'مجموعة 6'!$B5)</f>
        <v/>
      </c>
      <c r="Z77" t="str">
        <f>IF('مجموعة 6'!$C5="","",'مجموعة 6'!$C5)</f>
        <v/>
      </c>
      <c r="AA77" t="str">
        <f>IF($Y77="","",'مجموعة 6'!$D5)</f>
        <v/>
      </c>
      <c r="AB77">
        <f>IF(AND($Y77&lt;&gt;"",ISNUMBER($AA77),$AA77&gt;='الرئيسية'!$H$27),1,0)</f>
        <v>0</v>
      </c>
      <c r="AC77">
        <f>$AC76+$AB77</f>
        <v>0</v>
      </c>
      <c r="AD77" t="str">
        <f>IF(OR($Y77="",'مجموعة 6'!$F5="تمام",'مجموعة 6'!$F5="-"),"",'مجموعة 6'!$F5)</f>
        <v/>
      </c>
      <c r="AE77">
        <f>IF($AD77&lt;&gt;"",1,0)</f>
        <v>0</v>
      </c>
      <c r="AF77">
        <f>$AF76+$AE77</f>
        <v>0</v>
      </c>
      <c r="AG77">
        <f>IF($Y77&lt;&gt;"",1,0)</f>
        <v>0</v>
      </c>
    </row>
    <row r="78">
      <c r="W78" t="n">
        <v>77</v>
      </c>
      <c r="X78" t="str">
        <f>$J$7</f>
        <v>مجموعة 6</v>
      </c>
      <c r="Y78" t="str">
        <f>IF('مجموعة 6'!$B6="","",'مجموعة 6'!$B6)</f>
        <v/>
      </c>
      <c r="Z78" t="str">
        <f>IF('مجموعة 6'!$C6="","",'مجموعة 6'!$C6)</f>
        <v/>
      </c>
      <c r="AA78" t="str">
        <f>IF($Y78="","",'مجموعة 6'!$D6)</f>
        <v/>
      </c>
      <c r="AB78">
        <f>IF(AND($Y78&lt;&gt;"",ISNUMBER($AA78),$AA78&gt;='الرئيسية'!$H$27),1,0)</f>
        <v>0</v>
      </c>
      <c r="AC78">
        <f>$AC77+$AB78</f>
        <v>0</v>
      </c>
      <c r="AD78" t="str">
        <f>IF(OR($Y78="",'مجموعة 6'!$F6="تمام",'مجموعة 6'!$F6="-"),"",'مجموعة 6'!$F6)</f>
        <v/>
      </c>
      <c r="AE78">
        <f>IF($AD78&lt;&gt;"",1,0)</f>
        <v>0</v>
      </c>
      <c r="AF78">
        <f>$AF77+$AE78</f>
        <v>0</v>
      </c>
      <c r="AG78">
        <f>IF($Y78&lt;&gt;"",1,0)</f>
        <v>0</v>
      </c>
    </row>
    <row r="79">
      <c r="W79" t="n">
        <v>78</v>
      </c>
      <c r="X79" t="str">
        <f>$J$7</f>
        <v>مجموعة 6</v>
      </c>
      <c r="Y79" t="str">
        <f>IF('مجموعة 6'!$B7="","",'مجموعة 6'!$B7)</f>
        <v/>
      </c>
      <c r="Z79" t="str">
        <f>IF('مجموعة 6'!$C7="","",'مجموعة 6'!$C7)</f>
        <v/>
      </c>
      <c r="AA79" t="str">
        <f>IF($Y79="","",'مجموعة 6'!$D7)</f>
        <v/>
      </c>
      <c r="AB79">
        <f>IF(AND($Y79&lt;&gt;"",ISNUMBER($AA79),$AA79&gt;='الرئيسية'!$H$27),1,0)</f>
        <v>0</v>
      </c>
      <c r="AC79">
        <f>$AC78+$AB79</f>
        <v>0</v>
      </c>
      <c r="AD79" t="str">
        <f>IF(OR($Y79="",'مجموعة 6'!$F7="تمام",'مجموعة 6'!$F7="-"),"",'مجموعة 6'!$F7)</f>
        <v/>
      </c>
      <c r="AE79">
        <f>IF($AD79&lt;&gt;"",1,0)</f>
        <v>0</v>
      </c>
      <c r="AF79">
        <f>$AF78+$AE79</f>
        <v>0</v>
      </c>
      <c r="AG79">
        <f>IF($Y79&lt;&gt;"",1,0)</f>
        <v>0</v>
      </c>
    </row>
    <row r="80">
      <c r="W80" t="n">
        <v>79</v>
      </c>
      <c r="X80" t="str">
        <f>$J$7</f>
        <v>مجموعة 6</v>
      </c>
      <c r="Y80" t="str">
        <f>IF('مجموعة 6'!$B8="","",'مجموعة 6'!$B8)</f>
        <v/>
      </c>
      <c r="Z80" t="str">
        <f>IF('مجموعة 6'!$C8="","",'مجموعة 6'!$C8)</f>
        <v/>
      </c>
      <c r="AA80" t="str">
        <f>IF($Y80="","",'مجموعة 6'!$D8)</f>
        <v/>
      </c>
      <c r="AB80">
        <f>IF(AND($Y80&lt;&gt;"",ISNUMBER($AA80),$AA80&gt;='الرئيسية'!$H$27),1,0)</f>
        <v>0</v>
      </c>
      <c r="AC80">
        <f>$AC79+$AB80</f>
        <v>0</v>
      </c>
      <c r="AD80" t="str">
        <f>IF(OR($Y80="",'مجموعة 6'!$F8="تمام",'مجموعة 6'!$F8="-"),"",'مجموعة 6'!$F8)</f>
        <v/>
      </c>
      <c r="AE80">
        <f>IF($AD80&lt;&gt;"",1,0)</f>
        <v>0</v>
      </c>
      <c r="AF80">
        <f>$AF79+$AE80</f>
        <v>0</v>
      </c>
      <c r="AG80">
        <f>IF($Y80&lt;&gt;"",1,0)</f>
        <v>0</v>
      </c>
    </row>
    <row r="81">
      <c r="W81" t="n">
        <v>80</v>
      </c>
      <c r="X81" t="str">
        <f>$J$7</f>
        <v>مجموعة 6</v>
      </c>
      <c r="Y81" t="str">
        <f>IF('مجموعة 6'!$B9="","",'مجموعة 6'!$B9)</f>
        <v/>
      </c>
      <c r="Z81" t="str">
        <f>IF('مجموعة 6'!$C9="","",'مجموعة 6'!$C9)</f>
        <v/>
      </c>
      <c r="AA81" t="str">
        <f>IF($Y81="","",'مجموعة 6'!$D9)</f>
        <v/>
      </c>
      <c r="AB81">
        <f>IF(AND($Y81&lt;&gt;"",ISNUMBER($AA81),$AA81&gt;='الرئيسية'!$H$27),1,0)</f>
        <v>0</v>
      </c>
      <c r="AC81">
        <f>$AC80+$AB81</f>
        <v>0</v>
      </c>
      <c r="AD81" t="str">
        <f>IF(OR($Y81="",'مجموعة 6'!$F9="تمام",'مجموعة 6'!$F9="-"),"",'مجموعة 6'!$F9)</f>
        <v/>
      </c>
      <c r="AE81">
        <f>IF($AD81&lt;&gt;"",1,0)</f>
        <v>0</v>
      </c>
      <c r="AF81">
        <f>$AF80+$AE81</f>
        <v>0</v>
      </c>
      <c r="AG81">
        <f>IF($Y81&lt;&gt;"",1,0)</f>
        <v>0</v>
      </c>
    </row>
    <row r="82">
      <c r="W82" t="n">
        <v>81</v>
      </c>
      <c r="X82" t="str">
        <f>$J$7</f>
        <v>مجموعة 6</v>
      </c>
      <c r="Y82" t="str">
        <f>IF('مجموعة 6'!$B10="","",'مجموعة 6'!$B10)</f>
        <v/>
      </c>
      <c r="Z82" t="str">
        <f>IF('مجموعة 6'!$C10="","",'مجموعة 6'!$C10)</f>
        <v/>
      </c>
      <c r="AA82" t="str">
        <f>IF($Y82="","",'مجموعة 6'!$D10)</f>
        <v/>
      </c>
      <c r="AB82">
        <f>IF(AND($Y82&lt;&gt;"",ISNUMBER($AA82),$AA82&gt;='الرئيسية'!$H$27),1,0)</f>
        <v>0</v>
      </c>
      <c r="AC82">
        <f>$AC81+$AB82</f>
        <v>0</v>
      </c>
      <c r="AD82" t="str">
        <f>IF(OR($Y82="",'مجموعة 6'!$F10="تمام",'مجموعة 6'!$F10="-"),"",'مجموعة 6'!$F10)</f>
        <v/>
      </c>
      <c r="AE82">
        <f>IF($AD82&lt;&gt;"",1,0)</f>
        <v>0</v>
      </c>
      <c r="AF82">
        <f>$AF81+$AE82</f>
        <v>0</v>
      </c>
      <c r="AG82">
        <f>IF($Y82&lt;&gt;"",1,0)</f>
        <v>0</v>
      </c>
    </row>
    <row r="83">
      <c r="W83" t="n">
        <v>82</v>
      </c>
      <c r="X83" t="str">
        <f>$J$7</f>
        <v>مجموعة 6</v>
      </c>
      <c r="Y83" t="str">
        <f>IF('مجموعة 6'!$B11="","",'مجموعة 6'!$B11)</f>
        <v/>
      </c>
      <c r="Z83" t="str">
        <f>IF('مجموعة 6'!$C11="","",'مجموعة 6'!$C11)</f>
        <v/>
      </c>
      <c r="AA83" t="str">
        <f>IF($Y83="","",'مجموعة 6'!$D11)</f>
        <v/>
      </c>
      <c r="AB83">
        <f>IF(AND($Y83&lt;&gt;"",ISNUMBER($AA83),$AA83&gt;='الرئيسية'!$H$27),1,0)</f>
        <v>0</v>
      </c>
      <c r="AC83">
        <f>$AC82+$AB83</f>
        <v>0</v>
      </c>
      <c r="AD83" t="str">
        <f>IF(OR($Y83="",'مجموعة 6'!$F11="تمام",'مجموعة 6'!$F11="-"),"",'مجموعة 6'!$F11)</f>
        <v/>
      </c>
      <c r="AE83">
        <f>IF($AD83&lt;&gt;"",1,0)</f>
        <v>0</v>
      </c>
      <c r="AF83">
        <f>$AF82+$AE83</f>
        <v>0</v>
      </c>
      <c r="AG83">
        <f>IF($Y83&lt;&gt;"",1,0)</f>
        <v>0</v>
      </c>
    </row>
    <row r="84">
      <c r="W84" t="n">
        <v>83</v>
      </c>
      <c r="X84" t="str">
        <f>$J$7</f>
        <v>مجموعة 6</v>
      </c>
      <c r="Y84" t="str">
        <f>IF('مجموعة 6'!$B12="","",'مجموعة 6'!$B12)</f>
        <v/>
      </c>
      <c r="Z84" t="str">
        <f>IF('مجموعة 6'!$C12="","",'مجموعة 6'!$C12)</f>
        <v/>
      </c>
      <c r="AA84" t="str">
        <f>IF($Y84="","",'مجموعة 6'!$D12)</f>
        <v/>
      </c>
      <c r="AB84">
        <f>IF(AND($Y84&lt;&gt;"",ISNUMBER($AA84),$AA84&gt;='الرئيسية'!$H$27),1,0)</f>
        <v>0</v>
      </c>
      <c r="AC84">
        <f>$AC83+$AB84</f>
        <v>0</v>
      </c>
      <c r="AD84" t="str">
        <f>IF(OR($Y84="",'مجموعة 6'!$F12="تمام",'مجموعة 6'!$F12="-"),"",'مجموعة 6'!$F12)</f>
        <v/>
      </c>
      <c r="AE84">
        <f>IF($AD84&lt;&gt;"",1,0)</f>
        <v>0</v>
      </c>
      <c r="AF84">
        <f>$AF83+$AE84</f>
        <v>0</v>
      </c>
      <c r="AG84">
        <f>IF($Y84&lt;&gt;"",1,0)</f>
        <v>0</v>
      </c>
    </row>
    <row r="85">
      <c r="W85" t="n">
        <v>84</v>
      </c>
      <c r="X85" t="str">
        <f>$J$7</f>
        <v>مجموعة 6</v>
      </c>
      <c r="Y85" t="str">
        <f>IF('مجموعة 6'!$B13="","",'مجموعة 6'!$B13)</f>
        <v/>
      </c>
      <c r="Z85" t="str">
        <f>IF('مجموعة 6'!$C13="","",'مجموعة 6'!$C13)</f>
        <v/>
      </c>
      <c r="AA85" t="str">
        <f>IF($Y85="","",'مجموعة 6'!$D13)</f>
        <v/>
      </c>
      <c r="AB85">
        <f>IF(AND($Y85&lt;&gt;"",ISNUMBER($AA85),$AA85&gt;='الرئيسية'!$H$27),1,0)</f>
        <v>0</v>
      </c>
      <c r="AC85">
        <f>$AC84+$AB85</f>
        <v>0</v>
      </c>
      <c r="AD85" t="str">
        <f>IF(OR($Y85="",'مجموعة 6'!$F13="تمام",'مجموعة 6'!$F13="-"),"",'مجموعة 6'!$F13)</f>
        <v/>
      </c>
      <c r="AE85">
        <f>IF($AD85&lt;&gt;"",1,0)</f>
        <v>0</v>
      </c>
      <c r="AF85">
        <f>$AF84+$AE85</f>
        <v>0</v>
      </c>
      <c r="AG85">
        <f>IF($Y85&lt;&gt;"",1,0)</f>
        <v>0</v>
      </c>
    </row>
    <row r="86">
      <c r="W86" t="n">
        <v>85</v>
      </c>
      <c r="X86" t="str">
        <f>$J$7</f>
        <v>مجموعة 6</v>
      </c>
      <c r="Y86" t="str">
        <f>IF('مجموعة 6'!$B14="","",'مجموعة 6'!$B14)</f>
        <v/>
      </c>
      <c r="Z86" t="str">
        <f>IF('مجموعة 6'!$C14="","",'مجموعة 6'!$C14)</f>
        <v/>
      </c>
      <c r="AA86" t="str">
        <f>IF($Y86="","",'مجموعة 6'!$D14)</f>
        <v/>
      </c>
      <c r="AB86">
        <f>IF(AND($Y86&lt;&gt;"",ISNUMBER($AA86),$AA86&gt;='الرئيسية'!$H$27),1,0)</f>
        <v>0</v>
      </c>
      <c r="AC86">
        <f>$AC85+$AB86</f>
        <v>0</v>
      </c>
      <c r="AD86" t="str">
        <f>IF(OR($Y86="",'مجموعة 6'!$F14="تمام",'مجموعة 6'!$F14="-"),"",'مجموعة 6'!$F14)</f>
        <v/>
      </c>
      <c r="AE86">
        <f>IF($AD86&lt;&gt;"",1,0)</f>
        <v>0</v>
      </c>
      <c r="AF86">
        <f>$AF85+$AE86</f>
        <v>0</v>
      </c>
      <c r="AG86">
        <f>IF($Y86&lt;&gt;"",1,0)</f>
        <v>0</v>
      </c>
    </row>
    <row r="87">
      <c r="W87" t="n">
        <v>86</v>
      </c>
      <c r="X87" t="str">
        <f>$J$7</f>
        <v>مجموعة 6</v>
      </c>
      <c r="Y87" t="str">
        <f>IF('مجموعة 6'!$B15="","",'مجموعة 6'!$B15)</f>
        <v/>
      </c>
      <c r="Z87" t="str">
        <f>IF('مجموعة 6'!$C15="","",'مجموعة 6'!$C15)</f>
        <v/>
      </c>
      <c r="AA87" t="str">
        <f>IF($Y87="","",'مجموعة 6'!$D15)</f>
        <v/>
      </c>
      <c r="AB87">
        <f>IF(AND($Y87&lt;&gt;"",ISNUMBER($AA87),$AA87&gt;='الرئيسية'!$H$27),1,0)</f>
        <v>0</v>
      </c>
      <c r="AC87">
        <f>$AC86+$AB87</f>
        <v>0</v>
      </c>
      <c r="AD87" t="str">
        <f>IF(OR($Y87="",'مجموعة 6'!$F15="تمام",'مجموعة 6'!$F15="-"),"",'مجموعة 6'!$F15)</f>
        <v/>
      </c>
      <c r="AE87">
        <f>IF($AD87&lt;&gt;"",1,0)</f>
        <v>0</v>
      </c>
      <c r="AF87">
        <f>$AF86+$AE87</f>
        <v>0</v>
      </c>
      <c r="AG87">
        <f>IF($Y87&lt;&gt;"",1,0)</f>
        <v>0</v>
      </c>
    </row>
    <row r="88">
      <c r="W88" t="n">
        <v>87</v>
      </c>
      <c r="X88" t="str">
        <f>$J$7</f>
        <v>مجموعة 6</v>
      </c>
      <c r="Y88" t="str">
        <f>IF('مجموعة 6'!$B16="","",'مجموعة 6'!$B16)</f>
        <v/>
      </c>
      <c r="Z88" t="str">
        <f>IF('مجموعة 6'!$C16="","",'مجموعة 6'!$C16)</f>
        <v/>
      </c>
      <c r="AA88" t="str">
        <f>IF($Y88="","",'مجموعة 6'!$D16)</f>
        <v/>
      </c>
      <c r="AB88">
        <f>IF(AND($Y88&lt;&gt;"",ISNUMBER($AA88),$AA88&gt;='الرئيسية'!$H$27),1,0)</f>
        <v>0</v>
      </c>
      <c r="AC88">
        <f>$AC87+$AB88</f>
        <v>0</v>
      </c>
      <c r="AD88" t="str">
        <f>IF(OR($Y88="",'مجموعة 6'!$F16="تمام",'مجموعة 6'!$F16="-"),"",'مجموعة 6'!$F16)</f>
        <v/>
      </c>
      <c r="AE88">
        <f>IF($AD88&lt;&gt;"",1,0)</f>
        <v>0</v>
      </c>
      <c r="AF88">
        <f>$AF87+$AE88</f>
        <v>0</v>
      </c>
      <c r="AG88">
        <f>IF($Y88&lt;&gt;"",1,0)</f>
        <v>0</v>
      </c>
    </row>
    <row r="89">
      <c r="W89" t="n">
        <v>88</v>
      </c>
      <c r="X89" t="str">
        <f>$J$7</f>
        <v>مجموعة 6</v>
      </c>
      <c r="Y89" t="str">
        <f>IF('مجموعة 6'!$B17="","",'مجموعة 6'!$B17)</f>
        <v/>
      </c>
      <c r="Z89" t="str">
        <f>IF('مجموعة 6'!$C17="","",'مجموعة 6'!$C17)</f>
        <v/>
      </c>
      <c r="AA89" t="str">
        <f>IF($Y89="","",'مجموعة 6'!$D17)</f>
        <v/>
      </c>
      <c r="AB89">
        <f>IF(AND($Y89&lt;&gt;"",ISNUMBER($AA89),$AA89&gt;='الرئيسية'!$H$27),1,0)</f>
        <v>0</v>
      </c>
      <c r="AC89">
        <f>$AC88+$AB89</f>
        <v>0</v>
      </c>
      <c r="AD89" t="str">
        <f>IF(OR($Y89="",'مجموعة 6'!$F17="تمام",'مجموعة 6'!$F17="-"),"",'مجموعة 6'!$F17)</f>
        <v/>
      </c>
      <c r="AE89">
        <f>IF($AD89&lt;&gt;"",1,0)</f>
        <v>0</v>
      </c>
      <c r="AF89">
        <f>$AF88+$AE89</f>
        <v>0</v>
      </c>
      <c r="AG89">
        <f>IF($Y89&lt;&gt;"",1,0)</f>
        <v>0</v>
      </c>
    </row>
    <row r="90">
      <c r="W90" t="n">
        <v>89</v>
      </c>
      <c r="X90" t="str">
        <f>$J$7</f>
        <v>مجموعة 6</v>
      </c>
      <c r="Y90" t="str">
        <f>IF('مجموعة 6'!$B18="","",'مجموعة 6'!$B18)</f>
        <v/>
      </c>
      <c r="Z90" t="str">
        <f>IF('مجموعة 6'!$C18="","",'مجموعة 6'!$C18)</f>
        <v/>
      </c>
      <c r="AA90" t="str">
        <f>IF($Y90="","",'مجموعة 6'!$D18)</f>
        <v/>
      </c>
      <c r="AB90">
        <f>IF(AND($Y90&lt;&gt;"",ISNUMBER($AA90),$AA90&gt;='الرئيسية'!$H$27),1,0)</f>
        <v>0</v>
      </c>
      <c r="AC90">
        <f>$AC89+$AB90</f>
        <v>0</v>
      </c>
      <c r="AD90" t="str">
        <f>IF(OR($Y90="",'مجموعة 6'!$F18="تمام",'مجموعة 6'!$F18="-"),"",'مجموعة 6'!$F18)</f>
        <v/>
      </c>
      <c r="AE90">
        <f>IF($AD90&lt;&gt;"",1,0)</f>
        <v>0</v>
      </c>
      <c r="AF90">
        <f>$AF89+$AE90</f>
        <v>0</v>
      </c>
      <c r="AG90">
        <f>IF($Y90&lt;&gt;"",1,0)</f>
        <v>0</v>
      </c>
    </row>
    <row r="91">
      <c r="W91" t="n">
        <v>90</v>
      </c>
      <c r="X91" t="str">
        <f>$J$7</f>
        <v>مجموعة 6</v>
      </c>
      <c r="Y91" t="str">
        <f>IF('مجموعة 6'!$B19="","",'مجموعة 6'!$B19)</f>
        <v/>
      </c>
      <c r="Z91" t="str">
        <f>IF('مجموعة 6'!$C19="","",'مجموعة 6'!$C19)</f>
        <v/>
      </c>
      <c r="AA91" t="str">
        <f>IF($Y91="","",'مجموعة 6'!$D19)</f>
        <v/>
      </c>
      <c r="AB91">
        <f>IF(AND($Y91&lt;&gt;"",ISNUMBER($AA91),$AA91&gt;='الرئيسية'!$H$27),1,0)</f>
        <v>0</v>
      </c>
      <c r="AC91">
        <f>$AC90+$AB91</f>
        <v>0</v>
      </c>
      <c r="AD91" t="str">
        <f>IF(OR($Y91="",'مجموعة 6'!$F19="تمام",'مجموعة 6'!$F19="-"),"",'مجموعة 6'!$F19)</f>
        <v/>
      </c>
      <c r="AE91">
        <f>IF($AD91&lt;&gt;"",1,0)</f>
        <v>0</v>
      </c>
      <c r="AF91">
        <f>$AF90+$AE91</f>
        <v>0</v>
      </c>
      <c r="AG91">
        <f>IF($Y91&lt;&gt;"",1,0)</f>
        <v>0</v>
      </c>
    </row>
    <row r="92">
      <c r="W92" t="n">
        <v>91</v>
      </c>
      <c r="X92" t="str">
        <f>$J$8</f>
        <v>مجموعة 7</v>
      </c>
      <c r="Y92" t="str">
        <f>IF('مجموعة 7'!$B5="","",'مجموعة 7'!$B5)</f>
        <v/>
      </c>
      <c r="Z92" t="str">
        <f>IF('مجموعة 7'!$C5="","",'مجموعة 7'!$C5)</f>
        <v/>
      </c>
      <c r="AA92" t="str">
        <f>IF($Y92="","",'مجموعة 7'!$D5)</f>
        <v/>
      </c>
      <c r="AB92">
        <f>IF(AND($Y92&lt;&gt;"",ISNUMBER($AA92),$AA92&gt;='الرئيسية'!$H$27),1,0)</f>
        <v>0</v>
      </c>
      <c r="AC92">
        <f>$AC91+$AB92</f>
        <v>0</v>
      </c>
      <c r="AD92" t="str">
        <f>IF(OR($Y92="",'مجموعة 7'!$F5="تمام",'مجموعة 7'!$F5="-"),"",'مجموعة 7'!$F5)</f>
        <v/>
      </c>
      <c r="AE92">
        <f>IF($AD92&lt;&gt;"",1,0)</f>
        <v>0</v>
      </c>
      <c r="AF92">
        <f>$AF91+$AE92</f>
        <v>0</v>
      </c>
      <c r="AG92">
        <f>IF($Y92&lt;&gt;"",1,0)</f>
        <v>0</v>
      </c>
    </row>
    <row r="93">
      <c r="W93" t="n">
        <v>92</v>
      </c>
      <c r="X93" t="str">
        <f>$J$8</f>
        <v>مجموعة 7</v>
      </c>
      <c r="Y93" t="str">
        <f>IF('مجموعة 7'!$B6="","",'مجموعة 7'!$B6)</f>
        <v/>
      </c>
      <c r="Z93" t="str">
        <f>IF('مجموعة 7'!$C6="","",'مجموعة 7'!$C6)</f>
        <v/>
      </c>
      <c r="AA93" t="str">
        <f>IF($Y93="","",'مجموعة 7'!$D6)</f>
        <v/>
      </c>
      <c r="AB93">
        <f>IF(AND($Y93&lt;&gt;"",ISNUMBER($AA93),$AA93&gt;='الرئيسية'!$H$27),1,0)</f>
        <v>0</v>
      </c>
      <c r="AC93">
        <f>$AC92+$AB93</f>
        <v>0</v>
      </c>
      <c r="AD93" t="str">
        <f>IF(OR($Y93="",'مجموعة 7'!$F6="تمام",'مجموعة 7'!$F6="-"),"",'مجموعة 7'!$F6)</f>
        <v/>
      </c>
      <c r="AE93">
        <f>IF($AD93&lt;&gt;"",1,0)</f>
        <v>0</v>
      </c>
      <c r="AF93">
        <f>$AF92+$AE93</f>
        <v>0</v>
      </c>
      <c r="AG93">
        <f>IF($Y93&lt;&gt;"",1,0)</f>
        <v>0</v>
      </c>
    </row>
    <row r="94">
      <c r="W94" t="n">
        <v>93</v>
      </c>
      <c r="X94" t="str">
        <f>$J$8</f>
        <v>مجموعة 7</v>
      </c>
      <c r="Y94" t="str">
        <f>IF('مجموعة 7'!$B7="","",'مجموعة 7'!$B7)</f>
        <v/>
      </c>
      <c r="Z94" t="str">
        <f>IF('مجموعة 7'!$C7="","",'مجموعة 7'!$C7)</f>
        <v/>
      </c>
      <c r="AA94" t="str">
        <f>IF($Y94="","",'مجموعة 7'!$D7)</f>
        <v/>
      </c>
      <c r="AB94">
        <f>IF(AND($Y94&lt;&gt;"",ISNUMBER($AA94),$AA94&gt;='الرئيسية'!$H$27),1,0)</f>
        <v>0</v>
      </c>
      <c r="AC94">
        <f>$AC93+$AB94</f>
        <v>0</v>
      </c>
      <c r="AD94" t="str">
        <f>IF(OR($Y94="",'مجموعة 7'!$F7="تمام",'مجموعة 7'!$F7="-"),"",'مجموعة 7'!$F7)</f>
        <v/>
      </c>
      <c r="AE94">
        <f>IF($AD94&lt;&gt;"",1,0)</f>
        <v>0</v>
      </c>
      <c r="AF94">
        <f>$AF93+$AE94</f>
        <v>0</v>
      </c>
      <c r="AG94">
        <f>IF($Y94&lt;&gt;"",1,0)</f>
        <v>0</v>
      </c>
    </row>
    <row r="95">
      <c r="W95" t="n">
        <v>94</v>
      </c>
      <c r="X95" t="str">
        <f>$J$8</f>
        <v>مجموعة 7</v>
      </c>
      <c r="Y95" t="str">
        <f>IF('مجموعة 7'!$B8="","",'مجموعة 7'!$B8)</f>
        <v/>
      </c>
      <c r="Z95" t="str">
        <f>IF('مجموعة 7'!$C8="","",'مجموعة 7'!$C8)</f>
        <v/>
      </c>
      <c r="AA95" t="str">
        <f>IF($Y95="","",'مجموعة 7'!$D8)</f>
        <v/>
      </c>
      <c r="AB95">
        <f>IF(AND($Y95&lt;&gt;"",ISNUMBER($AA95),$AA95&gt;='الرئيسية'!$H$27),1,0)</f>
        <v>0</v>
      </c>
      <c r="AC95">
        <f>$AC94+$AB95</f>
        <v>0</v>
      </c>
      <c r="AD95" t="str">
        <f>IF(OR($Y95="",'مجموعة 7'!$F8="تمام",'مجموعة 7'!$F8="-"),"",'مجموعة 7'!$F8)</f>
        <v/>
      </c>
      <c r="AE95">
        <f>IF($AD95&lt;&gt;"",1,0)</f>
        <v>0</v>
      </c>
      <c r="AF95">
        <f>$AF94+$AE95</f>
        <v>0</v>
      </c>
      <c r="AG95">
        <f>IF($Y95&lt;&gt;"",1,0)</f>
        <v>0</v>
      </c>
    </row>
    <row r="96">
      <c r="W96" t="n">
        <v>95</v>
      </c>
      <c r="X96" t="str">
        <f>$J$8</f>
        <v>مجموعة 7</v>
      </c>
      <c r="Y96" t="str">
        <f>IF('مجموعة 7'!$B9="","",'مجموعة 7'!$B9)</f>
        <v/>
      </c>
      <c r="Z96" t="str">
        <f>IF('مجموعة 7'!$C9="","",'مجموعة 7'!$C9)</f>
        <v/>
      </c>
      <c r="AA96" t="str">
        <f>IF($Y96="","",'مجموعة 7'!$D9)</f>
        <v/>
      </c>
      <c r="AB96">
        <f>IF(AND($Y96&lt;&gt;"",ISNUMBER($AA96),$AA96&gt;='الرئيسية'!$H$27),1,0)</f>
        <v>0</v>
      </c>
      <c r="AC96">
        <f>$AC95+$AB96</f>
        <v>0</v>
      </c>
      <c r="AD96" t="str">
        <f>IF(OR($Y96="",'مجموعة 7'!$F9="تمام",'مجموعة 7'!$F9="-"),"",'مجموعة 7'!$F9)</f>
        <v/>
      </c>
      <c r="AE96">
        <f>IF($AD96&lt;&gt;"",1,0)</f>
        <v>0</v>
      </c>
      <c r="AF96">
        <f>$AF95+$AE96</f>
        <v>0</v>
      </c>
      <c r="AG96">
        <f>IF($Y96&lt;&gt;"",1,0)</f>
        <v>0</v>
      </c>
    </row>
    <row r="97">
      <c r="W97" t="n">
        <v>96</v>
      </c>
      <c r="X97" t="str">
        <f>$J$8</f>
        <v>مجموعة 7</v>
      </c>
      <c r="Y97" t="str">
        <f>IF('مجموعة 7'!$B10="","",'مجموعة 7'!$B10)</f>
        <v/>
      </c>
      <c r="Z97" t="str">
        <f>IF('مجموعة 7'!$C10="","",'مجموعة 7'!$C10)</f>
        <v/>
      </c>
      <c r="AA97" t="str">
        <f>IF($Y97="","",'مجموعة 7'!$D10)</f>
        <v/>
      </c>
      <c r="AB97">
        <f>IF(AND($Y97&lt;&gt;"",ISNUMBER($AA97),$AA97&gt;='الرئيسية'!$H$27),1,0)</f>
        <v>0</v>
      </c>
      <c r="AC97">
        <f>$AC96+$AB97</f>
        <v>0</v>
      </c>
      <c r="AD97" t="str">
        <f>IF(OR($Y97="",'مجموعة 7'!$F10="تمام",'مجموعة 7'!$F10="-"),"",'مجموعة 7'!$F10)</f>
        <v/>
      </c>
      <c r="AE97">
        <f>IF($AD97&lt;&gt;"",1,0)</f>
        <v>0</v>
      </c>
      <c r="AF97">
        <f>$AF96+$AE97</f>
        <v>0</v>
      </c>
      <c r="AG97">
        <f>IF($Y97&lt;&gt;"",1,0)</f>
        <v>0</v>
      </c>
    </row>
    <row r="98">
      <c r="W98" t="n">
        <v>97</v>
      </c>
      <c r="X98" t="str">
        <f>$J$8</f>
        <v>مجموعة 7</v>
      </c>
      <c r="Y98" t="str">
        <f>IF('مجموعة 7'!$B11="","",'مجموعة 7'!$B11)</f>
        <v/>
      </c>
      <c r="Z98" t="str">
        <f>IF('مجموعة 7'!$C11="","",'مجموعة 7'!$C11)</f>
        <v/>
      </c>
      <c r="AA98" t="str">
        <f>IF($Y98="","",'مجموعة 7'!$D11)</f>
        <v/>
      </c>
      <c r="AB98">
        <f>IF(AND($Y98&lt;&gt;"",ISNUMBER($AA98),$AA98&gt;='الرئيسية'!$H$27),1,0)</f>
        <v>0</v>
      </c>
      <c r="AC98">
        <f>$AC97+$AB98</f>
        <v>0</v>
      </c>
      <c r="AD98" t="str">
        <f>IF(OR($Y98="",'مجموعة 7'!$F11="تمام",'مجموعة 7'!$F11="-"),"",'مجموعة 7'!$F11)</f>
        <v/>
      </c>
      <c r="AE98">
        <f>IF($AD98&lt;&gt;"",1,0)</f>
        <v>0</v>
      </c>
      <c r="AF98">
        <f>$AF97+$AE98</f>
        <v>0</v>
      </c>
      <c r="AG98">
        <f>IF($Y98&lt;&gt;"",1,0)</f>
        <v>0</v>
      </c>
    </row>
    <row r="99">
      <c r="W99" t="n">
        <v>98</v>
      </c>
      <c r="X99" t="str">
        <f>$J$8</f>
        <v>مجموعة 7</v>
      </c>
      <c r="Y99" t="str">
        <f>IF('مجموعة 7'!$B12="","",'مجموعة 7'!$B12)</f>
        <v/>
      </c>
      <c r="Z99" t="str">
        <f>IF('مجموعة 7'!$C12="","",'مجموعة 7'!$C12)</f>
        <v/>
      </c>
      <c r="AA99" t="str">
        <f>IF($Y99="","",'مجموعة 7'!$D12)</f>
        <v/>
      </c>
      <c r="AB99">
        <f>IF(AND($Y99&lt;&gt;"",ISNUMBER($AA99),$AA99&gt;='الرئيسية'!$H$27),1,0)</f>
        <v>0</v>
      </c>
      <c r="AC99">
        <f>$AC98+$AB99</f>
        <v>0</v>
      </c>
      <c r="AD99" t="str">
        <f>IF(OR($Y99="",'مجموعة 7'!$F12="تمام",'مجموعة 7'!$F12="-"),"",'مجموعة 7'!$F12)</f>
        <v/>
      </c>
      <c r="AE99">
        <f>IF($AD99&lt;&gt;"",1,0)</f>
        <v>0</v>
      </c>
      <c r="AF99">
        <f>$AF98+$AE99</f>
        <v>0</v>
      </c>
      <c r="AG99">
        <f>IF($Y99&lt;&gt;"",1,0)</f>
        <v>0</v>
      </c>
    </row>
    <row r="100">
      <c r="W100" t="n">
        <v>99</v>
      </c>
      <c r="X100" t="str">
        <f>$J$8</f>
        <v>مجموعة 7</v>
      </c>
      <c r="Y100" t="str">
        <f>IF('مجموعة 7'!$B13="","",'مجموعة 7'!$B13)</f>
        <v/>
      </c>
      <c r="Z100" t="str">
        <f>IF('مجموعة 7'!$C13="","",'مجموعة 7'!$C13)</f>
        <v/>
      </c>
      <c r="AA100" t="str">
        <f>IF($Y100="","",'مجموعة 7'!$D13)</f>
        <v/>
      </c>
      <c r="AB100">
        <f>IF(AND($Y100&lt;&gt;"",ISNUMBER($AA100),$AA100&gt;='الرئيسية'!$H$27),1,0)</f>
        <v>0</v>
      </c>
      <c r="AC100">
        <f>$AC99+$AB100</f>
        <v>0</v>
      </c>
      <c r="AD100" t="str">
        <f>IF(OR($Y100="",'مجموعة 7'!$F13="تمام",'مجموعة 7'!$F13="-"),"",'مجموعة 7'!$F13)</f>
        <v/>
      </c>
      <c r="AE100">
        <f>IF($AD100&lt;&gt;"",1,0)</f>
        <v>0</v>
      </c>
      <c r="AF100">
        <f>$AF99+$AE100</f>
        <v>0</v>
      </c>
      <c r="AG100">
        <f>IF($Y100&lt;&gt;"",1,0)</f>
        <v>0</v>
      </c>
    </row>
    <row r="101">
      <c r="W101" t="n">
        <v>100</v>
      </c>
      <c r="X101" t="str">
        <f>$J$8</f>
        <v>مجموعة 7</v>
      </c>
      <c r="Y101" t="str">
        <f>IF('مجموعة 7'!$B14="","",'مجموعة 7'!$B14)</f>
        <v/>
      </c>
      <c r="Z101" t="str">
        <f>IF('مجموعة 7'!$C14="","",'مجموعة 7'!$C14)</f>
        <v/>
      </c>
      <c r="AA101" t="str">
        <f>IF($Y101="","",'مجموعة 7'!$D14)</f>
        <v/>
      </c>
      <c r="AB101">
        <f>IF(AND($Y101&lt;&gt;"",ISNUMBER($AA101),$AA101&gt;='الرئيسية'!$H$27),1,0)</f>
        <v>0</v>
      </c>
      <c r="AC101">
        <f>$AC100+$AB101</f>
        <v>0</v>
      </c>
      <c r="AD101" t="str">
        <f>IF(OR($Y101="",'مجموعة 7'!$F14="تمام",'مجموعة 7'!$F14="-"),"",'مجموعة 7'!$F14)</f>
        <v/>
      </c>
      <c r="AE101">
        <f>IF($AD101&lt;&gt;"",1,0)</f>
        <v>0</v>
      </c>
      <c r="AF101">
        <f>$AF100+$AE101</f>
        <v>0</v>
      </c>
      <c r="AG101">
        <f>IF($Y101&lt;&gt;"",1,0)</f>
        <v>0</v>
      </c>
    </row>
    <row r="102">
      <c r="W102" t="n">
        <v>101</v>
      </c>
      <c r="X102" t="str">
        <f>$J$8</f>
        <v>مجموعة 7</v>
      </c>
      <c r="Y102" t="str">
        <f>IF('مجموعة 7'!$B15="","",'مجموعة 7'!$B15)</f>
        <v/>
      </c>
      <c r="Z102" t="str">
        <f>IF('مجموعة 7'!$C15="","",'مجموعة 7'!$C15)</f>
        <v/>
      </c>
      <c r="AA102" t="str">
        <f>IF($Y102="","",'مجموعة 7'!$D15)</f>
        <v/>
      </c>
      <c r="AB102">
        <f>IF(AND($Y102&lt;&gt;"",ISNUMBER($AA102),$AA102&gt;='الرئيسية'!$H$27),1,0)</f>
        <v>0</v>
      </c>
      <c r="AC102">
        <f>$AC101+$AB102</f>
        <v>0</v>
      </c>
      <c r="AD102" t="str">
        <f>IF(OR($Y102="",'مجموعة 7'!$F15="تمام",'مجموعة 7'!$F15="-"),"",'مجموعة 7'!$F15)</f>
        <v/>
      </c>
      <c r="AE102">
        <f>IF($AD102&lt;&gt;"",1,0)</f>
        <v>0</v>
      </c>
      <c r="AF102">
        <f>$AF101+$AE102</f>
        <v>0</v>
      </c>
      <c r="AG102">
        <f>IF($Y102&lt;&gt;"",1,0)</f>
        <v>0</v>
      </c>
    </row>
    <row r="103">
      <c r="W103" t="n">
        <v>102</v>
      </c>
      <c r="X103" t="str">
        <f>$J$8</f>
        <v>مجموعة 7</v>
      </c>
      <c r="Y103" t="str">
        <f>IF('مجموعة 7'!$B16="","",'مجموعة 7'!$B16)</f>
        <v/>
      </c>
      <c r="Z103" t="str">
        <f>IF('مجموعة 7'!$C16="","",'مجموعة 7'!$C16)</f>
        <v/>
      </c>
      <c r="AA103" t="str">
        <f>IF($Y103="","",'مجموعة 7'!$D16)</f>
        <v/>
      </c>
      <c r="AB103">
        <f>IF(AND($Y103&lt;&gt;"",ISNUMBER($AA103),$AA103&gt;='الرئيسية'!$H$27),1,0)</f>
        <v>0</v>
      </c>
      <c r="AC103">
        <f>$AC102+$AB103</f>
        <v>0</v>
      </c>
      <c r="AD103" t="str">
        <f>IF(OR($Y103="",'مجموعة 7'!$F16="تمام",'مجموعة 7'!$F16="-"),"",'مجموعة 7'!$F16)</f>
        <v/>
      </c>
      <c r="AE103">
        <f>IF($AD103&lt;&gt;"",1,0)</f>
        <v>0</v>
      </c>
      <c r="AF103">
        <f>$AF102+$AE103</f>
        <v>0</v>
      </c>
      <c r="AG103">
        <f>IF($Y103&lt;&gt;"",1,0)</f>
        <v>0</v>
      </c>
    </row>
    <row r="104">
      <c r="W104" t="n">
        <v>103</v>
      </c>
      <c r="X104" t="str">
        <f>$J$8</f>
        <v>مجموعة 7</v>
      </c>
      <c r="Y104" t="str">
        <f>IF('مجموعة 7'!$B17="","",'مجموعة 7'!$B17)</f>
        <v/>
      </c>
      <c r="Z104" t="str">
        <f>IF('مجموعة 7'!$C17="","",'مجموعة 7'!$C17)</f>
        <v/>
      </c>
      <c r="AA104" t="str">
        <f>IF($Y104="","",'مجموعة 7'!$D17)</f>
        <v/>
      </c>
      <c r="AB104">
        <f>IF(AND($Y104&lt;&gt;"",ISNUMBER($AA104),$AA104&gt;='الرئيسية'!$H$27),1,0)</f>
        <v>0</v>
      </c>
      <c r="AC104">
        <f>$AC103+$AB104</f>
        <v>0</v>
      </c>
      <c r="AD104" t="str">
        <f>IF(OR($Y104="",'مجموعة 7'!$F17="تمام",'مجموعة 7'!$F17="-"),"",'مجموعة 7'!$F17)</f>
        <v/>
      </c>
      <c r="AE104">
        <f>IF($AD104&lt;&gt;"",1,0)</f>
        <v>0</v>
      </c>
      <c r="AF104">
        <f>$AF103+$AE104</f>
        <v>0</v>
      </c>
      <c r="AG104">
        <f>IF($Y104&lt;&gt;"",1,0)</f>
        <v>0</v>
      </c>
    </row>
    <row r="105">
      <c r="W105" t="n">
        <v>104</v>
      </c>
      <c r="X105" t="str">
        <f>$J$8</f>
        <v>مجموعة 7</v>
      </c>
      <c r="Y105" t="str">
        <f>IF('مجموعة 7'!$B18="","",'مجموعة 7'!$B18)</f>
        <v/>
      </c>
      <c r="Z105" t="str">
        <f>IF('مجموعة 7'!$C18="","",'مجموعة 7'!$C18)</f>
        <v/>
      </c>
      <c r="AA105" t="str">
        <f>IF($Y105="","",'مجموعة 7'!$D18)</f>
        <v/>
      </c>
      <c r="AB105">
        <f>IF(AND($Y105&lt;&gt;"",ISNUMBER($AA105),$AA105&gt;='الرئيسية'!$H$27),1,0)</f>
        <v>0</v>
      </c>
      <c r="AC105">
        <f>$AC104+$AB105</f>
        <v>0</v>
      </c>
      <c r="AD105" t="str">
        <f>IF(OR($Y105="",'مجموعة 7'!$F18="تمام",'مجموعة 7'!$F18="-"),"",'مجموعة 7'!$F18)</f>
        <v/>
      </c>
      <c r="AE105">
        <f>IF($AD105&lt;&gt;"",1,0)</f>
        <v>0</v>
      </c>
      <c r="AF105">
        <f>$AF104+$AE105</f>
        <v>0</v>
      </c>
      <c r="AG105">
        <f>IF($Y105&lt;&gt;"",1,0)</f>
        <v>0</v>
      </c>
    </row>
    <row r="106">
      <c r="W106" t="n">
        <v>105</v>
      </c>
      <c r="X106" t="str">
        <f>$J$8</f>
        <v>مجموعة 7</v>
      </c>
      <c r="Y106" t="str">
        <f>IF('مجموعة 7'!$B19="","",'مجموعة 7'!$B19)</f>
        <v/>
      </c>
      <c r="Z106" t="str">
        <f>IF('مجموعة 7'!$C19="","",'مجموعة 7'!$C19)</f>
        <v/>
      </c>
      <c r="AA106" t="str">
        <f>IF($Y106="","",'مجموعة 7'!$D19)</f>
        <v/>
      </c>
      <c r="AB106">
        <f>IF(AND($Y106&lt;&gt;"",ISNUMBER($AA106),$AA106&gt;='الرئيسية'!$H$27),1,0)</f>
        <v>0</v>
      </c>
      <c r="AC106">
        <f>$AC105+$AB106</f>
        <v>0</v>
      </c>
      <c r="AD106" t="str">
        <f>IF(OR($Y106="",'مجموعة 7'!$F19="تمام",'مجموعة 7'!$F19="-"),"",'مجموعة 7'!$F19)</f>
        <v/>
      </c>
      <c r="AE106">
        <f>IF($AD106&lt;&gt;"",1,0)</f>
        <v>0</v>
      </c>
      <c r="AF106">
        <f>$AF105+$AE106</f>
        <v>0</v>
      </c>
      <c r="AG106">
        <f>IF($Y106&lt;&gt;"",1,0)</f>
        <v>0</v>
      </c>
    </row>
    <row r="107">
      <c r="W107" t="n">
        <v>106</v>
      </c>
      <c r="X107" t="str">
        <f>$J$9</f>
        <v>مجموعة 8</v>
      </c>
      <c r="Y107" t="str">
        <f>IF('مجموعة 8'!$B5="","",'مجموعة 8'!$B5)</f>
        <v/>
      </c>
      <c r="Z107" t="str">
        <f>IF('مجموعة 8'!$C5="","",'مجموعة 8'!$C5)</f>
        <v/>
      </c>
      <c r="AA107" t="str">
        <f>IF($Y107="","",'مجموعة 8'!$D5)</f>
        <v/>
      </c>
      <c r="AB107">
        <f>IF(AND($Y107&lt;&gt;"",ISNUMBER($AA107),$AA107&gt;='الرئيسية'!$H$27),1,0)</f>
        <v>0</v>
      </c>
      <c r="AC107">
        <f>$AC106+$AB107</f>
        <v>0</v>
      </c>
      <c r="AD107" t="str">
        <f>IF(OR($Y107="",'مجموعة 8'!$F5="تمام",'مجموعة 8'!$F5="-"),"",'مجموعة 8'!$F5)</f>
        <v/>
      </c>
      <c r="AE107">
        <f>IF($AD107&lt;&gt;"",1,0)</f>
        <v>0</v>
      </c>
      <c r="AF107">
        <f>$AF106+$AE107</f>
        <v>0</v>
      </c>
      <c r="AG107">
        <f>IF($Y107&lt;&gt;"",1,0)</f>
        <v>0</v>
      </c>
    </row>
    <row r="108">
      <c r="W108" t="n">
        <v>107</v>
      </c>
      <c r="X108" t="str">
        <f>$J$9</f>
        <v>مجموعة 8</v>
      </c>
      <c r="Y108" t="str">
        <f>IF('مجموعة 8'!$B6="","",'مجموعة 8'!$B6)</f>
        <v/>
      </c>
      <c r="Z108" t="str">
        <f>IF('مجموعة 8'!$C6="","",'مجموعة 8'!$C6)</f>
        <v/>
      </c>
      <c r="AA108" t="str">
        <f>IF($Y108="","",'مجموعة 8'!$D6)</f>
        <v/>
      </c>
      <c r="AB108">
        <f>IF(AND($Y108&lt;&gt;"",ISNUMBER($AA108),$AA108&gt;='الرئيسية'!$H$27),1,0)</f>
        <v>0</v>
      </c>
      <c r="AC108">
        <f>$AC107+$AB108</f>
        <v>0</v>
      </c>
      <c r="AD108" t="str">
        <f>IF(OR($Y108="",'مجموعة 8'!$F6="تمام",'مجموعة 8'!$F6="-"),"",'مجموعة 8'!$F6)</f>
        <v/>
      </c>
      <c r="AE108">
        <f>IF($AD108&lt;&gt;"",1,0)</f>
        <v>0</v>
      </c>
      <c r="AF108">
        <f>$AF107+$AE108</f>
        <v>0</v>
      </c>
      <c r="AG108">
        <f>IF($Y108&lt;&gt;"",1,0)</f>
        <v>0</v>
      </c>
    </row>
    <row r="109">
      <c r="W109" t="n">
        <v>108</v>
      </c>
      <c r="X109" t="str">
        <f>$J$9</f>
        <v>مجموعة 8</v>
      </c>
      <c r="Y109" t="str">
        <f>IF('مجموعة 8'!$B7="","",'مجموعة 8'!$B7)</f>
        <v/>
      </c>
      <c r="Z109" t="str">
        <f>IF('مجموعة 8'!$C7="","",'مجموعة 8'!$C7)</f>
        <v/>
      </c>
      <c r="AA109" t="str">
        <f>IF($Y109="","",'مجموعة 8'!$D7)</f>
        <v/>
      </c>
      <c r="AB109">
        <f>IF(AND($Y109&lt;&gt;"",ISNUMBER($AA109),$AA109&gt;='الرئيسية'!$H$27),1,0)</f>
        <v>0</v>
      </c>
      <c r="AC109">
        <f>$AC108+$AB109</f>
        <v>0</v>
      </c>
      <c r="AD109" t="str">
        <f>IF(OR($Y109="",'مجموعة 8'!$F7="تمام",'مجموعة 8'!$F7="-"),"",'مجموعة 8'!$F7)</f>
        <v/>
      </c>
      <c r="AE109">
        <f>IF($AD109&lt;&gt;"",1,0)</f>
        <v>0</v>
      </c>
      <c r="AF109">
        <f>$AF108+$AE109</f>
        <v>0</v>
      </c>
      <c r="AG109">
        <f>IF($Y109&lt;&gt;"",1,0)</f>
        <v>0</v>
      </c>
    </row>
    <row r="110">
      <c r="W110" t="n">
        <v>109</v>
      </c>
      <c r="X110" t="str">
        <f>$J$9</f>
        <v>مجموعة 8</v>
      </c>
      <c r="Y110" t="str">
        <f>IF('مجموعة 8'!$B8="","",'مجموعة 8'!$B8)</f>
        <v/>
      </c>
      <c r="Z110" t="str">
        <f>IF('مجموعة 8'!$C8="","",'مجموعة 8'!$C8)</f>
        <v/>
      </c>
      <c r="AA110" t="str">
        <f>IF($Y110="","",'مجموعة 8'!$D8)</f>
        <v/>
      </c>
      <c r="AB110">
        <f>IF(AND($Y110&lt;&gt;"",ISNUMBER($AA110),$AA110&gt;='الرئيسية'!$H$27),1,0)</f>
        <v>0</v>
      </c>
      <c r="AC110">
        <f>$AC109+$AB110</f>
        <v>0</v>
      </c>
      <c r="AD110" t="str">
        <f>IF(OR($Y110="",'مجموعة 8'!$F8="تمام",'مجموعة 8'!$F8="-"),"",'مجموعة 8'!$F8)</f>
        <v/>
      </c>
      <c r="AE110">
        <f>IF($AD110&lt;&gt;"",1,0)</f>
        <v>0</v>
      </c>
      <c r="AF110">
        <f>$AF109+$AE110</f>
        <v>0</v>
      </c>
      <c r="AG110">
        <f>IF($Y110&lt;&gt;"",1,0)</f>
        <v>0</v>
      </c>
    </row>
    <row r="111">
      <c r="W111" t="n">
        <v>110</v>
      </c>
      <c r="X111" t="str">
        <f>$J$9</f>
        <v>مجموعة 8</v>
      </c>
      <c r="Y111" t="str">
        <f>IF('مجموعة 8'!$B9="","",'مجموعة 8'!$B9)</f>
        <v/>
      </c>
      <c r="Z111" t="str">
        <f>IF('مجموعة 8'!$C9="","",'مجموعة 8'!$C9)</f>
        <v/>
      </c>
      <c r="AA111" t="str">
        <f>IF($Y111="","",'مجموعة 8'!$D9)</f>
        <v/>
      </c>
      <c r="AB111">
        <f>IF(AND($Y111&lt;&gt;"",ISNUMBER($AA111),$AA111&gt;='الرئيسية'!$H$27),1,0)</f>
        <v>0</v>
      </c>
      <c r="AC111">
        <f>$AC110+$AB111</f>
        <v>0</v>
      </c>
      <c r="AD111" t="str">
        <f>IF(OR($Y111="",'مجموعة 8'!$F9="تمام",'مجموعة 8'!$F9="-"),"",'مجموعة 8'!$F9)</f>
        <v/>
      </c>
      <c r="AE111">
        <f>IF($AD111&lt;&gt;"",1,0)</f>
        <v>0</v>
      </c>
      <c r="AF111">
        <f>$AF110+$AE111</f>
        <v>0</v>
      </c>
      <c r="AG111">
        <f>IF($Y111&lt;&gt;"",1,0)</f>
        <v>0</v>
      </c>
    </row>
    <row r="112">
      <c r="W112" t="n">
        <v>111</v>
      </c>
      <c r="X112" t="str">
        <f>$J$9</f>
        <v>مجموعة 8</v>
      </c>
      <c r="Y112" t="str">
        <f>IF('مجموعة 8'!$B10="","",'مجموعة 8'!$B10)</f>
        <v/>
      </c>
      <c r="Z112" t="str">
        <f>IF('مجموعة 8'!$C10="","",'مجموعة 8'!$C10)</f>
        <v/>
      </c>
      <c r="AA112" t="str">
        <f>IF($Y112="","",'مجموعة 8'!$D10)</f>
        <v/>
      </c>
      <c r="AB112">
        <f>IF(AND($Y112&lt;&gt;"",ISNUMBER($AA112),$AA112&gt;='الرئيسية'!$H$27),1,0)</f>
        <v>0</v>
      </c>
      <c r="AC112">
        <f>$AC111+$AB112</f>
        <v>0</v>
      </c>
      <c r="AD112" t="str">
        <f>IF(OR($Y112="",'مجموعة 8'!$F10="تمام",'مجموعة 8'!$F10="-"),"",'مجموعة 8'!$F10)</f>
        <v/>
      </c>
      <c r="AE112">
        <f>IF($AD112&lt;&gt;"",1,0)</f>
        <v>0</v>
      </c>
      <c r="AF112">
        <f>$AF111+$AE112</f>
        <v>0</v>
      </c>
      <c r="AG112">
        <f>IF($Y112&lt;&gt;"",1,0)</f>
        <v>0</v>
      </c>
    </row>
    <row r="113">
      <c r="W113" t="n">
        <v>112</v>
      </c>
      <c r="X113" t="str">
        <f>$J$9</f>
        <v>مجموعة 8</v>
      </c>
      <c r="Y113" t="str">
        <f>IF('مجموعة 8'!$B11="","",'مجموعة 8'!$B11)</f>
        <v/>
      </c>
      <c r="Z113" t="str">
        <f>IF('مجموعة 8'!$C11="","",'مجموعة 8'!$C11)</f>
        <v/>
      </c>
      <c r="AA113" t="str">
        <f>IF($Y113="","",'مجموعة 8'!$D11)</f>
        <v/>
      </c>
      <c r="AB113">
        <f>IF(AND($Y113&lt;&gt;"",ISNUMBER($AA113),$AA113&gt;='الرئيسية'!$H$27),1,0)</f>
        <v>0</v>
      </c>
      <c r="AC113">
        <f>$AC112+$AB113</f>
        <v>0</v>
      </c>
      <c r="AD113" t="str">
        <f>IF(OR($Y113="",'مجموعة 8'!$F11="تمام",'مجموعة 8'!$F11="-"),"",'مجموعة 8'!$F11)</f>
        <v/>
      </c>
      <c r="AE113">
        <f>IF($AD113&lt;&gt;"",1,0)</f>
        <v>0</v>
      </c>
      <c r="AF113">
        <f>$AF112+$AE113</f>
        <v>0</v>
      </c>
      <c r="AG113">
        <f>IF($Y113&lt;&gt;"",1,0)</f>
        <v>0</v>
      </c>
    </row>
    <row r="114">
      <c r="W114" t="n">
        <v>113</v>
      </c>
      <c r="X114" t="str">
        <f>$J$9</f>
        <v>مجموعة 8</v>
      </c>
      <c r="Y114" t="str">
        <f>IF('مجموعة 8'!$B12="","",'مجموعة 8'!$B12)</f>
        <v/>
      </c>
      <c r="Z114" t="str">
        <f>IF('مجموعة 8'!$C12="","",'مجموعة 8'!$C12)</f>
        <v/>
      </c>
      <c r="AA114" t="str">
        <f>IF($Y114="","",'مجموعة 8'!$D12)</f>
        <v/>
      </c>
      <c r="AB114">
        <f>IF(AND($Y114&lt;&gt;"",ISNUMBER($AA114),$AA114&gt;='الرئيسية'!$H$27),1,0)</f>
        <v>0</v>
      </c>
      <c r="AC114">
        <f>$AC113+$AB114</f>
        <v>0</v>
      </c>
      <c r="AD114" t="str">
        <f>IF(OR($Y114="",'مجموعة 8'!$F12="تمام",'مجموعة 8'!$F12="-"),"",'مجموعة 8'!$F12)</f>
        <v/>
      </c>
      <c r="AE114">
        <f>IF($AD114&lt;&gt;"",1,0)</f>
        <v>0</v>
      </c>
      <c r="AF114">
        <f>$AF113+$AE114</f>
        <v>0</v>
      </c>
      <c r="AG114">
        <f>IF($Y114&lt;&gt;"",1,0)</f>
        <v>0</v>
      </c>
    </row>
    <row r="115">
      <c r="W115" t="n">
        <v>114</v>
      </c>
      <c r="X115" t="str">
        <f>$J$9</f>
        <v>مجموعة 8</v>
      </c>
      <c r="Y115" t="str">
        <f>IF('مجموعة 8'!$B13="","",'مجموعة 8'!$B13)</f>
        <v/>
      </c>
      <c r="Z115" t="str">
        <f>IF('مجموعة 8'!$C13="","",'مجموعة 8'!$C13)</f>
        <v/>
      </c>
      <c r="AA115" t="str">
        <f>IF($Y115="","",'مجموعة 8'!$D13)</f>
        <v/>
      </c>
      <c r="AB115">
        <f>IF(AND($Y115&lt;&gt;"",ISNUMBER($AA115),$AA115&gt;='الرئيسية'!$H$27),1,0)</f>
        <v>0</v>
      </c>
      <c r="AC115">
        <f>$AC114+$AB115</f>
        <v>0</v>
      </c>
      <c r="AD115" t="str">
        <f>IF(OR($Y115="",'مجموعة 8'!$F13="تمام",'مجموعة 8'!$F13="-"),"",'مجموعة 8'!$F13)</f>
        <v/>
      </c>
      <c r="AE115">
        <f>IF($AD115&lt;&gt;"",1,0)</f>
        <v>0</v>
      </c>
      <c r="AF115">
        <f>$AF114+$AE115</f>
        <v>0</v>
      </c>
      <c r="AG115">
        <f>IF($Y115&lt;&gt;"",1,0)</f>
        <v>0</v>
      </c>
    </row>
    <row r="116">
      <c r="W116" t="n">
        <v>115</v>
      </c>
      <c r="X116" t="str">
        <f>$J$9</f>
        <v>مجموعة 8</v>
      </c>
      <c r="Y116" t="str">
        <f>IF('مجموعة 8'!$B14="","",'مجموعة 8'!$B14)</f>
        <v/>
      </c>
      <c r="Z116" t="str">
        <f>IF('مجموعة 8'!$C14="","",'مجموعة 8'!$C14)</f>
        <v/>
      </c>
      <c r="AA116" t="str">
        <f>IF($Y116="","",'مجموعة 8'!$D14)</f>
        <v/>
      </c>
      <c r="AB116">
        <f>IF(AND($Y116&lt;&gt;"",ISNUMBER($AA116),$AA116&gt;='الرئيسية'!$H$27),1,0)</f>
        <v>0</v>
      </c>
      <c r="AC116">
        <f>$AC115+$AB116</f>
        <v>0</v>
      </c>
      <c r="AD116" t="str">
        <f>IF(OR($Y116="",'مجموعة 8'!$F14="تمام",'مجموعة 8'!$F14="-"),"",'مجموعة 8'!$F14)</f>
        <v/>
      </c>
      <c r="AE116">
        <f>IF($AD116&lt;&gt;"",1,0)</f>
        <v>0</v>
      </c>
      <c r="AF116">
        <f>$AF115+$AE116</f>
        <v>0</v>
      </c>
      <c r="AG116">
        <f>IF($Y116&lt;&gt;"",1,0)</f>
        <v>0</v>
      </c>
    </row>
    <row r="117">
      <c r="W117" t="n">
        <v>116</v>
      </c>
      <c r="X117" t="str">
        <f>$J$9</f>
        <v>مجموعة 8</v>
      </c>
      <c r="Y117" t="str">
        <f>IF('مجموعة 8'!$B15="","",'مجموعة 8'!$B15)</f>
        <v/>
      </c>
      <c r="Z117" t="str">
        <f>IF('مجموعة 8'!$C15="","",'مجموعة 8'!$C15)</f>
        <v/>
      </c>
      <c r="AA117" t="str">
        <f>IF($Y117="","",'مجموعة 8'!$D15)</f>
        <v/>
      </c>
      <c r="AB117">
        <f>IF(AND($Y117&lt;&gt;"",ISNUMBER($AA117),$AA117&gt;='الرئيسية'!$H$27),1,0)</f>
        <v>0</v>
      </c>
      <c r="AC117">
        <f>$AC116+$AB117</f>
        <v>0</v>
      </c>
      <c r="AD117" t="str">
        <f>IF(OR($Y117="",'مجموعة 8'!$F15="تمام",'مجموعة 8'!$F15="-"),"",'مجموعة 8'!$F15)</f>
        <v/>
      </c>
      <c r="AE117">
        <f>IF($AD117&lt;&gt;"",1,0)</f>
        <v>0</v>
      </c>
      <c r="AF117">
        <f>$AF116+$AE117</f>
        <v>0</v>
      </c>
      <c r="AG117">
        <f>IF($Y117&lt;&gt;"",1,0)</f>
        <v>0</v>
      </c>
    </row>
    <row r="118">
      <c r="W118" t="n">
        <v>117</v>
      </c>
      <c r="X118" t="str">
        <f>$J$9</f>
        <v>مجموعة 8</v>
      </c>
      <c r="Y118" t="str">
        <f>IF('مجموعة 8'!$B16="","",'مجموعة 8'!$B16)</f>
        <v/>
      </c>
      <c r="Z118" t="str">
        <f>IF('مجموعة 8'!$C16="","",'مجموعة 8'!$C16)</f>
        <v/>
      </c>
      <c r="AA118" t="str">
        <f>IF($Y118="","",'مجموعة 8'!$D16)</f>
        <v/>
      </c>
      <c r="AB118">
        <f>IF(AND($Y118&lt;&gt;"",ISNUMBER($AA118),$AA118&gt;='الرئيسية'!$H$27),1,0)</f>
        <v>0</v>
      </c>
      <c r="AC118">
        <f>$AC117+$AB118</f>
        <v>0</v>
      </c>
      <c r="AD118" t="str">
        <f>IF(OR($Y118="",'مجموعة 8'!$F16="تمام",'مجموعة 8'!$F16="-"),"",'مجموعة 8'!$F16)</f>
        <v/>
      </c>
      <c r="AE118">
        <f>IF($AD118&lt;&gt;"",1,0)</f>
        <v>0</v>
      </c>
      <c r="AF118">
        <f>$AF117+$AE118</f>
        <v>0</v>
      </c>
      <c r="AG118">
        <f>IF($Y118&lt;&gt;"",1,0)</f>
        <v>0</v>
      </c>
    </row>
    <row r="119">
      <c r="W119" t="n">
        <v>118</v>
      </c>
      <c r="X119" t="str">
        <f>$J$9</f>
        <v>مجموعة 8</v>
      </c>
      <c r="Y119" t="str">
        <f>IF('مجموعة 8'!$B17="","",'مجموعة 8'!$B17)</f>
        <v/>
      </c>
      <c r="Z119" t="str">
        <f>IF('مجموعة 8'!$C17="","",'مجموعة 8'!$C17)</f>
        <v/>
      </c>
      <c r="AA119" t="str">
        <f>IF($Y119="","",'مجموعة 8'!$D17)</f>
        <v/>
      </c>
      <c r="AB119">
        <f>IF(AND($Y119&lt;&gt;"",ISNUMBER($AA119),$AA119&gt;='الرئيسية'!$H$27),1,0)</f>
        <v>0</v>
      </c>
      <c r="AC119">
        <f>$AC118+$AB119</f>
        <v>0</v>
      </c>
      <c r="AD119" t="str">
        <f>IF(OR($Y119="",'مجموعة 8'!$F17="تمام",'مجموعة 8'!$F17="-"),"",'مجموعة 8'!$F17)</f>
        <v/>
      </c>
      <c r="AE119">
        <f>IF($AD119&lt;&gt;"",1,0)</f>
        <v>0</v>
      </c>
      <c r="AF119">
        <f>$AF118+$AE119</f>
        <v>0</v>
      </c>
      <c r="AG119">
        <f>IF($Y119&lt;&gt;"",1,0)</f>
        <v>0</v>
      </c>
    </row>
    <row r="120">
      <c r="W120" t="n">
        <v>119</v>
      </c>
      <c r="X120" t="str">
        <f>$J$9</f>
        <v>مجموعة 8</v>
      </c>
      <c r="Y120" t="str">
        <f>IF('مجموعة 8'!$B18="","",'مجموعة 8'!$B18)</f>
        <v/>
      </c>
      <c r="Z120" t="str">
        <f>IF('مجموعة 8'!$C18="","",'مجموعة 8'!$C18)</f>
        <v/>
      </c>
      <c r="AA120" t="str">
        <f>IF($Y120="","",'مجموعة 8'!$D18)</f>
        <v/>
      </c>
      <c r="AB120">
        <f>IF(AND($Y120&lt;&gt;"",ISNUMBER($AA120),$AA120&gt;='الرئيسية'!$H$27),1,0)</f>
        <v>0</v>
      </c>
      <c r="AC120">
        <f>$AC119+$AB120</f>
        <v>0</v>
      </c>
      <c r="AD120" t="str">
        <f>IF(OR($Y120="",'مجموعة 8'!$F18="تمام",'مجموعة 8'!$F18="-"),"",'مجموعة 8'!$F18)</f>
        <v/>
      </c>
      <c r="AE120">
        <f>IF($AD120&lt;&gt;"",1,0)</f>
        <v>0</v>
      </c>
      <c r="AF120">
        <f>$AF119+$AE120</f>
        <v>0</v>
      </c>
      <c r="AG120">
        <f>IF($Y120&lt;&gt;"",1,0)</f>
        <v>0</v>
      </c>
    </row>
    <row r="121">
      <c r="W121" t="n">
        <v>120</v>
      </c>
      <c r="X121" t="str">
        <f>$J$9</f>
        <v>مجموعة 8</v>
      </c>
      <c r="Y121" t="str">
        <f>IF('مجموعة 8'!$B19="","",'مجموعة 8'!$B19)</f>
        <v/>
      </c>
      <c r="Z121" t="str">
        <f>IF('مجموعة 8'!$C19="","",'مجموعة 8'!$C19)</f>
        <v/>
      </c>
      <c r="AA121" t="str">
        <f>IF($Y121="","",'مجموعة 8'!$D19)</f>
        <v/>
      </c>
      <c r="AB121">
        <f>IF(AND($Y121&lt;&gt;"",ISNUMBER($AA121),$AA121&gt;='الرئيسية'!$H$27),1,0)</f>
        <v>0</v>
      </c>
      <c r="AC121">
        <f>$AC120+$AB121</f>
        <v>0</v>
      </c>
      <c r="AD121" t="str">
        <f>IF(OR($Y121="",'مجموعة 8'!$F19="تمام",'مجموعة 8'!$F19="-"),"",'مجموعة 8'!$F19)</f>
        <v/>
      </c>
      <c r="AE121">
        <f>IF($AD121&lt;&gt;"",1,0)</f>
        <v>0</v>
      </c>
      <c r="AF121">
        <f>$AF120+$AE121</f>
        <v>0</v>
      </c>
      <c r="AG121">
        <f>IF($Y121&lt;&gt;"",1,0)</f>
        <v>0</v>
      </c>
    </row>
    <row r="122">
      <c r="W122" t="n">
        <v>121</v>
      </c>
      <c r="X122" t="str">
        <f>$J$10</f>
        <v>أونلاين</v>
      </c>
      <c r="Y122" t="str">
        <f>IF('أونلاين'!$B4="","",'أونلاين'!$B4)</f>
        <v/>
      </c>
      <c r="Z122" t="str">
        <f>IF('أونلاين'!$C4="","",'أونلاين'!$C4)</f>
        <v/>
      </c>
      <c r="AA122" t="str">
        <f>""</f>
        <v/>
      </c>
      <c r="AB122">
        <f>IF(AND($Y122&lt;&gt;"",ISNUMBER($AA122),$AA122&gt;='الرئيسية'!$H$27),1,0)</f>
        <v>0</v>
      </c>
      <c r="AC122">
        <f>$AC121+$AB122</f>
        <v>0</v>
      </c>
      <c r="AD122" t="str">
        <f>IF($Y122="","",IF(OR('أونلاين'!$F4="تجديد",LEFT('أونلاين'!$F4,4)="عليه"),'أونلاين'!$F4,""))</f>
        <v/>
      </c>
      <c r="AE122">
        <f>IF($AD122&lt;&gt;"",1,0)</f>
        <v>0</v>
      </c>
      <c r="AF122">
        <f>$AF121+$AE122</f>
        <v>0</v>
      </c>
      <c r="AG122">
        <f>IF($Y122&lt;&gt;"",1,0)</f>
        <v>0</v>
      </c>
    </row>
    <row r="123">
      <c r="W123" t="n">
        <v>122</v>
      </c>
      <c r="X123" t="str">
        <f>$J$10</f>
        <v>أونلاين</v>
      </c>
      <c r="Y123" t="str">
        <f>IF('أونلاين'!$B5="","",'أونلاين'!$B5)</f>
        <v/>
      </c>
      <c r="Z123" t="str">
        <f>IF('أونلاين'!$C5="","",'أونلاين'!$C5)</f>
        <v/>
      </c>
      <c r="AA123" t="str">
        <f>""</f>
        <v/>
      </c>
      <c r="AB123">
        <f>IF(AND($Y123&lt;&gt;"",ISNUMBER($AA123),$AA123&gt;='الرئيسية'!$H$27),1,0)</f>
        <v>0</v>
      </c>
      <c r="AC123">
        <f>$AC122+$AB123</f>
        <v>0</v>
      </c>
      <c r="AD123" t="str">
        <f>IF($Y123="","",IF(OR('أونلاين'!$F5="تجديد",LEFT('أونلاين'!$F5,4)="عليه"),'أونلاين'!$F5,""))</f>
        <v/>
      </c>
      <c r="AE123">
        <f>IF($AD123&lt;&gt;"",1,0)</f>
        <v>0</v>
      </c>
      <c r="AF123">
        <f>$AF122+$AE123</f>
        <v>0</v>
      </c>
      <c r="AG123">
        <f>IF($Y123&lt;&gt;"",1,0)</f>
        <v>0</v>
      </c>
    </row>
    <row r="124">
      <c r="W124" t="n">
        <v>123</v>
      </c>
      <c r="X124" t="str">
        <f>$J$10</f>
        <v>أونلاين</v>
      </c>
      <c r="Y124" t="str">
        <f>IF('أونلاين'!$B6="","",'أونلاين'!$B6)</f>
        <v/>
      </c>
      <c r="Z124" t="str">
        <f>IF('أونلاين'!$C6="","",'أونلاين'!$C6)</f>
        <v/>
      </c>
      <c r="AA124" t="str">
        <f>""</f>
        <v/>
      </c>
      <c r="AB124">
        <f>IF(AND($Y124&lt;&gt;"",ISNUMBER($AA124),$AA124&gt;='الرئيسية'!$H$27),1,0)</f>
        <v>0</v>
      </c>
      <c r="AC124">
        <f>$AC123+$AB124</f>
        <v>0</v>
      </c>
      <c r="AD124" t="str">
        <f>IF($Y124="","",IF(OR('أونلاين'!$F6="تجديد",LEFT('أونلاين'!$F6,4)="عليه"),'أونلاين'!$F6,""))</f>
        <v/>
      </c>
      <c r="AE124">
        <f>IF($AD124&lt;&gt;"",1,0)</f>
        <v>0</v>
      </c>
      <c r="AF124">
        <f>$AF123+$AE124</f>
        <v>0</v>
      </c>
      <c r="AG124">
        <f>IF($Y124&lt;&gt;"",1,0)</f>
        <v>0</v>
      </c>
    </row>
    <row r="125">
      <c r="W125" t="n">
        <v>124</v>
      </c>
      <c r="X125" t="str">
        <f>$J$10</f>
        <v>أونلاين</v>
      </c>
      <c r="Y125" t="str">
        <f>IF('أونلاين'!$B7="","",'أونلاين'!$B7)</f>
        <v/>
      </c>
      <c r="Z125" t="str">
        <f>IF('أونلاين'!$C7="","",'أونلاين'!$C7)</f>
        <v/>
      </c>
      <c r="AA125" t="str">
        <f>""</f>
        <v/>
      </c>
      <c r="AB125">
        <f>IF(AND($Y125&lt;&gt;"",ISNUMBER($AA125),$AA125&gt;='الرئيسية'!$H$27),1,0)</f>
        <v>0</v>
      </c>
      <c r="AC125">
        <f>$AC124+$AB125</f>
        <v>0</v>
      </c>
      <c r="AD125" t="str">
        <f>IF($Y125="","",IF(OR('أونلاين'!$F7="تجديد",LEFT('أونلاين'!$F7,4)="عليه"),'أونلاين'!$F7,""))</f>
        <v/>
      </c>
      <c r="AE125">
        <f>IF($AD125&lt;&gt;"",1,0)</f>
        <v>0</v>
      </c>
      <c r="AF125">
        <f>$AF124+$AE125</f>
        <v>0</v>
      </c>
      <c r="AG125">
        <f>IF($Y125&lt;&gt;"",1,0)</f>
        <v>0</v>
      </c>
    </row>
    <row r="126">
      <c r="W126" t="n">
        <v>125</v>
      </c>
      <c r="X126" t="str">
        <f>$J$10</f>
        <v>أونلاين</v>
      </c>
      <c r="Y126" t="str">
        <f>IF('أونلاين'!$B8="","",'أونلاين'!$B8)</f>
        <v/>
      </c>
      <c r="Z126" t="str">
        <f>IF('أونلاين'!$C8="","",'أونلاين'!$C8)</f>
        <v/>
      </c>
      <c r="AA126" t="str">
        <f>""</f>
        <v/>
      </c>
      <c r="AB126">
        <f>IF(AND($Y126&lt;&gt;"",ISNUMBER($AA126),$AA126&gt;='الرئيسية'!$H$27),1,0)</f>
        <v>0</v>
      </c>
      <c r="AC126">
        <f>$AC125+$AB126</f>
        <v>0</v>
      </c>
      <c r="AD126" t="str">
        <f>IF($Y126="","",IF(OR('أونلاين'!$F8="تجديد",LEFT('أونلاين'!$F8,4)="عليه"),'أونلاين'!$F8,""))</f>
        <v/>
      </c>
      <c r="AE126">
        <f>IF($AD126&lt;&gt;"",1,0)</f>
        <v>0</v>
      </c>
      <c r="AF126">
        <f>$AF125+$AE126</f>
        <v>0</v>
      </c>
      <c r="AG126">
        <f>IF($Y126&lt;&gt;"",1,0)</f>
        <v>0</v>
      </c>
    </row>
    <row r="127">
      <c r="W127" t="n">
        <v>126</v>
      </c>
      <c r="X127" t="str">
        <f>$J$10</f>
        <v>أونلاين</v>
      </c>
      <c r="Y127" t="str">
        <f>IF('أونلاين'!$B9="","",'أونلاين'!$B9)</f>
        <v/>
      </c>
      <c r="Z127" t="str">
        <f>IF('أونلاين'!$C9="","",'أونلاين'!$C9)</f>
        <v/>
      </c>
      <c r="AA127" t="str">
        <f>""</f>
        <v/>
      </c>
      <c r="AB127">
        <f>IF(AND($Y127&lt;&gt;"",ISNUMBER($AA127),$AA127&gt;='الرئيسية'!$H$27),1,0)</f>
        <v>0</v>
      </c>
      <c r="AC127">
        <f>$AC126+$AB127</f>
        <v>0</v>
      </c>
      <c r="AD127" t="str">
        <f>IF($Y127="","",IF(OR('أونلاين'!$F9="تجديد",LEFT('أونلاين'!$F9,4)="عليه"),'أونلاين'!$F9,""))</f>
        <v/>
      </c>
      <c r="AE127">
        <f>IF($AD127&lt;&gt;"",1,0)</f>
        <v>0</v>
      </c>
      <c r="AF127">
        <f>$AF126+$AE127</f>
        <v>0</v>
      </c>
      <c r="AG127">
        <f>IF($Y127&lt;&gt;"",1,0)</f>
        <v>0</v>
      </c>
    </row>
    <row r="128">
      <c r="W128" t="n">
        <v>127</v>
      </c>
      <c r="X128" t="str">
        <f>$J$10</f>
        <v>أونلاين</v>
      </c>
      <c r="Y128" t="str">
        <f>IF('أونلاين'!$B10="","",'أونلاين'!$B10)</f>
        <v/>
      </c>
      <c r="Z128" t="str">
        <f>IF('أونلاين'!$C10="","",'أونلاين'!$C10)</f>
        <v/>
      </c>
      <c r="AA128" t="str">
        <f>""</f>
        <v/>
      </c>
      <c r="AB128">
        <f>IF(AND($Y128&lt;&gt;"",ISNUMBER($AA128),$AA128&gt;='الرئيسية'!$H$27),1,0)</f>
        <v>0</v>
      </c>
      <c r="AC128">
        <f>$AC127+$AB128</f>
        <v>0</v>
      </c>
      <c r="AD128" t="str">
        <f>IF($Y128="","",IF(OR('أونلاين'!$F10="تجديد",LEFT('أونلاين'!$F10,4)="عليه"),'أونلاين'!$F10,""))</f>
        <v/>
      </c>
      <c r="AE128">
        <f>IF($AD128&lt;&gt;"",1,0)</f>
        <v>0</v>
      </c>
      <c r="AF128">
        <f>$AF127+$AE128</f>
        <v>0</v>
      </c>
      <c r="AG128">
        <f>IF($Y128&lt;&gt;"",1,0)</f>
        <v>0</v>
      </c>
    </row>
    <row r="129">
      <c r="W129" t="n">
        <v>128</v>
      </c>
      <c r="X129" t="str">
        <f>$J$10</f>
        <v>أونلاين</v>
      </c>
      <c r="Y129" t="str">
        <f>IF('أونلاين'!$B11="","",'أونلاين'!$B11)</f>
        <v/>
      </c>
      <c r="Z129" t="str">
        <f>IF('أونلاين'!$C11="","",'أونلاين'!$C11)</f>
        <v/>
      </c>
      <c r="AA129" t="str">
        <f>""</f>
        <v/>
      </c>
      <c r="AB129">
        <f>IF(AND($Y129&lt;&gt;"",ISNUMBER($AA129),$AA129&gt;='الرئيسية'!$H$27),1,0)</f>
        <v>0</v>
      </c>
      <c r="AC129">
        <f>$AC128+$AB129</f>
        <v>0</v>
      </c>
      <c r="AD129" t="str">
        <f>IF($Y129="","",IF(OR('أونلاين'!$F11="تجديد",LEFT('أونلاين'!$F11,4)="عليه"),'أونلاين'!$F11,""))</f>
        <v/>
      </c>
      <c r="AE129">
        <f>IF($AD129&lt;&gt;"",1,0)</f>
        <v>0</v>
      </c>
      <c r="AF129">
        <f>$AF128+$AE129</f>
        <v>0</v>
      </c>
      <c r="AG129">
        <f>IF($Y129&lt;&gt;"",1,0)</f>
        <v>0</v>
      </c>
    </row>
    <row r="130">
      <c r="W130" t="n">
        <v>129</v>
      </c>
      <c r="X130" t="str">
        <f>$J$10</f>
        <v>أونلاين</v>
      </c>
      <c r="Y130" t="str">
        <f>IF('أونلاين'!$B12="","",'أونلاين'!$B12)</f>
        <v/>
      </c>
      <c r="Z130" t="str">
        <f>IF('أونلاين'!$C12="","",'أونلاين'!$C12)</f>
        <v/>
      </c>
      <c r="AA130" t="str">
        <f>""</f>
        <v/>
      </c>
      <c r="AB130">
        <f>IF(AND($Y130&lt;&gt;"",ISNUMBER($AA130),$AA130&gt;='الرئيسية'!$H$27),1,0)</f>
        <v>0</v>
      </c>
      <c r="AC130">
        <f>$AC129+$AB130</f>
        <v>0</v>
      </c>
      <c r="AD130" t="str">
        <f>IF($Y130="","",IF(OR('أونلاين'!$F12="تجديد",LEFT('أونلاين'!$F12,4)="عليه"),'أونلاين'!$F12,""))</f>
        <v/>
      </c>
      <c r="AE130">
        <f>IF($AD130&lt;&gt;"",1,0)</f>
        <v>0</v>
      </c>
      <c r="AF130">
        <f>$AF129+$AE130</f>
        <v>0</v>
      </c>
      <c r="AG130">
        <f>IF($Y130&lt;&gt;"",1,0)</f>
        <v>0</v>
      </c>
    </row>
    <row r="131">
      <c r="W131" t="n">
        <v>130</v>
      </c>
      <c r="X131" t="str">
        <f>$J$10</f>
        <v>أونلاين</v>
      </c>
      <c r="Y131" t="str">
        <f>IF('أونلاين'!$B13="","",'أونلاين'!$B13)</f>
        <v/>
      </c>
      <c r="Z131" t="str">
        <f>IF('أونلاين'!$C13="","",'أونلاين'!$C13)</f>
        <v/>
      </c>
      <c r="AA131" t="str">
        <f>""</f>
        <v/>
      </c>
      <c r="AB131">
        <f>IF(AND($Y131&lt;&gt;"",ISNUMBER($AA131),$AA131&gt;='الرئيسية'!$H$27),1,0)</f>
        <v>0</v>
      </c>
      <c r="AC131">
        <f>$AC130+$AB131</f>
        <v>0</v>
      </c>
      <c r="AD131" t="str">
        <f>IF($Y131="","",IF(OR('أونلاين'!$F13="تجديد",LEFT('أونلاين'!$F13,4)="عليه"),'أونلاين'!$F13,""))</f>
        <v/>
      </c>
      <c r="AE131">
        <f>IF($AD131&lt;&gt;"",1,0)</f>
        <v>0</v>
      </c>
      <c r="AF131">
        <f>$AF130+$AE131</f>
        <v>0</v>
      </c>
      <c r="AG131">
        <f>IF($Y131&lt;&gt;"",1,0)</f>
        <v>0</v>
      </c>
    </row>
    <row r="132">
      <c r="W132" t="n">
        <v>131</v>
      </c>
      <c r="X132" t="str">
        <f>$J$10</f>
        <v>أونلاين</v>
      </c>
      <c r="Y132" t="str">
        <f>IF('أونلاين'!$B14="","",'أونلاين'!$B14)</f>
        <v/>
      </c>
      <c r="Z132" t="str">
        <f>IF('أونلاين'!$C14="","",'أونلاين'!$C14)</f>
        <v/>
      </c>
      <c r="AA132" t="str">
        <f>""</f>
        <v/>
      </c>
      <c r="AB132">
        <f>IF(AND($Y132&lt;&gt;"",ISNUMBER($AA132),$AA132&gt;='الرئيسية'!$H$27),1,0)</f>
        <v>0</v>
      </c>
      <c r="AC132">
        <f>$AC131+$AB132</f>
        <v>0</v>
      </c>
      <c r="AD132" t="str">
        <f>IF($Y132="","",IF(OR('أونلاين'!$F14="تجديد",LEFT('أونلاين'!$F14,4)="عليه"),'أونلاين'!$F14,""))</f>
        <v/>
      </c>
      <c r="AE132">
        <f>IF($AD132&lt;&gt;"",1,0)</f>
        <v>0</v>
      </c>
      <c r="AF132">
        <f>$AF131+$AE132</f>
        <v>0</v>
      </c>
      <c r="AG132">
        <f>IF($Y132&lt;&gt;"",1,0)</f>
        <v>0</v>
      </c>
    </row>
    <row r="133">
      <c r="W133" t="n">
        <v>132</v>
      </c>
      <c r="X133" t="str">
        <f>$J$10</f>
        <v>أونلاين</v>
      </c>
      <c r="Y133" t="str">
        <f>IF('أونلاين'!$B15="","",'أونلاين'!$B15)</f>
        <v/>
      </c>
      <c r="Z133" t="str">
        <f>IF('أونلاين'!$C15="","",'أونلاين'!$C15)</f>
        <v/>
      </c>
      <c r="AA133" t="str">
        <f>""</f>
        <v/>
      </c>
      <c r="AB133">
        <f>IF(AND($Y133&lt;&gt;"",ISNUMBER($AA133),$AA133&gt;='الرئيسية'!$H$27),1,0)</f>
        <v>0</v>
      </c>
      <c r="AC133">
        <f>$AC132+$AB133</f>
        <v>0</v>
      </c>
      <c r="AD133" t="str">
        <f>IF($Y133="","",IF(OR('أونلاين'!$F15="تجديد",LEFT('أونلاين'!$F15,4)="عليه"),'أونلاين'!$F15,""))</f>
        <v/>
      </c>
      <c r="AE133">
        <f>IF($AD133&lt;&gt;"",1,0)</f>
        <v>0</v>
      </c>
      <c r="AF133">
        <f>$AF132+$AE133</f>
        <v>0</v>
      </c>
      <c r="AG133">
        <f>IF($Y133&lt;&gt;"",1,0)</f>
        <v>0</v>
      </c>
    </row>
    <row r="134">
      <c r="W134" t="n">
        <v>133</v>
      </c>
      <c r="X134" t="str">
        <f>$J$10</f>
        <v>أونلاين</v>
      </c>
      <c r="Y134" t="str">
        <f>IF('أونلاين'!$B16="","",'أونلاين'!$B16)</f>
        <v/>
      </c>
      <c r="Z134" t="str">
        <f>IF('أونلاين'!$C16="","",'أونلاين'!$C16)</f>
        <v/>
      </c>
      <c r="AA134" t="str">
        <f>""</f>
        <v/>
      </c>
      <c r="AB134">
        <f>IF(AND($Y134&lt;&gt;"",ISNUMBER($AA134),$AA134&gt;='الرئيسية'!$H$27),1,0)</f>
        <v>0</v>
      </c>
      <c r="AC134">
        <f>$AC133+$AB134</f>
        <v>0</v>
      </c>
      <c r="AD134" t="str">
        <f>IF($Y134="","",IF(OR('أونلاين'!$F16="تجديد",LEFT('أونلاين'!$F16,4)="عليه"),'أونلاين'!$F16,""))</f>
        <v/>
      </c>
      <c r="AE134">
        <f>IF($AD134&lt;&gt;"",1,0)</f>
        <v>0</v>
      </c>
      <c r="AF134">
        <f>$AF133+$AE134</f>
        <v>0</v>
      </c>
      <c r="AG134">
        <f>IF($Y134&lt;&gt;"",1,0)</f>
        <v>0</v>
      </c>
    </row>
    <row r="135">
      <c r="W135" t="n">
        <v>134</v>
      </c>
      <c r="X135" t="str">
        <f>$J$10</f>
        <v>أونلاين</v>
      </c>
      <c r="Y135" t="str">
        <f>IF('أونلاين'!$B17="","",'أونلاين'!$B17)</f>
        <v/>
      </c>
      <c r="Z135" t="str">
        <f>IF('أونلاين'!$C17="","",'أونلاين'!$C17)</f>
        <v/>
      </c>
      <c r="AA135" t="str">
        <f>""</f>
        <v/>
      </c>
      <c r="AB135">
        <f>IF(AND($Y135&lt;&gt;"",ISNUMBER($AA135),$AA135&gt;='الرئيسية'!$H$27),1,0)</f>
        <v>0</v>
      </c>
      <c r="AC135">
        <f>$AC134+$AB135</f>
        <v>0</v>
      </c>
      <c r="AD135" t="str">
        <f>IF($Y135="","",IF(OR('أونلاين'!$F17="تجديد",LEFT('أونلاين'!$F17,4)="عليه"),'أونلاين'!$F17,""))</f>
        <v/>
      </c>
      <c r="AE135">
        <f>IF($AD135&lt;&gt;"",1,0)</f>
        <v>0</v>
      </c>
      <c r="AF135">
        <f>$AF134+$AE135</f>
        <v>0</v>
      </c>
      <c r="AG135">
        <f>IF($Y135&lt;&gt;"",1,0)</f>
        <v>0</v>
      </c>
    </row>
    <row r="136">
      <c r="W136" t="n">
        <v>135</v>
      </c>
      <c r="X136" t="str">
        <f>$J$10</f>
        <v>أونلاين</v>
      </c>
      <c r="Y136" t="str">
        <f>IF('أونلاين'!$B18="","",'أونلاين'!$B18)</f>
        <v/>
      </c>
      <c r="Z136" t="str">
        <f>IF('أونلاين'!$C18="","",'أونلاين'!$C18)</f>
        <v/>
      </c>
      <c r="AA136" t="str">
        <f>""</f>
        <v/>
      </c>
      <c r="AB136">
        <f>IF(AND($Y136&lt;&gt;"",ISNUMBER($AA136),$AA136&gt;='الرئيسية'!$H$27),1,0)</f>
        <v>0</v>
      </c>
      <c r="AC136">
        <f>$AC135+$AB136</f>
        <v>0</v>
      </c>
      <c r="AD136" t="str">
        <f>IF($Y136="","",IF(OR('أونلاين'!$F18="تجديد",LEFT('أونلاين'!$F18,4)="عليه"),'أونلاين'!$F18,""))</f>
        <v/>
      </c>
      <c r="AE136">
        <f>IF($AD136&lt;&gt;"",1,0)</f>
        <v>0</v>
      </c>
      <c r="AF136">
        <f>$AF135+$AE136</f>
        <v>0</v>
      </c>
      <c r="AG136">
        <f>IF($Y136&lt;&gt;"",1,0)</f>
        <v>0</v>
      </c>
    </row>
    <row r="137">
      <c r="W137" t="n">
        <v>136</v>
      </c>
      <c r="X137" t="str">
        <f>$J$10</f>
        <v>أونلاين</v>
      </c>
      <c r="Y137" t="str">
        <f>IF('أونلاين'!$B19="","",'أونلاين'!$B19)</f>
        <v/>
      </c>
      <c r="Z137" t="str">
        <f>IF('أونلاين'!$C19="","",'أونلاين'!$C19)</f>
        <v/>
      </c>
      <c r="AA137" t="str">
        <f>""</f>
        <v/>
      </c>
      <c r="AB137">
        <f>IF(AND($Y137&lt;&gt;"",ISNUMBER($AA137),$AA137&gt;='الرئيسية'!$H$27),1,0)</f>
        <v>0</v>
      </c>
      <c r="AC137">
        <f>$AC136+$AB137</f>
        <v>0</v>
      </c>
      <c r="AD137" t="str">
        <f>IF($Y137="","",IF(OR('أونلاين'!$F19="تجديد",LEFT('أونلاين'!$F19,4)="عليه"),'أونلاين'!$F19,""))</f>
        <v/>
      </c>
      <c r="AE137">
        <f>IF($AD137&lt;&gt;"",1,0)</f>
        <v>0</v>
      </c>
      <c r="AF137">
        <f>$AF136+$AE137</f>
        <v>0</v>
      </c>
      <c r="AG137">
        <f>IF($Y137&lt;&gt;"",1,0)</f>
        <v>0</v>
      </c>
    </row>
    <row r="138">
      <c r="W138" t="n">
        <v>137</v>
      </c>
      <c r="X138" t="str">
        <f>$J$10</f>
        <v>أونلاين</v>
      </c>
      <c r="Y138" t="str">
        <f>IF('أونلاين'!$B20="","",'أونلاين'!$B20)</f>
        <v/>
      </c>
      <c r="Z138" t="str">
        <f>IF('أونلاين'!$C20="","",'أونلاين'!$C20)</f>
        <v/>
      </c>
      <c r="AA138" t="str">
        <f>""</f>
        <v/>
      </c>
      <c r="AB138">
        <f>IF(AND($Y138&lt;&gt;"",ISNUMBER($AA138),$AA138&gt;='الرئيسية'!$H$27),1,0)</f>
        <v>0</v>
      </c>
      <c r="AC138">
        <f>$AC137+$AB138</f>
        <v>0</v>
      </c>
      <c r="AD138" t="str">
        <f>IF($Y138="","",IF(OR('أونلاين'!$F20="تجديد",LEFT('أونلاين'!$F20,4)="عليه"),'أونلاين'!$F20,""))</f>
        <v/>
      </c>
      <c r="AE138">
        <f>IF($AD138&lt;&gt;"",1,0)</f>
        <v>0</v>
      </c>
      <c r="AF138">
        <f>$AF137+$AE138</f>
        <v>0</v>
      </c>
      <c r="AG138">
        <f>IF($Y138&lt;&gt;"",1,0)</f>
        <v>0</v>
      </c>
    </row>
    <row r="139">
      <c r="W139" t="n">
        <v>138</v>
      </c>
      <c r="X139" t="str">
        <f>$J$10</f>
        <v>أونلاين</v>
      </c>
      <c r="Y139" t="str">
        <f>IF('أونلاين'!$B21="","",'أونلاين'!$B21)</f>
        <v/>
      </c>
      <c r="Z139" t="str">
        <f>IF('أونلاين'!$C21="","",'أونلاين'!$C21)</f>
        <v/>
      </c>
      <c r="AA139" t="str">
        <f>""</f>
        <v/>
      </c>
      <c r="AB139">
        <f>IF(AND($Y139&lt;&gt;"",ISNUMBER($AA139),$AA139&gt;='الرئيسية'!$H$27),1,0)</f>
        <v>0</v>
      </c>
      <c r="AC139">
        <f>$AC138+$AB139</f>
        <v>0</v>
      </c>
      <c r="AD139" t="str">
        <f>IF($Y139="","",IF(OR('أونلاين'!$F21="تجديد",LEFT('أونلاين'!$F21,4)="عليه"),'أونلاين'!$F21,""))</f>
        <v/>
      </c>
      <c r="AE139">
        <f>IF($AD139&lt;&gt;"",1,0)</f>
        <v>0</v>
      </c>
      <c r="AF139">
        <f>$AF138+$AE139</f>
        <v>0</v>
      </c>
      <c r="AG139">
        <f>IF($Y139&lt;&gt;"",1,0)</f>
        <v>0</v>
      </c>
    </row>
    <row r="140">
      <c r="W140" t="n">
        <v>139</v>
      </c>
      <c r="X140" t="str">
        <f>$J$10</f>
        <v>أونلاين</v>
      </c>
      <c r="Y140" t="str">
        <f>IF('أونلاين'!$B22="","",'أونلاين'!$B22)</f>
        <v/>
      </c>
      <c r="Z140" t="str">
        <f>IF('أونلاين'!$C22="","",'أونلاين'!$C22)</f>
        <v/>
      </c>
      <c r="AA140" t="str">
        <f>""</f>
        <v/>
      </c>
      <c r="AB140">
        <f>IF(AND($Y140&lt;&gt;"",ISNUMBER($AA140),$AA140&gt;='الرئيسية'!$H$27),1,0)</f>
        <v>0</v>
      </c>
      <c r="AC140">
        <f>$AC139+$AB140</f>
        <v>0</v>
      </c>
      <c r="AD140" t="str">
        <f>IF($Y140="","",IF(OR('أونلاين'!$F22="تجديد",LEFT('أونلاين'!$F22,4)="عليه"),'أونلاين'!$F22,""))</f>
        <v/>
      </c>
      <c r="AE140">
        <f>IF($AD140&lt;&gt;"",1,0)</f>
        <v>0</v>
      </c>
      <c r="AF140">
        <f>$AF139+$AE140</f>
        <v>0</v>
      </c>
      <c r="AG140">
        <f>IF($Y140&lt;&gt;"",1,0)</f>
        <v>0</v>
      </c>
    </row>
    <row r="141">
      <c r="W141" t="n">
        <v>140</v>
      </c>
      <c r="X141" t="str">
        <f>$J$10</f>
        <v>أونلاين</v>
      </c>
      <c r="Y141" t="str">
        <f>IF('أونلاين'!$B23="","",'أونلاين'!$B23)</f>
        <v/>
      </c>
      <c r="Z141" t="str">
        <f>IF('أونلاين'!$C23="","",'أونلاين'!$C23)</f>
        <v/>
      </c>
      <c r="AA141" t="str">
        <f>""</f>
        <v/>
      </c>
      <c r="AB141">
        <f>IF(AND($Y141&lt;&gt;"",ISNUMBER($AA141),$AA141&gt;='الرئيسية'!$H$27),1,0)</f>
        <v>0</v>
      </c>
      <c r="AC141">
        <f>$AC140+$AB141</f>
        <v>0</v>
      </c>
      <c r="AD141" t="str">
        <f>IF($Y141="","",IF(OR('أونلاين'!$F23="تجديد",LEFT('أونلاين'!$F23,4)="عليه"),'أونلاين'!$F23,""))</f>
        <v/>
      </c>
      <c r="AE141">
        <f>IF($AD141&lt;&gt;"",1,0)</f>
        <v>0</v>
      </c>
      <c r="AF141">
        <f>$AF140+$AE141</f>
        <v>0</v>
      </c>
      <c r="AG141">
        <f>IF($Y141&lt;&gt;"",1,0)</f>
        <v>0</v>
      </c>
    </row>
    <row r="142">
      <c r="W142" t="n">
        <v>141</v>
      </c>
      <c r="X142" t="str">
        <f>$J$10</f>
        <v>أونلاين</v>
      </c>
      <c r="Y142" t="str">
        <f>IF('أونلاين'!$B24="","",'أونلاين'!$B24)</f>
        <v/>
      </c>
      <c r="Z142" t="str">
        <f>IF('أونلاين'!$C24="","",'أونلاين'!$C24)</f>
        <v/>
      </c>
      <c r="AA142" t="str">
        <f>""</f>
        <v/>
      </c>
      <c r="AB142">
        <f>IF(AND($Y142&lt;&gt;"",ISNUMBER($AA142),$AA142&gt;='الرئيسية'!$H$27),1,0)</f>
        <v>0</v>
      </c>
      <c r="AC142">
        <f>$AC141+$AB142</f>
        <v>0</v>
      </c>
      <c r="AD142" t="str">
        <f>IF($Y142="","",IF(OR('أونلاين'!$F24="تجديد",LEFT('أونلاين'!$F24,4)="عليه"),'أونلاين'!$F24,""))</f>
        <v/>
      </c>
      <c r="AE142">
        <f>IF($AD142&lt;&gt;"",1,0)</f>
        <v>0</v>
      </c>
      <c r="AF142">
        <f>$AF141+$AE142</f>
        <v>0</v>
      </c>
      <c r="AG142">
        <f>IF($Y142&lt;&gt;"",1,0)</f>
        <v>0</v>
      </c>
    </row>
    <row r="143">
      <c r="W143" t="n">
        <v>142</v>
      </c>
      <c r="X143" t="str">
        <f>$J$10</f>
        <v>أونلاين</v>
      </c>
      <c r="Y143" t="str">
        <f>IF('أونلاين'!$B25="","",'أونلاين'!$B25)</f>
        <v/>
      </c>
      <c r="Z143" t="str">
        <f>IF('أونلاين'!$C25="","",'أونلاين'!$C25)</f>
        <v/>
      </c>
      <c r="AA143" t="str">
        <f>""</f>
        <v/>
      </c>
      <c r="AB143">
        <f>IF(AND($Y143&lt;&gt;"",ISNUMBER($AA143),$AA143&gt;='الرئيسية'!$H$27),1,0)</f>
        <v>0</v>
      </c>
      <c r="AC143">
        <f>$AC142+$AB143</f>
        <v>0</v>
      </c>
      <c r="AD143" t="str">
        <f>IF($Y143="","",IF(OR('أونلاين'!$F25="تجديد",LEFT('أونلاين'!$F25,4)="عليه"),'أونلاين'!$F25,""))</f>
        <v/>
      </c>
      <c r="AE143">
        <f>IF($AD143&lt;&gt;"",1,0)</f>
        <v>0</v>
      </c>
      <c r="AF143">
        <f>$AF142+$AE143</f>
        <v>0</v>
      </c>
      <c r="AG143">
        <f>IF($Y143&lt;&gt;"",1,0)</f>
        <v>0</v>
      </c>
    </row>
    <row r="144">
      <c r="W144" t="n">
        <v>143</v>
      </c>
      <c r="X144" t="str">
        <f>$J$10</f>
        <v>أونلاين</v>
      </c>
      <c r="Y144" t="str">
        <f>IF('أونلاين'!$B26="","",'أونلاين'!$B26)</f>
        <v/>
      </c>
      <c r="Z144" t="str">
        <f>IF('أونلاين'!$C26="","",'أونلاين'!$C26)</f>
        <v/>
      </c>
      <c r="AA144" t="str">
        <f>""</f>
        <v/>
      </c>
      <c r="AB144">
        <f>IF(AND($Y144&lt;&gt;"",ISNUMBER($AA144),$AA144&gt;='الرئيسية'!$H$27),1,0)</f>
        <v>0</v>
      </c>
      <c r="AC144">
        <f>$AC143+$AB144</f>
        <v>0</v>
      </c>
      <c r="AD144" t="str">
        <f>IF($Y144="","",IF(OR('أونلاين'!$F26="تجديد",LEFT('أونلاين'!$F26,4)="عليه"),'أونلاين'!$F26,""))</f>
        <v/>
      </c>
      <c r="AE144">
        <f>IF($AD144&lt;&gt;"",1,0)</f>
        <v>0</v>
      </c>
      <c r="AF144">
        <f>$AF143+$AE144</f>
        <v>0</v>
      </c>
      <c r="AG144">
        <f>IF($Y144&lt;&gt;"",1,0)</f>
        <v>0</v>
      </c>
    </row>
    <row r="145">
      <c r="W145" t="n">
        <v>144</v>
      </c>
      <c r="X145" t="str">
        <f>$J$10</f>
        <v>أونلاين</v>
      </c>
      <c r="Y145" t="str">
        <f>IF('أونلاين'!$B27="","",'أونلاين'!$B27)</f>
        <v/>
      </c>
      <c r="Z145" t="str">
        <f>IF('أونلاين'!$C27="","",'أونلاين'!$C27)</f>
        <v/>
      </c>
      <c r="AA145" t="str">
        <f>""</f>
        <v/>
      </c>
      <c r="AB145">
        <f>IF(AND($Y145&lt;&gt;"",ISNUMBER($AA145),$AA145&gt;='الرئيسية'!$H$27),1,0)</f>
        <v>0</v>
      </c>
      <c r="AC145">
        <f>$AC144+$AB145</f>
        <v>0</v>
      </c>
      <c r="AD145" t="str">
        <f>IF($Y145="","",IF(OR('أونلاين'!$F27="تجديد",LEFT('أونلاين'!$F27,4)="عليه"),'أونلاين'!$F27,""))</f>
        <v/>
      </c>
      <c r="AE145">
        <f>IF($AD145&lt;&gt;"",1,0)</f>
        <v>0</v>
      </c>
      <c r="AF145">
        <f>$AF144+$AE145</f>
        <v>0</v>
      </c>
      <c r="AG145">
        <f>IF($Y145&lt;&gt;"",1,0)</f>
        <v>0</v>
      </c>
    </row>
    <row r="146">
      <c r="W146" t="n">
        <v>145</v>
      </c>
      <c r="X146" t="str">
        <f>$J$10</f>
        <v>أونلاين</v>
      </c>
      <c r="Y146" t="str">
        <f>IF('أونلاين'!$B28="","",'أونلاين'!$B28)</f>
        <v/>
      </c>
      <c r="Z146" t="str">
        <f>IF('أونلاين'!$C28="","",'أونلاين'!$C28)</f>
        <v/>
      </c>
      <c r="AA146" t="str">
        <f>""</f>
        <v/>
      </c>
      <c r="AB146">
        <f>IF(AND($Y146&lt;&gt;"",ISNUMBER($AA146),$AA146&gt;='الرئيسية'!$H$27),1,0)</f>
        <v>0</v>
      </c>
      <c r="AC146">
        <f>$AC145+$AB146</f>
        <v>0</v>
      </c>
      <c r="AD146" t="str">
        <f>IF($Y146="","",IF(OR('أونلاين'!$F28="تجديد",LEFT('أونلاين'!$F28,4)="عليه"),'أونلاين'!$F28,""))</f>
        <v/>
      </c>
      <c r="AE146">
        <f>IF($AD146&lt;&gt;"",1,0)</f>
        <v>0</v>
      </c>
      <c r="AF146">
        <f>$AF145+$AE146</f>
        <v>0</v>
      </c>
      <c r="AG146">
        <f>IF($Y146&lt;&gt;"",1,0)</f>
        <v>0</v>
      </c>
    </row>
    <row r="147">
      <c r="W147" t="n">
        <v>146</v>
      </c>
      <c r="X147" t="str">
        <f>$J$10</f>
        <v>أونلاين</v>
      </c>
      <c r="Y147" t="str">
        <f>IF('أونلاين'!$B29="","",'أونلاين'!$B29)</f>
        <v/>
      </c>
      <c r="Z147" t="str">
        <f>IF('أونلاين'!$C29="","",'أونلاين'!$C29)</f>
        <v/>
      </c>
      <c r="AA147" t="str">
        <f>""</f>
        <v/>
      </c>
      <c r="AB147">
        <f>IF(AND($Y147&lt;&gt;"",ISNUMBER($AA147),$AA147&gt;='الرئيسية'!$H$27),1,0)</f>
        <v>0</v>
      </c>
      <c r="AC147">
        <f>$AC146+$AB147</f>
        <v>0</v>
      </c>
      <c r="AD147" t="str">
        <f>IF($Y147="","",IF(OR('أونلاين'!$F29="تجديد",LEFT('أونلاين'!$F29,4)="عليه"),'أونلاين'!$F29,""))</f>
        <v/>
      </c>
      <c r="AE147">
        <f>IF($AD147&lt;&gt;"",1,0)</f>
        <v>0</v>
      </c>
      <c r="AF147">
        <f>$AF146+$AE147</f>
        <v>0</v>
      </c>
      <c r="AG147">
        <f>IF($Y147&lt;&gt;"",1,0)</f>
        <v>0</v>
      </c>
    </row>
    <row r="148">
      <c r="W148" t="n">
        <v>147</v>
      </c>
      <c r="X148" t="str">
        <f>$J$10</f>
        <v>أونلاين</v>
      </c>
      <c r="Y148" t="str">
        <f>IF('أونلاين'!$B30="","",'أونلاين'!$B30)</f>
        <v/>
      </c>
      <c r="Z148" t="str">
        <f>IF('أونلاين'!$C30="","",'أونلاين'!$C30)</f>
        <v/>
      </c>
      <c r="AA148" t="str">
        <f>""</f>
        <v/>
      </c>
      <c r="AB148">
        <f>IF(AND($Y148&lt;&gt;"",ISNUMBER($AA148),$AA148&gt;='الرئيسية'!$H$27),1,0)</f>
        <v>0</v>
      </c>
      <c r="AC148">
        <f>$AC147+$AB148</f>
        <v>0</v>
      </c>
      <c r="AD148" t="str">
        <f>IF($Y148="","",IF(OR('أونلاين'!$F30="تجديد",LEFT('أونلاين'!$F30,4)="عليه"),'أونلاين'!$F30,""))</f>
        <v/>
      </c>
      <c r="AE148">
        <f>IF($AD148&lt;&gt;"",1,0)</f>
        <v>0</v>
      </c>
      <c r="AF148">
        <f>$AF147+$AE148</f>
        <v>0</v>
      </c>
      <c r="AG148">
        <f>IF($Y148&lt;&gt;"",1,0)</f>
        <v>0</v>
      </c>
    </row>
    <row r="149">
      <c r="W149" t="n">
        <v>148</v>
      </c>
      <c r="X149" t="str">
        <f>$J$10</f>
        <v>أونلاين</v>
      </c>
      <c r="Y149" t="str">
        <f>IF('أونلاين'!$B31="","",'أونلاين'!$B31)</f>
        <v/>
      </c>
      <c r="Z149" t="str">
        <f>IF('أونلاين'!$C31="","",'أونلاين'!$C31)</f>
        <v/>
      </c>
      <c r="AA149" t="str">
        <f>""</f>
        <v/>
      </c>
      <c r="AB149">
        <f>IF(AND($Y149&lt;&gt;"",ISNUMBER($AA149),$AA149&gt;='الرئيسية'!$H$27),1,0)</f>
        <v>0</v>
      </c>
      <c r="AC149">
        <f>$AC148+$AB149</f>
        <v>0</v>
      </c>
      <c r="AD149" t="str">
        <f>IF($Y149="","",IF(OR('أونلاين'!$F31="تجديد",LEFT('أونلاين'!$F31,4)="عليه"),'أونلاين'!$F31,""))</f>
        <v/>
      </c>
      <c r="AE149">
        <f>IF($AD149&lt;&gt;"",1,0)</f>
        <v>0</v>
      </c>
      <c r="AF149">
        <f>$AF148+$AE149</f>
        <v>0</v>
      </c>
      <c r="AG149">
        <f>IF($Y149&lt;&gt;"",1,0)</f>
        <v>0</v>
      </c>
    </row>
    <row r="150">
      <c r="W150" t="n">
        <v>149</v>
      </c>
      <c r="X150" t="str">
        <f>$J$10</f>
        <v>أونلاين</v>
      </c>
      <c r="Y150" t="str">
        <f>IF('أونلاين'!$B32="","",'أونلاين'!$B32)</f>
        <v/>
      </c>
      <c r="Z150" t="str">
        <f>IF('أونلاين'!$C32="","",'أونلاين'!$C32)</f>
        <v/>
      </c>
      <c r="AA150" t="str">
        <f>""</f>
        <v/>
      </c>
      <c r="AB150">
        <f>IF(AND($Y150&lt;&gt;"",ISNUMBER($AA150),$AA150&gt;='الرئيسية'!$H$27),1,0)</f>
        <v>0</v>
      </c>
      <c r="AC150">
        <f>$AC149+$AB150</f>
        <v>0</v>
      </c>
      <c r="AD150" t="str">
        <f>IF($Y150="","",IF(OR('أونلاين'!$F32="تجديد",LEFT('أونلاين'!$F32,4)="عليه"),'أونلاين'!$F32,""))</f>
        <v/>
      </c>
      <c r="AE150">
        <f>IF($AD150&lt;&gt;"",1,0)</f>
        <v>0</v>
      </c>
      <c r="AF150">
        <f>$AF149+$AE150</f>
        <v>0</v>
      </c>
      <c r="AG150">
        <f>IF($Y150&lt;&gt;"",1,0)</f>
        <v>0</v>
      </c>
    </row>
    <row r="151">
      <c r="W151" t="n">
        <v>150</v>
      </c>
      <c r="X151" t="str">
        <f>$J$10</f>
        <v>أونلاين</v>
      </c>
      <c r="Y151" t="str">
        <f>IF('أونلاين'!$B33="","",'أونلاين'!$B33)</f>
        <v/>
      </c>
      <c r="Z151" t="str">
        <f>IF('أونلاين'!$C33="","",'أونلاين'!$C33)</f>
        <v/>
      </c>
      <c r="AA151" t="str">
        <f>""</f>
        <v/>
      </c>
      <c r="AB151">
        <f>IF(AND($Y151&lt;&gt;"",ISNUMBER($AA151),$AA151&gt;='الرئيسية'!$H$27),1,0)</f>
        <v>0</v>
      </c>
      <c r="AC151">
        <f>$AC150+$AB151</f>
        <v>0</v>
      </c>
      <c r="AD151" t="str">
        <f>IF($Y151="","",IF(OR('أونلاين'!$F33="تجديد",LEFT('أونلاين'!$F33,4)="عليه"),'أونلاين'!$F33,""))</f>
        <v/>
      </c>
      <c r="AE151">
        <f>IF($AD151&lt;&gt;"",1,0)</f>
        <v>0</v>
      </c>
      <c r="AF151">
        <f>$AF150+$AE151</f>
        <v>0</v>
      </c>
      <c r="AG151">
        <f>IF($Y151&lt;&gt;"",1,0)</f>
        <v>0</v>
      </c>
    </row>
    <row r="152">
      <c r="W152" t="n">
        <v>151</v>
      </c>
      <c r="X152" t="str">
        <f>$J$11</f>
        <v>برايفت</v>
      </c>
      <c r="Y152" t="str">
        <f>IF('برايفت'!$B4="","",'برايفت'!$B4)</f>
        <v/>
      </c>
      <c r="Z152" t="str">
        <f>IF('برايفت'!$C4="","",'برايفت'!$C4)</f>
        <v/>
      </c>
      <c r="AA152" t="str">
        <f>""</f>
        <v/>
      </c>
      <c r="AB152">
        <f>IF(AND($Y152&lt;&gt;"",ISNUMBER($AA152),$AA152&gt;='الرئيسية'!$H$27),1,0)</f>
        <v>0</v>
      </c>
      <c r="AC152">
        <f>$AC151+$AB152</f>
        <v>0</v>
      </c>
      <c r="AD152" t="str">
        <f>IF($Y152="","",IF(OR('برايفت'!$F4="تجديد",LEFT('برايفت'!$F4,4)="عليه"),'برايفت'!$F4,""))</f>
        <v/>
      </c>
      <c r="AE152">
        <f>IF($AD152&lt;&gt;"",1,0)</f>
        <v>0</v>
      </c>
      <c r="AF152">
        <f>$AF151+$AE152</f>
        <v>0</v>
      </c>
      <c r="AG152">
        <f>IF($Y152&lt;&gt;"",1,0)</f>
        <v>0</v>
      </c>
    </row>
    <row r="153">
      <c r="W153" t="n">
        <v>152</v>
      </c>
      <c r="X153" t="str">
        <f>$J$11</f>
        <v>برايفت</v>
      </c>
      <c r="Y153" t="str">
        <f>IF('برايفت'!$B5="","",'برايفت'!$B5)</f>
        <v/>
      </c>
      <c r="Z153" t="str">
        <f>IF('برايفت'!$C5="","",'برايفت'!$C5)</f>
        <v/>
      </c>
      <c r="AA153" t="str">
        <f>""</f>
        <v/>
      </c>
      <c r="AB153">
        <f>IF(AND($Y153&lt;&gt;"",ISNUMBER($AA153),$AA153&gt;='الرئيسية'!$H$27),1,0)</f>
        <v>0</v>
      </c>
      <c r="AC153">
        <f>$AC152+$AB153</f>
        <v>0</v>
      </c>
      <c r="AD153" t="str">
        <f>IF($Y153="","",IF(OR('برايفت'!$F5="تجديد",LEFT('برايفت'!$F5,4)="عليه"),'برايفت'!$F5,""))</f>
        <v/>
      </c>
      <c r="AE153">
        <f>IF($AD153&lt;&gt;"",1,0)</f>
        <v>0</v>
      </c>
      <c r="AF153">
        <f>$AF152+$AE153</f>
        <v>0</v>
      </c>
      <c r="AG153">
        <f>IF($Y153&lt;&gt;"",1,0)</f>
        <v>0</v>
      </c>
    </row>
    <row r="154">
      <c r="W154" t="n">
        <v>153</v>
      </c>
      <c r="X154" t="str">
        <f>$J$11</f>
        <v>برايفت</v>
      </c>
      <c r="Y154" t="str">
        <f>IF('برايفت'!$B6="","",'برايفت'!$B6)</f>
        <v/>
      </c>
      <c r="Z154" t="str">
        <f>IF('برايفت'!$C6="","",'برايفت'!$C6)</f>
        <v/>
      </c>
      <c r="AA154" t="str">
        <f>""</f>
        <v/>
      </c>
      <c r="AB154">
        <f>IF(AND($Y154&lt;&gt;"",ISNUMBER($AA154),$AA154&gt;='الرئيسية'!$H$27),1,0)</f>
        <v>0</v>
      </c>
      <c r="AC154">
        <f>$AC153+$AB154</f>
        <v>0</v>
      </c>
      <c r="AD154" t="str">
        <f>IF($Y154="","",IF(OR('برايفت'!$F6="تجديد",LEFT('برايفت'!$F6,4)="عليه"),'برايفت'!$F6,""))</f>
        <v/>
      </c>
      <c r="AE154">
        <f>IF($AD154&lt;&gt;"",1,0)</f>
        <v>0</v>
      </c>
      <c r="AF154">
        <f>$AF153+$AE154</f>
        <v>0</v>
      </c>
      <c r="AG154">
        <f>IF($Y154&lt;&gt;"",1,0)</f>
        <v>0</v>
      </c>
    </row>
    <row r="155">
      <c r="W155" t="n">
        <v>154</v>
      </c>
      <c r="X155" t="str">
        <f>$J$11</f>
        <v>برايفت</v>
      </c>
      <c r="Y155" t="str">
        <f>IF('برايفت'!$B7="","",'برايفت'!$B7)</f>
        <v/>
      </c>
      <c r="Z155" t="str">
        <f>IF('برايفت'!$C7="","",'برايفت'!$C7)</f>
        <v/>
      </c>
      <c r="AA155" t="str">
        <f>""</f>
        <v/>
      </c>
      <c r="AB155">
        <f>IF(AND($Y155&lt;&gt;"",ISNUMBER($AA155),$AA155&gt;='الرئيسية'!$H$27),1,0)</f>
        <v>0</v>
      </c>
      <c r="AC155">
        <f>$AC154+$AB155</f>
        <v>0</v>
      </c>
      <c r="AD155" t="str">
        <f>IF($Y155="","",IF(OR('برايفت'!$F7="تجديد",LEFT('برايفت'!$F7,4)="عليه"),'برايفت'!$F7,""))</f>
        <v/>
      </c>
      <c r="AE155">
        <f>IF($AD155&lt;&gt;"",1,0)</f>
        <v>0</v>
      </c>
      <c r="AF155">
        <f>$AF154+$AE155</f>
        <v>0</v>
      </c>
      <c r="AG155">
        <f>IF($Y155&lt;&gt;"",1,0)</f>
        <v>0</v>
      </c>
    </row>
    <row r="156">
      <c r="W156" t="n">
        <v>155</v>
      </c>
      <c r="X156" t="str">
        <f>$J$11</f>
        <v>برايفت</v>
      </c>
      <c r="Y156" t="str">
        <f>IF('برايفت'!$B8="","",'برايفت'!$B8)</f>
        <v/>
      </c>
      <c r="Z156" t="str">
        <f>IF('برايفت'!$C8="","",'برايفت'!$C8)</f>
        <v/>
      </c>
      <c r="AA156" t="str">
        <f>""</f>
        <v/>
      </c>
      <c r="AB156">
        <f>IF(AND($Y156&lt;&gt;"",ISNUMBER($AA156),$AA156&gt;='الرئيسية'!$H$27),1,0)</f>
        <v>0</v>
      </c>
      <c r="AC156">
        <f>$AC155+$AB156</f>
        <v>0</v>
      </c>
      <c r="AD156" t="str">
        <f>IF($Y156="","",IF(OR('برايفت'!$F8="تجديد",LEFT('برايفت'!$F8,4)="عليه"),'برايفت'!$F8,""))</f>
        <v/>
      </c>
      <c r="AE156">
        <f>IF($AD156&lt;&gt;"",1,0)</f>
        <v>0</v>
      </c>
      <c r="AF156">
        <f>$AF155+$AE156</f>
        <v>0</v>
      </c>
      <c r="AG156">
        <f>IF($Y156&lt;&gt;"",1,0)</f>
        <v>0</v>
      </c>
    </row>
    <row r="157">
      <c r="W157" t="n">
        <v>156</v>
      </c>
      <c r="X157" t="str">
        <f>$J$11</f>
        <v>برايفت</v>
      </c>
      <c r="Y157" t="str">
        <f>IF('برايفت'!$B9="","",'برايفت'!$B9)</f>
        <v/>
      </c>
      <c r="Z157" t="str">
        <f>IF('برايفت'!$C9="","",'برايفت'!$C9)</f>
        <v/>
      </c>
      <c r="AA157" t="str">
        <f>""</f>
        <v/>
      </c>
      <c r="AB157">
        <f>IF(AND($Y157&lt;&gt;"",ISNUMBER($AA157),$AA157&gt;='الرئيسية'!$H$27),1,0)</f>
        <v>0</v>
      </c>
      <c r="AC157">
        <f>$AC156+$AB157</f>
        <v>0</v>
      </c>
      <c r="AD157" t="str">
        <f>IF($Y157="","",IF(OR('برايفت'!$F9="تجديد",LEFT('برايفت'!$F9,4)="عليه"),'برايفت'!$F9,""))</f>
        <v/>
      </c>
      <c r="AE157">
        <f>IF($AD157&lt;&gt;"",1,0)</f>
        <v>0</v>
      </c>
      <c r="AF157">
        <f>$AF156+$AE157</f>
        <v>0</v>
      </c>
      <c r="AG157">
        <f>IF($Y157&lt;&gt;"",1,0)</f>
        <v>0</v>
      </c>
    </row>
    <row r="158">
      <c r="W158" t="n">
        <v>157</v>
      </c>
      <c r="X158" t="str">
        <f>$J$11</f>
        <v>برايفت</v>
      </c>
      <c r="Y158" t="str">
        <f>IF('برايفت'!$B10="","",'برايفت'!$B10)</f>
        <v/>
      </c>
      <c r="Z158" t="str">
        <f>IF('برايفت'!$C10="","",'برايفت'!$C10)</f>
        <v/>
      </c>
      <c r="AA158" t="str">
        <f>""</f>
        <v/>
      </c>
      <c r="AB158">
        <f>IF(AND($Y158&lt;&gt;"",ISNUMBER($AA158),$AA158&gt;='الرئيسية'!$H$27),1,0)</f>
        <v>0</v>
      </c>
      <c r="AC158">
        <f>$AC157+$AB158</f>
        <v>0</v>
      </c>
      <c r="AD158" t="str">
        <f>IF($Y158="","",IF(OR('برايفت'!$F10="تجديد",LEFT('برايفت'!$F10,4)="عليه"),'برايفت'!$F10,""))</f>
        <v/>
      </c>
      <c r="AE158">
        <f>IF($AD158&lt;&gt;"",1,0)</f>
        <v>0</v>
      </c>
      <c r="AF158">
        <f>$AF157+$AE158</f>
        <v>0</v>
      </c>
      <c r="AG158">
        <f>IF($Y158&lt;&gt;"",1,0)</f>
        <v>0</v>
      </c>
    </row>
    <row r="159">
      <c r="W159" t="n">
        <v>158</v>
      </c>
      <c r="X159" t="str">
        <f>$J$11</f>
        <v>برايفت</v>
      </c>
      <c r="Y159" t="str">
        <f>IF('برايفت'!$B11="","",'برايفت'!$B11)</f>
        <v/>
      </c>
      <c r="Z159" t="str">
        <f>IF('برايفت'!$C11="","",'برايفت'!$C11)</f>
        <v/>
      </c>
      <c r="AA159" t="str">
        <f>""</f>
        <v/>
      </c>
      <c r="AB159">
        <f>IF(AND($Y159&lt;&gt;"",ISNUMBER($AA159),$AA159&gt;='الرئيسية'!$H$27),1,0)</f>
        <v>0</v>
      </c>
      <c r="AC159">
        <f>$AC158+$AB159</f>
        <v>0</v>
      </c>
      <c r="AD159" t="str">
        <f>IF($Y159="","",IF(OR('برايفت'!$F11="تجديد",LEFT('برايفت'!$F11,4)="عليه"),'برايفت'!$F11,""))</f>
        <v/>
      </c>
      <c r="AE159">
        <f>IF($AD159&lt;&gt;"",1,0)</f>
        <v>0</v>
      </c>
      <c r="AF159">
        <f>$AF158+$AE159</f>
        <v>0</v>
      </c>
      <c r="AG159">
        <f>IF($Y159&lt;&gt;"",1,0)</f>
        <v>0</v>
      </c>
    </row>
    <row r="160">
      <c r="W160" t="n">
        <v>159</v>
      </c>
      <c r="X160" t="str">
        <f>$J$11</f>
        <v>برايفت</v>
      </c>
      <c r="Y160" t="str">
        <f>IF('برايفت'!$B12="","",'برايفت'!$B12)</f>
        <v/>
      </c>
      <c r="Z160" t="str">
        <f>IF('برايفت'!$C12="","",'برايفت'!$C12)</f>
        <v/>
      </c>
      <c r="AA160" t="str">
        <f>""</f>
        <v/>
      </c>
      <c r="AB160">
        <f>IF(AND($Y160&lt;&gt;"",ISNUMBER($AA160),$AA160&gt;='الرئيسية'!$H$27),1,0)</f>
        <v>0</v>
      </c>
      <c r="AC160">
        <f>$AC159+$AB160</f>
        <v>0</v>
      </c>
      <c r="AD160" t="str">
        <f>IF($Y160="","",IF(OR('برايفت'!$F12="تجديد",LEFT('برايفت'!$F12,4)="عليه"),'برايفت'!$F12,""))</f>
        <v/>
      </c>
      <c r="AE160">
        <f>IF($AD160&lt;&gt;"",1,0)</f>
        <v>0</v>
      </c>
      <c r="AF160">
        <f>$AF159+$AE160</f>
        <v>0</v>
      </c>
      <c r="AG160">
        <f>IF($Y160&lt;&gt;"",1,0)</f>
        <v>0</v>
      </c>
    </row>
    <row r="161">
      <c r="W161" t="n">
        <v>160</v>
      </c>
      <c r="X161" t="str">
        <f>$J$11</f>
        <v>برايفت</v>
      </c>
      <c r="Y161" t="str">
        <f>IF('برايفت'!$B13="","",'برايفت'!$B13)</f>
        <v/>
      </c>
      <c r="Z161" t="str">
        <f>IF('برايفت'!$C13="","",'برايفت'!$C13)</f>
        <v/>
      </c>
      <c r="AA161" t="str">
        <f>""</f>
        <v/>
      </c>
      <c r="AB161">
        <f>IF(AND($Y161&lt;&gt;"",ISNUMBER($AA161),$AA161&gt;='الرئيسية'!$H$27),1,0)</f>
        <v>0</v>
      </c>
      <c r="AC161">
        <f>$AC160+$AB161</f>
        <v>0</v>
      </c>
      <c r="AD161" t="str">
        <f>IF($Y161="","",IF(OR('برايفت'!$F13="تجديد",LEFT('برايفت'!$F13,4)="عليه"),'برايفت'!$F13,""))</f>
        <v/>
      </c>
      <c r="AE161">
        <f>IF($AD161&lt;&gt;"",1,0)</f>
        <v>0</v>
      </c>
      <c r="AF161">
        <f>$AF160+$AE161</f>
        <v>0</v>
      </c>
      <c r="AG161">
        <f>IF($Y161&lt;&gt;"",1,0)</f>
        <v>0</v>
      </c>
    </row>
    <row r="162">
      <c r="W162" t="n">
        <v>161</v>
      </c>
      <c r="X162" t="str">
        <f>$J$11</f>
        <v>برايفت</v>
      </c>
      <c r="Y162" t="str">
        <f>IF('برايفت'!$B14="","",'برايفت'!$B14)</f>
        <v/>
      </c>
      <c r="Z162" t="str">
        <f>IF('برايفت'!$C14="","",'برايفت'!$C14)</f>
        <v/>
      </c>
      <c r="AA162" t="str">
        <f>""</f>
        <v/>
      </c>
      <c r="AB162">
        <f>IF(AND($Y162&lt;&gt;"",ISNUMBER($AA162),$AA162&gt;='الرئيسية'!$H$27),1,0)</f>
        <v>0</v>
      </c>
      <c r="AC162">
        <f>$AC161+$AB162</f>
        <v>0</v>
      </c>
      <c r="AD162" t="str">
        <f>IF($Y162="","",IF(OR('برايفت'!$F14="تجديد",LEFT('برايفت'!$F14,4)="عليه"),'برايفت'!$F14,""))</f>
        <v/>
      </c>
      <c r="AE162">
        <f>IF($AD162&lt;&gt;"",1,0)</f>
        <v>0</v>
      </c>
      <c r="AF162">
        <f>$AF161+$AE162</f>
        <v>0</v>
      </c>
      <c r="AG162">
        <f>IF($Y162&lt;&gt;"",1,0)</f>
        <v>0</v>
      </c>
    </row>
    <row r="163">
      <c r="W163" t="n">
        <v>162</v>
      </c>
      <c r="X163" t="str">
        <f>$J$11</f>
        <v>برايفت</v>
      </c>
      <c r="Y163" t="str">
        <f>IF('برايفت'!$B15="","",'برايفت'!$B15)</f>
        <v/>
      </c>
      <c r="Z163" t="str">
        <f>IF('برايفت'!$C15="","",'برايفت'!$C15)</f>
        <v/>
      </c>
      <c r="AA163" t="str">
        <f>""</f>
        <v/>
      </c>
      <c r="AB163">
        <f>IF(AND($Y163&lt;&gt;"",ISNUMBER($AA163),$AA163&gt;='الرئيسية'!$H$27),1,0)</f>
        <v>0</v>
      </c>
      <c r="AC163">
        <f>$AC162+$AB163</f>
        <v>0</v>
      </c>
      <c r="AD163" t="str">
        <f>IF($Y163="","",IF(OR('برايفت'!$F15="تجديد",LEFT('برايفت'!$F15,4)="عليه"),'برايفت'!$F15,""))</f>
        <v/>
      </c>
      <c r="AE163">
        <f>IF($AD163&lt;&gt;"",1,0)</f>
        <v>0</v>
      </c>
      <c r="AF163">
        <f>$AF162+$AE163</f>
        <v>0</v>
      </c>
      <c r="AG163">
        <f>IF($Y163&lt;&gt;"",1,0)</f>
        <v>0</v>
      </c>
    </row>
    <row r="164">
      <c r="W164" t="n">
        <v>163</v>
      </c>
      <c r="X164" t="str">
        <f>$J$11</f>
        <v>برايفت</v>
      </c>
      <c r="Y164" t="str">
        <f>IF('برايفت'!$B16="","",'برايفت'!$B16)</f>
        <v/>
      </c>
      <c r="Z164" t="str">
        <f>IF('برايفت'!$C16="","",'برايفت'!$C16)</f>
        <v/>
      </c>
      <c r="AA164" t="str">
        <f>""</f>
        <v/>
      </c>
      <c r="AB164">
        <f>IF(AND($Y164&lt;&gt;"",ISNUMBER($AA164),$AA164&gt;='الرئيسية'!$H$27),1,0)</f>
        <v>0</v>
      </c>
      <c r="AC164">
        <f>$AC163+$AB164</f>
        <v>0</v>
      </c>
      <c r="AD164" t="str">
        <f>IF($Y164="","",IF(OR('برايفت'!$F16="تجديد",LEFT('برايفت'!$F16,4)="عليه"),'برايفت'!$F16,""))</f>
        <v/>
      </c>
      <c r="AE164">
        <f>IF($AD164&lt;&gt;"",1,0)</f>
        <v>0</v>
      </c>
      <c r="AF164">
        <f>$AF163+$AE164</f>
        <v>0</v>
      </c>
      <c r="AG164">
        <f>IF($Y164&lt;&gt;"",1,0)</f>
        <v>0</v>
      </c>
    </row>
    <row r="165">
      <c r="W165" t="n">
        <v>164</v>
      </c>
      <c r="X165" t="str">
        <f>$J$11</f>
        <v>برايفت</v>
      </c>
      <c r="Y165" t="str">
        <f>IF('برايفت'!$B17="","",'برايفت'!$B17)</f>
        <v/>
      </c>
      <c r="Z165" t="str">
        <f>IF('برايفت'!$C17="","",'برايفت'!$C17)</f>
        <v/>
      </c>
      <c r="AA165" t="str">
        <f>""</f>
        <v/>
      </c>
      <c r="AB165">
        <f>IF(AND($Y165&lt;&gt;"",ISNUMBER($AA165),$AA165&gt;='الرئيسية'!$H$27),1,0)</f>
        <v>0</v>
      </c>
      <c r="AC165">
        <f>$AC164+$AB165</f>
        <v>0</v>
      </c>
      <c r="AD165" t="str">
        <f>IF($Y165="","",IF(OR('برايفت'!$F17="تجديد",LEFT('برايفت'!$F17,4)="عليه"),'برايفت'!$F17,""))</f>
        <v/>
      </c>
      <c r="AE165">
        <f>IF($AD165&lt;&gt;"",1,0)</f>
        <v>0</v>
      </c>
      <c r="AF165">
        <f>$AF164+$AE165</f>
        <v>0</v>
      </c>
      <c r="AG165">
        <f>IF($Y165&lt;&gt;"",1,0)</f>
        <v>0</v>
      </c>
    </row>
    <row r="166">
      <c r="W166" t="n">
        <v>165</v>
      </c>
      <c r="X166" t="str">
        <f>$J$11</f>
        <v>برايفت</v>
      </c>
      <c r="Y166" t="str">
        <f>IF('برايفت'!$B18="","",'برايفت'!$B18)</f>
        <v/>
      </c>
      <c r="Z166" t="str">
        <f>IF('برايفت'!$C18="","",'برايفت'!$C18)</f>
        <v/>
      </c>
      <c r="AA166" t="str">
        <f>""</f>
        <v/>
      </c>
      <c r="AB166">
        <f>IF(AND($Y166&lt;&gt;"",ISNUMBER($AA166),$AA166&gt;='الرئيسية'!$H$27),1,0)</f>
        <v>0</v>
      </c>
      <c r="AC166">
        <f>$AC165+$AB166</f>
        <v>0</v>
      </c>
      <c r="AD166" t="str">
        <f>IF($Y166="","",IF(OR('برايفت'!$F18="تجديد",LEFT('برايفت'!$F18,4)="عليه"),'برايفت'!$F18,""))</f>
        <v/>
      </c>
      <c r="AE166">
        <f>IF($AD166&lt;&gt;"",1,0)</f>
        <v>0</v>
      </c>
      <c r="AF166">
        <f>$AF165+$AE166</f>
        <v>0</v>
      </c>
      <c r="AG166">
        <f>IF($Y166&lt;&gt;"",1,0)</f>
        <v>0</v>
      </c>
    </row>
    <row r="167">
      <c r="W167" t="n">
        <v>166</v>
      </c>
      <c r="X167" t="str">
        <f>$J$11</f>
        <v>برايفت</v>
      </c>
      <c r="Y167" t="str">
        <f>IF('برايفت'!$B19="","",'برايفت'!$B19)</f>
        <v/>
      </c>
      <c r="Z167" t="str">
        <f>IF('برايفت'!$C19="","",'برايفت'!$C19)</f>
        <v/>
      </c>
      <c r="AA167" t="str">
        <f>""</f>
        <v/>
      </c>
      <c r="AB167">
        <f>IF(AND($Y167&lt;&gt;"",ISNUMBER($AA167),$AA167&gt;='الرئيسية'!$H$27),1,0)</f>
        <v>0</v>
      </c>
      <c r="AC167">
        <f>$AC166+$AB167</f>
        <v>0</v>
      </c>
      <c r="AD167" t="str">
        <f>IF($Y167="","",IF(OR('برايفت'!$F19="تجديد",LEFT('برايفت'!$F19,4)="عليه"),'برايفت'!$F19,""))</f>
        <v/>
      </c>
      <c r="AE167">
        <f>IF($AD167&lt;&gt;"",1,0)</f>
        <v>0</v>
      </c>
      <c r="AF167">
        <f>$AF166+$AE167</f>
        <v>0</v>
      </c>
      <c r="AG167">
        <f>IF($Y167&lt;&gt;"",1,0)</f>
        <v>0</v>
      </c>
    </row>
    <row r="168">
      <c r="W168" t="n">
        <v>167</v>
      </c>
      <c r="X168" t="str">
        <f>$J$11</f>
        <v>برايفت</v>
      </c>
      <c r="Y168" t="str">
        <f>IF('برايفت'!$B20="","",'برايفت'!$B20)</f>
        <v/>
      </c>
      <c r="Z168" t="str">
        <f>IF('برايفت'!$C20="","",'برايفت'!$C20)</f>
        <v/>
      </c>
      <c r="AA168" t="str">
        <f>""</f>
        <v/>
      </c>
      <c r="AB168">
        <f>IF(AND($Y168&lt;&gt;"",ISNUMBER($AA168),$AA168&gt;='الرئيسية'!$H$27),1,0)</f>
        <v>0</v>
      </c>
      <c r="AC168">
        <f>$AC167+$AB168</f>
        <v>0</v>
      </c>
      <c r="AD168" t="str">
        <f>IF($Y168="","",IF(OR('برايفت'!$F20="تجديد",LEFT('برايفت'!$F20,4)="عليه"),'برايفت'!$F20,""))</f>
        <v/>
      </c>
      <c r="AE168">
        <f>IF($AD168&lt;&gt;"",1,0)</f>
        <v>0</v>
      </c>
      <c r="AF168">
        <f>$AF167+$AE168</f>
        <v>0</v>
      </c>
      <c r="AG168">
        <f>IF($Y168&lt;&gt;"",1,0)</f>
        <v>0</v>
      </c>
    </row>
    <row r="169">
      <c r="W169" t="n">
        <v>168</v>
      </c>
      <c r="X169" t="str">
        <f>$J$11</f>
        <v>برايفت</v>
      </c>
      <c r="Y169" t="str">
        <f>IF('برايفت'!$B21="","",'برايفت'!$B21)</f>
        <v/>
      </c>
      <c r="Z169" t="str">
        <f>IF('برايفت'!$C21="","",'برايفت'!$C21)</f>
        <v/>
      </c>
      <c r="AA169" t="str">
        <f>""</f>
        <v/>
      </c>
      <c r="AB169">
        <f>IF(AND($Y169&lt;&gt;"",ISNUMBER($AA169),$AA169&gt;='الرئيسية'!$H$27),1,0)</f>
        <v>0</v>
      </c>
      <c r="AC169">
        <f>$AC168+$AB169</f>
        <v>0</v>
      </c>
      <c r="AD169" t="str">
        <f>IF($Y169="","",IF(OR('برايفت'!$F21="تجديد",LEFT('برايفت'!$F21,4)="عليه"),'برايفت'!$F21,""))</f>
        <v/>
      </c>
      <c r="AE169">
        <f>IF($AD169&lt;&gt;"",1,0)</f>
        <v>0</v>
      </c>
      <c r="AF169">
        <f>$AF168+$AE169</f>
        <v>0</v>
      </c>
      <c r="AG169">
        <f>IF($Y169&lt;&gt;"",1,0)</f>
        <v>0</v>
      </c>
    </row>
    <row r="170">
      <c r="W170" t="n">
        <v>169</v>
      </c>
      <c r="X170" t="str">
        <f>$J$11</f>
        <v>برايفت</v>
      </c>
      <c r="Y170" t="str">
        <f>IF('برايفت'!$B22="","",'برايفت'!$B22)</f>
        <v/>
      </c>
      <c r="Z170" t="str">
        <f>IF('برايفت'!$C22="","",'برايفت'!$C22)</f>
        <v/>
      </c>
      <c r="AA170" t="str">
        <f>""</f>
        <v/>
      </c>
      <c r="AB170">
        <f>IF(AND($Y170&lt;&gt;"",ISNUMBER($AA170),$AA170&gt;='الرئيسية'!$H$27),1,0)</f>
        <v>0</v>
      </c>
      <c r="AC170">
        <f>$AC169+$AB170</f>
        <v>0</v>
      </c>
      <c r="AD170" t="str">
        <f>IF($Y170="","",IF(OR('برايفت'!$F22="تجديد",LEFT('برايفت'!$F22,4)="عليه"),'برايفت'!$F22,""))</f>
        <v/>
      </c>
      <c r="AE170">
        <f>IF($AD170&lt;&gt;"",1,0)</f>
        <v>0</v>
      </c>
      <c r="AF170">
        <f>$AF169+$AE170</f>
        <v>0</v>
      </c>
      <c r="AG170">
        <f>IF($Y170&lt;&gt;"",1,0)</f>
        <v>0</v>
      </c>
    </row>
    <row r="171">
      <c r="W171" t="n">
        <v>170</v>
      </c>
      <c r="X171" t="str">
        <f>$J$11</f>
        <v>برايفت</v>
      </c>
      <c r="Y171" t="str">
        <f>IF('برايفت'!$B23="","",'برايفت'!$B23)</f>
        <v/>
      </c>
      <c r="Z171" t="str">
        <f>IF('برايفت'!$C23="","",'برايفت'!$C23)</f>
        <v/>
      </c>
      <c r="AA171" t="str">
        <f>""</f>
        <v/>
      </c>
      <c r="AB171">
        <f>IF(AND($Y171&lt;&gt;"",ISNUMBER($AA171),$AA171&gt;='الرئيسية'!$H$27),1,0)</f>
        <v>0</v>
      </c>
      <c r="AC171">
        <f>$AC170+$AB171</f>
        <v>0</v>
      </c>
      <c r="AD171" t="str">
        <f>IF($Y171="","",IF(OR('برايفت'!$F23="تجديد",LEFT('برايفت'!$F23,4)="عليه"),'برايفت'!$F23,""))</f>
        <v/>
      </c>
      <c r="AE171">
        <f>IF($AD171&lt;&gt;"",1,0)</f>
        <v>0</v>
      </c>
      <c r="AF171">
        <f>$AF170+$AE171</f>
        <v>0</v>
      </c>
      <c r="AG171">
        <f>IF($Y171&lt;&gt;"",1,0)</f>
        <v>0</v>
      </c>
    </row>
    <row r="172">
      <c r="W172" t="n">
        <v>171</v>
      </c>
      <c r="X172" t="str">
        <f>$J$11</f>
        <v>برايفت</v>
      </c>
      <c r="Y172" t="str">
        <f>IF('برايفت'!$B24="","",'برايفت'!$B24)</f>
        <v/>
      </c>
      <c r="Z172" t="str">
        <f>IF('برايفت'!$C24="","",'برايفت'!$C24)</f>
        <v/>
      </c>
      <c r="AA172" t="str">
        <f>""</f>
        <v/>
      </c>
      <c r="AB172">
        <f>IF(AND($Y172&lt;&gt;"",ISNUMBER($AA172),$AA172&gt;='الرئيسية'!$H$27),1,0)</f>
        <v>0</v>
      </c>
      <c r="AC172">
        <f>$AC171+$AB172</f>
        <v>0</v>
      </c>
      <c r="AD172" t="str">
        <f>IF($Y172="","",IF(OR('برايفت'!$F24="تجديد",LEFT('برايفت'!$F24,4)="عليه"),'برايفت'!$F24,""))</f>
        <v/>
      </c>
      <c r="AE172">
        <f>IF($AD172&lt;&gt;"",1,0)</f>
        <v>0</v>
      </c>
      <c r="AF172">
        <f>$AF171+$AE172</f>
        <v>0</v>
      </c>
      <c r="AG172">
        <f>IF($Y172&lt;&gt;"",1,0)</f>
        <v>0</v>
      </c>
    </row>
    <row r="173">
      <c r="W173" t="n">
        <v>172</v>
      </c>
      <c r="X173" t="str">
        <f>$J$11</f>
        <v>برايفت</v>
      </c>
      <c r="Y173" t="str">
        <f>IF('برايفت'!$B25="","",'برايفت'!$B25)</f>
        <v/>
      </c>
      <c r="Z173" t="str">
        <f>IF('برايفت'!$C25="","",'برايفت'!$C25)</f>
        <v/>
      </c>
      <c r="AA173" t="str">
        <f>""</f>
        <v/>
      </c>
      <c r="AB173">
        <f>IF(AND($Y173&lt;&gt;"",ISNUMBER($AA173),$AA173&gt;='الرئيسية'!$H$27),1,0)</f>
        <v>0</v>
      </c>
      <c r="AC173">
        <f>$AC172+$AB173</f>
        <v>0</v>
      </c>
      <c r="AD173" t="str">
        <f>IF($Y173="","",IF(OR('برايفت'!$F25="تجديد",LEFT('برايفت'!$F25,4)="عليه"),'برايفت'!$F25,""))</f>
        <v/>
      </c>
      <c r="AE173">
        <f>IF($AD173&lt;&gt;"",1,0)</f>
        <v>0</v>
      </c>
      <c r="AF173">
        <f>$AF172+$AE173</f>
        <v>0</v>
      </c>
      <c r="AG173">
        <f>IF($Y173&lt;&gt;"",1,0)</f>
        <v>0</v>
      </c>
    </row>
    <row r="174">
      <c r="W174" t="n">
        <v>173</v>
      </c>
      <c r="X174" t="str">
        <f>$J$11</f>
        <v>برايفت</v>
      </c>
      <c r="Y174" t="str">
        <f>IF('برايفت'!$B26="","",'برايفت'!$B26)</f>
        <v/>
      </c>
      <c r="Z174" t="str">
        <f>IF('برايفت'!$C26="","",'برايفت'!$C26)</f>
        <v/>
      </c>
      <c r="AA174" t="str">
        <f>""</f>
        <v/>
      </c>
      <c r="AB174">
        <f>IF(AND($Y174&lt;&gt;"",ISNUMBER($AA174),$AA174&gt;='الرئيسية'!$H$27),1,0)</f>
        <v>0</v>
      </c>
      <c r="AC174">
        <f>$AC173+$AB174</f>
        <v>0</v>
      </c>
      <c r="AD174" t="str">
        <f>IF($Y174="","",IF(OR('برايفت'!$F26="تجديد",LEFT('برايفت'!$F26,4)="عليه"),'برايفت'!$F26,""))</f>
        <v/>
      </c>
      <c r="AE174">
        <f>IF($AD174&lt;&gt;"",1,0)</f>
        <v>0</v>
      </c>
      <c r="AF174">
        <f>$AF173+$AE174</f>
        <v>0</v>
      </c>
      <c r="AG174">
        <f>IF($Y174&lt;&gt;"",1,0)</f>
        <v>0</v>
      </c>
    </row>
    <row r="175">
      <c r="W175" t="n">
        <v>174</v>
      </c>
      <c r="X175" t="str">
        <f>$J$11</f>
        <v>برايفت</v>
      </c>
      <c r="Y175" t="str">
        <f>IF('برايفت'!$B27="","",'برايفت'!$B27)</f>
        <v/>
      </c>
      <c r="Z175" t="str">
        <f>IF('برايفت'!$C27="","",'برايفت'!$C27)</f>
        <v/>
      </c>
      <c r="AA175" t="str">
        <f>""</f>
        <v/>
      </c>
      <c r="AB175">
        <f>IF(AND($Y175&lt;&gt;"",ISNUMBER($AA175),$AA175&gt;='الرئيسية'!$H$27),1,0)</f>
        <v>0</v>
      </c>
      <c r="AC175">
        <f>$AC174+$AB175</f>
        <v>0</v>
      </c>
      <c r="AD175" t="str">
        <f>IF($Y175="","",IF(OR('برايفت'!$F27="تجديد",LEFT('برايفت'!$F27,4)="عليه"),'برايفت'!$F27,""))</f>
        <v/>
      </c>
      <c r="AE175">
        <f>IF($AD175&lt;&gt;"",1,0)</f>
        <v>0</v>
      </c>
      <c r="AF175">
        <f>$AF174+$AE175</f>
        <v>0</v>
      </c>
      <c r="AG175">
        <f>IF($Y175&lt;&gt;"",1,0)</f>
        <v>0</v>
      </c>
    </row>
    <row r="176">
      <c r="W176" t="n">
        <v>175</v>
      </c>
      <c r="X176" t="str">
        <f>$J$11</f>
        <v>برايفت</v>
      </c>
      <c r="Y176" t="str">
        <f>IF('برايفت'!$B28="","",'برايفت'!$B28)</f>
        <v/>
      </c>
      <c r="Z176" t="str">
        <f>IF('برايفت'!$C28="","",'برايفت'!$C28)</f>
        <v/>
      </c>
      <c r="AA176" t="str">
        <f>""</f>
        <v/>
      </c>
      <c r="AB176">
        <f>IF(AND($Y176&lt;&gt;"",ISNUMBER($AA176),$AA176&gt;='الرئيسية'!$H$27),1,0)</f>
        <v>0</v>
      </c>
      <c r="AC176">
        <f>$AC175+$AB176</f>
        <v>0</v>
      </c>
      <c r="AD176" t="str">
        <f>IF($Y176="","",IF(OR('برايفت'!$F28="تجديد",LEFT('برايفت'!$F28,4)="عليه"),'برايفت'!$F28,""))</f>
        <v/>
      </c>
      <c r="AE176">
        <f>IF($AD176&lt;&gt;"",1,0)</f>
        <v>0</v>
      </c>
      <c r="AF176">
        <f>$AF175+$AE176</f>
        <v>0</v>
      </c>
      <c r="AG176">
        <f>IF($Y176&lt;&gt;"",1,0)</f>
        <v>0</v>
      </c>
    </row>
    <row r="177">
      <c r="W177" t="n">
        <v>176</v>
      </c>
      <c r="X177" t="str">
        <f>$J$11</f>
        <v>برايفت</v>
      </c>
      <c r="Y177" t="str">
        <f>IF('برايفت'!$B29="","",'برايفت'!$B29)</f>
        <v/>
      </c>
      <c r="Z177" t="str">
        <f>IF('برايفت'!$C29="","",'برايفت'!$C29)</f>
        <v/>
      </c>
      <c r="AA177" t="str">
        <f>""</f>
        <v/>
      </c>
      <c r="AB177">
        <f>IF(AND($Y177&lt;&gt;"",ISNUMBER($AA177),$AA177&gt;='الرئيسية'!$H$27),1,0)</f>
        <v>0</v>
      </c>
      <c r="AC177">
        <f>$AC176+$AB177</f>
        <v>0</v>
      </c>
      <c r="AD177" t="str">
        <f>IF($Y177="","",IF(OR('برايفت'!$F29="تجديد",LEFT('برايفت'!$F29,4)="عليه"),'برايفت'!$F29,""))</f>
        <v/>
      </c>
      <c r="AE177">
        <f>IF($AD177&lt;&gt;"",1,0)</f>
        <v>0</v>
      </c>
      <c r="AF177">
        <f>$AF176+$AE177</f>
        <v>0</v>
      </c>
      <c r="AG177">
        <f>IF($Y177&lt;&gt;"",1,0)</f>
        <v>0</v>
      </c>
    </row>
    <row r="178">
      <c r="W178" t="n">
        <v>177</v>
      </c>
      <c r="X178" t="str">
        <f>$J$11</f>
        <v>برايفت</v>
      </c>
      <c r="Y178" t="str">
        <f>IF('برايفت'!$B30="","",'برايفت'!$B30)</f>
        <v/>
      </c>
      <c r="Z178" t="str">
        <f>IF('برايفت'!$C30="","",'برايفت'!$C30)</f>
        <v/>
      </c>
      <c r="AA178" t="str">
        <f>""</f>
        <v/>
      </c>
      <c r="AB178">
        <f>IF(AND($Y178&lt;&gt;"",ISNUMBER($AA178),$AA178&gt;='الرئيسية'!$H$27),1,0)</f>
        <v>0</v>
      </c>
      <c r="AC178">
        <f>$AC177+$AB178</f>
        <v>0</v>
      </c>
      <c r="AD178" t="str">
        <f>IF($Y178="","",IF(OR('برايفت'!$F30="تجديد",LEFT('برايفت'!$F30,4)="عليه"),'برايفت'!$F30,""))</f>
        <v/>
      </c>
      <c r="AE178">
        <f>IF($AD178&lt;&gt;"",1,0)</f>
        <v>0</v>
      </c>
      <c r="AF178">
        <f>$AF177+$AE178</f>
        <v>0</v>
      </c>
      <c r="AG178">
        <f>IF($Y178&lt;&gt;"",1,0)</f>
        <v>0</v>
      </c>
    </row>
    <row r="179">
      <c r="W179" t="n">
        <v>178</v>
      </c>
      <c r="X179" t="str">
        <f>$J$11</f>
        <v>برايفت</v>
      </c>
      <c r="Y179" t="str">
        <f>IF('برايفت'!$B31="","",'برايفت'!$B31)</f>
        <v/>
      </c>
      <c r="Z179" t="str">
        <f>IF('برايفت'!$C31="","",'برايفت'!$C31)</f>
        <v/>
      </c>
      <c r="AA179" t="str">
        <f>""</f>
        <v/>
      </c>
      <c r="AB179">
        <f>IF(AND($Y179&lt;&gt;"",ISNUMBER($AA179),$AA179&gt;='الرئيسية'!$H$27),1,0)</f>
        <v>0</v>
      </c>
      <c r="AC179">
        <f>$AC178+$AB179</f>
        <v>0</v>
      </c>
      <c r="AD179" t="str">
        <f>IF($Y179="","",IF(OR('برايفت'!$F31="تجديد",LEFT('برايفت'!$F31,4)="عليه"),'برايفت'!$F31,""))</f>
        <v/>
      </c>
      <c r="AE179">
        <f>IF($AD179&lt;&gt;"",1,0)</f>
        <v>0</v>
      </c>
      <c r="AF179">
        <f>$AF178+$AE179</f>
        <v>0</v>
      </c>
      <c r="AG179">
        <f>IF($Y179&lt;&gt;"",1,0)</f>
        <v>0</v>
      </c>
    </row>
    <row r="180">
      <c r="W180" t="n">
        <v>179</v>
      </c>
      <c r="X180" t="str">
        <f>$J$11</f>
        <v>برايفت</v>
      </c>
      <c r="Y180" t="str">
        <f>IF('برايفت'!$B32="","",'برايفت'!$B32)</f>
        <v/>
      </c>
      <c r="Z180" t="str">
        <f>IF('برايفت'!$C32="","",'برايفت'!$C32)</f>
        <v/>
      </c>
      <c r="AA180" t="str">
        <f>""</f>
        <v/>
      </c>
      <c r="AB180">
        <f>IF(AND($Y180&lt;&gt;"",ISNUMBER($AA180),$AA180&gt;='الرئيسية'!$H$27),1,0)</f>
        <v>0</v>
      </c>
      <c r="AC180">
        <f>$AC179+$AB180</f>
        <v>0</v>
      </c>
      <c r="AD180" t="str">
        <f>IF($Y180="","",IF(OR('برايفت'!$F32="تجديد",LEFT('برايفت'!$F32,4)="عليه"),'برايفت'!$F32,""))</f>
        <v/>
      </c>
      <c r="AE180">
        <f>IF($AD180&lt;&gt;"",1,0)</f>
        <v>0</v>
      </c>
      <c r="AF180">
        <f>$AF179+$AE180</f>
        <v>0</v>
      </c>
      <c r="AG180">
        <f>IF($Y180&lt;&gt;"",1,0)</f>
        <v>0</v>
      </c>
    </row>
    <row r="181">
      <c r="W181" t="n">
        <v>180</v>
      </c>
      <c r="X181" t="str">
        <f>$J$11</f>
        <v>برايفت</v>
      </c>
      <c r="Y181" t="str">
        <f>IF('برايفت'!$B33="","",'برايفت'!$B33)</f>
        <v/>
      </c>
      <c r="Z181" t="str">
        <f>IF('برايفت'!$C33="","",'برايفت'!$C33)</f>
        <v/>
      </c>
      <c r="AA181" t="str">
        <f>""</f>
        <v/>
      </c>
      <c r="AB181">
        <f>IF(AND($Y181&lt;&gt;"",ISNUMBER($AA181),$AA181&gt;='الرئيسية'!$H$27),1,0)</f>
        <v>0</v>
      </c>
      <c r="AC181">
        <f>$AC180+$AB181</f>
        <v>0</v>
      </c>
      <c r="AD181" t="str">
        <f>IF($Y181="","",IF(OR('برايفت'!$F33="تجديد",LEFT('برايفت'!$F33,4)="عليه"),'برايفت'!$F33,""))</f>
        <v/>
      </c>
      <c r="AE181">
        <f>IF($AD181&lt;&gt;"",1,0)</f>
        <v>0</v>
      </c>
      <c r="AF181">
        <f>$AF180+$AE181</f>
        <v>0</v>
      </c>
      <c r="AG181">
        <f>IF($Y181&lt;&gt;"",1,0)</f>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2026-10-02T18:27:08Z</dcterms:created>
  <dcterms:modified xmlns:dcterms="http://purl.org/dc/terms/" xmlns:xsi="http://www.w3.org/2001/XMLSchema-instance" xsi:type="dcterms:W3CDTF">2026-10-02T18:27:16Z</dcterms:modified>
</cp:coreProperties>
</file>